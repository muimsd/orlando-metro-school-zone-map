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705f90c7d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3c3ecc51904fb9"/>
    <x:sheet xmlns:r="http://schemas.openxmlformats.org/officeDocument/2006/relationships" name="Source_Register" sheetId="2" r:id="R55cf313290784af0"/>
    <x:sheet xmlns:r="http://schemas.openxmlformats.org/officeDocument/2006/relationships" name="Field_Dictionary" sheetId="3" r:id="R4673006d8cea4aa8"/>
    <x:sheet xmlns:r="http://schemas.openxmlformats.org/officeDocument/2006/relationships" name="school_master" sheetId="4" r:id="R5776b1cd78d64249"/>
    <x:sheet xmlns:r="http://schemas.openxmlformats.org/officeDocument/2006/relationships" name="FDOE_Grades_2025_Raw" sheetId="5" r:id="Rce49cc1c5ad94b45"/>
    <x:sheet xmlns:r="http://schemas.openxmlformats.org/officeDocument/2006/relationships" name="zone_master" sheetId="6" r:id="Rb046870e66a54691"/>
    <x:sheet xmlns:r="http://schemas.openxmlformats.org/officeDocument/2006/relationships" name="school_performance" sheetId="7" r:id="R9bb4044023914598"/>
    <x:sheet xmlns:r="http://schemas.openxmlformats.org/officeDocument/2006/relationships" name="program_master" sheetId="8" r:id="R7f866967865c4437"/>
    <x:sheet xmlns:r="http://schemas.openxmlformats.org/officeDocument/2006/relationships" name="Scoring_Model" sheetId="9" r:id="Rbbc5d9bb1439474a"/>
    <x:sheet xmlns:r="http://schemas.openxmlformats.org/officeDocument/2006/relationships" name="Map_Config" sheetId="10" r:id="Rc61c010d731b449a"/>
    <x:sheet xmlns:r="http://schemas.openxmlformats.org/officeDocument/2006/relationships" name="Handoff_Checklist" sheetId="11" r:id="R126b442974dd4fe4"/>
    <x:sheet xmlns:r="http://schemas.openxmlformats.org/officeDocument/2006/relationships" name="District_Summary" sheetId="12" r:id="R6a725ec0da6d4ed5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M2" authorId="0">
      <x:text>
        <x:r>
          <x:t>Source URL should be the exact Florida DOE page or file used for the row's metrics.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0.0"/>
  </x:numFmts>
  <x:fonts count="13">
    <x:font>
      <x:sz val="11"/>
      <x:color theme="1"/>
      <x:name val="Calibri"/>
      <x:family val="2"/>
      <x:scheme val="minor"/>
    </x:font>
    <x:font>
      <x:b/>
      <x:sz val="15"/>
      <x:color rgb="001F4E79"/>
      <x:name val="Aptos"/>
    </x:font>
    <x:font>
      <x:b/>
      <x:sz val="11"/>
      <x:color rgb="001F1F1F"/>
      <x:name val="Aptos"/>
    </x:font>
    <x:font>
      <x:b/>
      <x:sz val="11"/>
      <x:color rgb="00FFFFFF"/>
      <x:name val="Aptos"/>
    </x:font>
    <x:font>
      <x:sz val="10"/>
      <x:color rgb="001F1F1F"/>
      <x:name val="Aptos"/>
    </x:font>
    <x:font>
      <x:sz val="10"/>
      <x:color rgb="00008000"/>
      <x:name val="Aptos"/>
    </x:font>
    <x:font>
      <x:sz val="10"/>
      <x:color rgb="000000FF"/>
      <x:name val="Aptos"/>
    </x:font>
    <x:font>
      <x:sz val="10"/>
      <x:color rgb="00000000"/>
      <x:name val="Aptos"/>
    </x:font>
    <x:font>
      <x:b/>
      <x:sz val="14"/>
      <x:color rgb="001F4E79"/>
      <x:name val="Aptos"/>
    </x:font>
    <x:font>
      <x:i/>
      <x:sz val="10"/>
      <x:color rgb="007A5900"/>
      <x:name val="Aptos"/>
    </x:font>
    <x:font/>
    <x:font>
      <x:b/>
      <x:sz val="14"/>
    </x:font>
    <x:font>
      <x:b/>
      <x:color rgb="00FFFFFF"/>
    </x:font>
  </x:fonts>
  <x:fills count="10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EAF2FF"/>
      </x:patternFill>
    </x:fill>
    <x:fill>
      <x:patternFill patternType="solid">
        <x:fgColor rgb="00F8FBFD"/>
      </x:patternFill>
    </x:fill>
    <x:fill>
      <x:patternFill patternType="solid">
        <x:fgColor rgb="000E7490"/>
      </x:patternFill>
    </x:fill>
    <x:fill>
      <x:patternFill patternType="solid">
        <x:fgColor rgb="00EEE6FF"/>
      </x:patternFill>
    </x:fill>
    <x:fill>
      <x:patternFill patternType="solid">
        <x:fgColor rgb="00FFF4E5"/>
      </x:patternFill>
    </x:fill>
    <x:fill>
      <x:patternFill patternType="solid">
        <x:fgColor rgb="00D9EAF7"/>
      </x:patternFill>
    </x:fill>
    <x:fill>
      <x:patternFill patternType="solid">
        <x:fgColor rgb="001F4E78"/>
      </x:patternFill>
    </x:fill>
  </x:fills>
  <x:borders count="3">
    <x:border>
      <x:left/>
      <x:right/>
      <x:top/>
      <x:bottom/>
      <x:diagonal/>
    </x:border>
    <x:border>
      <x:bottom style="thin">
        <x:color rgb="00D6DEE6"/>
      </x:bottom>
    </x:border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2" borderId="1" xfId="0" applyAlignment="1">
      <x:alignment horizontal="center" vertical="center" wrapText="1"/>
    </x:xf>
    <x:xf numFmtId="0" fontId="4" fillId="0" borderId="0" xfId="0" applyAlignment="1">
      <x:alignment vertical="top" wrapText="1"/>
    </x:xf>
    <x:xf numFmtId="0" fontId="5" fillId="0" borderId="0" xfId="0" applyAlignment="1">
      <x:alignment vertical="top" wrapText="1"/>
    </x:xf>
    <x:xf numFmtId="0" fontId="6" fillId="3" borderId="0" xfId="0" applyAlignment="1">
      <x:alignment vertical="top" wrapText="1"/>
    </x:xf>
    <x:xf numFmtId="0" fontId="7" fillId="4" borderId="0" xfId="0" applyAlignment="1">
      <x:alignment vertical="top" wrapText="1"/>
    </x:xf>
    <x:xf numFmtId="0" fontId="8" fillId="0" borderId="0" xfId="0"/>
    <x:xf numFmtId="0" fontId="3" fillId="5" borderId="0" xfId="0" applyAlignment="1">
      <x:alignment vertical="top" wrapText="1"/>
    </x:xf>
    <x:xf numFmtId="0" fontId="3" fillId="2" borderId="0" xfId="0" applyAlignment="1">
      <x:alignment vertical="top" wrapText="1"/>
    </x:xf>
    <x:xf numFmtId="164" fontId="7" fillId="4" borderId="0" xfId="0" applyAlignment="1">
      <x:alignment vertical="top" wrapText="1"/>
    </x:xf>
    <x:xf numFmtId="164" fontId="6" fillId="6" borderId="0" xfId="0" applyAlignment="1">
      <x:alignment vertical="top" wrapText="1"/>
    </x:xf>
    <x:xf numFmtId="0" fontId="9" fillId="7" borderId="0" xfId="0" applyAlignment="1">
      <x:alignment vertical="top" wrapText="1"/>
    </x:xf>
    <x:xf numFmtId="0" fontId="11" fillId="8" borderId="2" xfId="0" applyAlignment="1">
      <x:alignment vertical="top" wrapText="1"/>
    </x:xf>
    <x:xf numFmtId="0" fontId="10" fillId="0" borderId="2" xfId="0" applyAlignment="1">
      <x:alignment vertical="top" wrapText="1"/>
    </x:xf>
    <x:xf numFmtId="0" fontId="10" fillId="0" borderId="2" xfId="0"/>
    <x:xf numFmtId="0" fontId="12" fillId="9" borderId="2" xfId="0" applyAlignment="1">
      <x:alignment vertical="center" wrapText="1"/>
    </x:xf>
    <x:xf numFmtId="0" fontId="10" fillId="0" borderId="2" xfId="0" applyAlignment="1">
      <x:alignment vertical="center" wrapText="1"/>
    </x:xf>
    <x:xf numFmtId="0" fontId="0" fillId="0" borderId="0" xfId="0" applyAlignment="1">
      <x:alignment vertical="center" wrapText="1"/>
    </x:xf>
    <x:xf numFmtId="0" fontId="12" fillId="9" borderId="1" xfId="0" applyAlignment="1">
      <x:alignment horizontal="center" vertical="center" wrapText="1"/>
    </x:xf>
    <x:xf numFmtId="0" fontId="12" fillId="9" borderId="1" xfId="0" applyAlignment="1">
      <x:alignment vertical="center" wrapText="1"/>
    </x:xf>
    <x:xf numFmtId="0" fontId="6" fillId="3" borderId="0" xfId="0" applyAlignment="1">
      <x:alignment vertical="center" wrapText="1"/>
    </x:xf>
    <x:xf numFmtId="0" fontId="12" fillId="9" borderId="0" xfId="0" applyAlignment="1">
      <x:alignment vertical="center" wrapText="1"/>
    </x:xf>
    <x:xf numFmtId="165" fontId="0" fillId="0" borderId="0" xfId="0" applyAlignment="1">
      <x:alignment vertical="center" wrapText="1"/>
    </x:xf>
    <x:xf numFmtId="165" fontId="7" fillId="4" borderId="0" xfId="0" applyAlignment="1">
      <x:alignment vertical="center" wrapText="1"/>
    </x:xf>
    <x:xf numFmtId="165" fontId="6" fillId="3" borderId="0" xfId="0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00FDECEC"/>
        </x:patternFill>
      </x:fill>
    </x:dxf>
    <x:dxf>
      <x:fill>
        <x:patternFill>
          <x:bgColor rgb="00E8F5E9"/>
        </x:patternFill>
      </x:fill>
    </x:dxf>
    <x:dxf>
      <x:fill>
        <x:patternFill>
          <x:bgColor rgb="00FDECE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ba01aedac4fd4" /><Relationship Type="http://schemas.openxmlformats.org/officeDocument/2006/relationships/theme" Target="/xl/theme/theme1.xml" Id="Re782c47745914f8f" /><Relationship Type="http://schemas.openxmlformats.org/officeDocument/2006/relationships/sharedStrings" Target="/xl/sharedStrings.xml" Id="R3a309966979942e5" /><Relationship Type="http://schemas.openxmlformats.org/officeDocument/2006/relationships/worksheet" Target="/xl/worksheets/sheet1.xml" Id="Rd53c3ecc51904fb9" /><Relationship Type="http://schemas.openxmlformats.org/officeDocument/2006/relationships/worksheet" Target="/xl/worksheets/sheet2.xml" Id="R55cf313290784af0" /><Relationship Type="http://schemas.openxmlformats.org/officeDocument/2006/relationships/worksheet" Target="/xl/worksheets/sheet3.xml" Id="R4673006d8cea4aa8" /><Relationship Type="http://schemas.openxmlformats.org/officeDocument/2006/relationships/worksheet" Target="/xl/worksheets/sheet4.xml" Id="R5776b1cd78d64249" /><Relationship Type="http://schemas.openxmlformats.org/officeDocument/2006/relationships/worksheet" Target="/xl/worksheets/sheet5.xml" Id="Rce49cc1c5ad94b45" /><Relationship Type="http://schemas.openxmlformats.org/officeDocument/2006/relationships/worksheet" Target="/xl/worksheets/sheet6.xml" Id="Rb046870e66a54691" /><Relationship Type="http://schemas.openxmlformats.org/officeDocument/2006/relationships/worksheet" Target="/xl/worksheets/sheet7.xml" Id="R9bb4044023914598" /><Relationship Type="http://schemas.openxmlformats.org/officeDocument/2006/relationships/worksheet" Target="/xl/worksheets/sheet8.xml" Id="R7f866967865c4437" /><Relationship Type="http://schemas.openxmlformats.org/officeDocument/2006/relationships/worksheet" Target="/xl/worksheets/sheet9.xml" Id="Rbbc5d9bb1439474a" /><Relationship Type="http://schemas.openxmlformats.org/officeDocument/2006/relationships/worksheet" Target="/xl/worksheets/sheet10.xml" Id="Rc61c010d731b449a" /><Relationship Type="http://schemas.openxmlformats.org/officeDocument/2006/relationships/worksheet" Target="/xl/worksheets/sheet11.xml" Id="R126b442974dd4fe4" /><Relationship Type="http://schemas.openxmlformats.org/officeDocument/2006/relationships/worksheet" Target="/xl/worksheets/sheet12.xml" Id="R6a725ec0da6d4ed5" /><Relationship Type="http://schemas.microsoft.com/office/2017/10/relationships/person" Target="/xl/persons/person.xml" Id="Rce7e407621324b45" /></Relationships>
</file>

<file path=xl/persons/person.xml><?xml version="1.0" encoding="utf-8"?>
<xltc:personList xmlns:xltc="http://schemas.microsoft.com/office/spreadsheetml/2018/threadedcomments">
  <xltc:person displayName="OpenAI" id="{794C9613-8FAA-4507-7C8D-1D35564A5D74}"/>
</xltc:personList>
</file>

<file path=xl/tables/table1.xml><?xml version="1.0" encoding="utf-8"?>
<x:table xmlns:x="http://schemas.openxmlformats.org/spreadsheetml/2006/main" id="1" name="SourceRegisterTbl" displayName="SourceRegisterTbl" ref="A1:I16" headerRowCount="1">
  <x:autoFilter ref="A1:I16"/>
  <x:tableColumns count="9">
    <x:tableColumn id="1" name="Category"/>
    <x:tableColumn id="2" name="Source_Name"/>
    <x:tableColumn id="3" name="URL"/>
    <x:tableColumn id="4" name="Coverage_Area"/>
    <x:tableColumn id="5" name="School_Year"/>
    <x:tableColumn id="6" name="What_To_Pull"/>
    <x:tableColumn id="7" name="Must_or_Optional"/>
    <x:tableColumn id="8" name="Refresh_Cadence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1:H17" headerRowCount="1">
  <x:autoFilter ref="A1:H17"/>
  <x:tableColumns count="8">
    <x:tableColumn id="1" name="Table_Name"/>
    <x:tableColumn id="2" name="Field_Name"/>
    <x:tableColumn id="3" name="Type"/>
    <x:tableColumn id="4" name="Description"/>
    <x:tableColumn id="5" name="Required"/>
    <x:tableColumn id="6" name="Primary_Key"/>
    <x:tableColumn id="7" name="Example"/>
    <x:tableColumn id="8" name="Source_or_Logic"/>
  </x:tableColumns>
  <x:tableStyleInfo name="TableStyleMedium2" showRowStripes="1"/>
</x:table>
</file>

<file path=xl/tables/table3.xml><?xml version="1.0" encoding="utf-8"?>
<x:table xmlns:x="http://schemas.openxmlformats.org/spreadsheetml/2006/main" id="3" name="schoolmasterTbl" displayName="schoolmasterTbl" ref="A1:R325" headerRowCount="1">
  <x:autoFilter ref="A1:R325"/>
  <x:tableColumns count="18">
    <x:tableColumn id="1" name="district"/>
    <x:tableColumn id="2" name="county"/>
    <x:tableColumn id="3" name="state_school_id"/>
    <x:tableColumn id="4" name="nces_id"/>
    <x:tableColumn id="5" name="school_name"/>
    <x:tableColumn id="6" name="school_type"/>
    <x:tableColumn id="7" name="is_zoned_public"/>
    <x:tableColumn id="8" name="is_charter"/>
    <x:tableColumn id="9" name="is_magnet"/>
    <x:tableColumn id="10" name="is_private"/>
    <x:tableColumn id="11" name="grades_served"/>
    <x:tableColumn id="12" name="address"/>
    <x:tableColumn id="13" name="city"/>
    <x:tableColumn id="14" name="zip"/>
    <x:tableColumn id="15" name="latitude"/>
    <x:tableColumn id="16" name="longitude"/>
    <x:tableColumn id="17" name="source_url"/>
    <x:tableColumn id="1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FDOEGrades2025RawTbl" displayName="FDOEGrades2025RawTbl" ref="A1:Z325" headerRowCount="1">
  <x:autoFilter ref="A1:Z325"/>
  <x:tableColumns count="26">
    <x:tableColumn id="1" name="state_school_id"/>
    <x:tableColumn id="2" name="district_number"/>
    <x:tableColumn id="3" name="district_name"/>
    <x:tableColumn id="4" name="school_number"/>
    <x:tableColumn id="5" name="school_name"/>
    <x:tableColumn id="6" name="school_type_code"/>
    <x:tableColumn id="7" name="school_type_desc"/>
    <x:tableColumn id="8" name="charter_school"/>
    <x:tableColumn id="9" name="title_i"/>
    <x:tableColumn id="10" name="alternative_ese_center"/>
    <x:tableColumn id="11" name="ela_achievement"/>
    <x:tableColumn id="12" name="ela_learning_gains"/>
    <x:tableColumn id="13" name="math_achievement"/>
    <x:tableColumn id="14" name="math_learning_gains"/>
    <x:tableColumn id="15" name="science_achievement"/>
    <x:tableColumn id="16" name="social_studies_achievement"/>
    <x:tableColumn id="17" name="graduation_rate"/>
    <x:tableColumn id="18" name="career_college_acceleration"/>
    <x:tableColumn id="19" name="total_points"/>
    <x:tableColumn id="20" name="total_components"/>
    <x:tableColumn id="21" name="percent_total_points"/>
    <x:tableColumn id="22" name="percent_tested"/>
    <x:tableColumn id="23" name="grade_2025"/>
    <x:tableColumn id="24" name="grade_2024"/>
    <x:tableColumn id="25" name="econ_disadv_pct"/>
    <x:tableColumn id="26" name="source_url"/>
  </x:tableColumns>
  <x:tableStyleInfo name="TableStyleMedium2" showRowStripes="1"/>
</x:table>
</file>

<file path=xl/tables/table5.xml><?xml version="1.0" encoding="utf-8"?>
<x:table xmlns:x="http://schemas.openxmlformats.org/spreadsheetml/2006/main" id="5" name="zonemasterTbl" displayName="zonemasterTbl" ref="A1:L8" headerRowCount="1">
  <x:autoFilter ref="A1:L8"/>
  <x:tableColumns count="12">
    <x:tableColumn id="1" name="zone_id"/>
    <x:tableColumn id="2" name="district"/>
    <x:tableColumn id="3" name="county"/>
    <x:tableColumn id="4" name="grade_band"/>
    <x:tableColumn id="5" name="school_year"/>
    <x:tableColumn id="6" name="school_name"/>
    <x:tableColumn id="7" name="state_school_id"/>
    <x:tableColumn id="8" name="geometry_file_or_layer"/>
    <x:tableColumn id="9" name="geometry_id_field"/>
    <x:tableColumn id="10" name="zone_status"/>
    <x:tableColumn id="11" name="source_url"/>
    <x:tableColumn id="12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choolperformanceTbl" displayName="schoolperformanceTbl" ref="A1:M325" headerRowCount="1">
  <x:autoFilter ref="A1:M325"/>
  <x:tableColumns count="13">
    <x:tableColumn id="1" name="state_school_id"/>
    <x:tableColumn id="2" name="school_name"/>
    <x:tableColumn id="3" name="school_year"/>
    <x:tableColumn id="4" name="fl_school_grade"/>
    <x:tableColumn id="5" name="grade_points"/>
    <x:tableColumn id="6" name="ela_achievement_pct"/>
    <x:tableColumn id="7" name="math_achievement_pct"/>
    <x:tableColumn id="8" name="growth_pct"/>
    <x:tableColumn id="9" name="graduation_pct"/>
    <x:tableColumn id="10" name="career_college_readiness_pct"/>
    <x:tableColumn id="11" name="public_zone_score"/>
    <x:tableColumn id="12" name="source_url"/>
    <x:tableColumn id="13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programmasterTbl" displayName="programmasterTbl" ref="A1:I4" headerRowCount="1">
  <x:autoFilter ref="A1:I4"/>
  <x:tableColumns count="9">
    <x:tableColumn id="1" name="state_school_id"/>
    <x:tableColumn id="2" name="school_name"/>
    <x:tableColumn id="3" name="program_type"/>
    <x:tableColumn id="4" name="program_name"/>
    <x:tableColumn id="5" name="application_required"/>
    <x:tableColumn id="6" name="lottery_flag"/>
    <x:tableColumn id="7" name="transportation_notes"/>
    <x:tableColumn id="8" name="district_source_url"/>
    <x:tableColumn id="9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MapConfig" displayName="MapConfig" ref="A1:H7" headerRowCount="1">
  <x:autoFilter ref="A1:H7"/>
  <x:tableColumns count="8">
    <x:tableColumn id="1" name="tab_name"/>
    <x:tableColumn id="2" name="layer_type"/>
    <x:tableColumn id="3" name="primary_dataset"/>
    <x:tableColumn id="4" name="score_field"/>
    <x:tableColumn id="5" name="default_filter"/>
    <x:tableColumn id="6" name="tooltip_fields"/>
    <x:tableColumn id="7" name="legend_logic"/>
    <x:tableColumn id="8" name="notes"/>
  </x:tableColumns>
  <x:tableStyleInfo name="TableStyleMedium7" showRowStripes="1"/>
</x:table>
</file>

<file path=xl/tables/table9.xml><?xml version="1.0" encoding="utf-8"?>
<x:table xmlns:x="http://schemas.openxmlformats.org/spreadsheetml/2006/main" id="9" name="HandoffChecklist" displayName="HandoffChecklist" ref="A1:F11" headerRowCount="1">
  <x:autoFilter ref="A1:F11"/>
  <x:tableColumns count="6">
    <x:tableColumn id="1" name="Workstream"/>
    <x:tableColumn id="2" name="Requirement"/>
    <x:tableColumn id="3" name="Owner"/>
    <x:tableColumn id="4" name="Status"/>
    <x:tableColumn id="5" name="Source_Log_Checked"/>
    <x:tableColumn id="6" name="Notes"/>
  </x:tableColumns>
  <x:tableStyleInfo name="TableStyleMedium3" showRowStripes="1"/>
</x:table>
</file>

<file path=xl/tables/table10.xml><?xml version="1.0" encoding="utf-8"?>
<x:table xmlns:x="http://schemas.openxmlformats.org/spreadsheetml/2006/main" id="10" name="DistrictSummaryTbl" displayName="DistrictSummaryTbl" ref="A1:N5" headerRowCount="1">
  <x:autoFilter ref="A1:N5"/>
  <x:tableColumns count="14">
    <x:tableColumn id="1" name="District"/>
    <x:tableColumn id="2" name="Graded_Schools"/>
    <x:tableColumn id="3" name="Avg_Score"/>
    <x:tableColumn id="4" name="A_Count"/>
    <x:tableColumn id="5" name="B_Count"/>
    <x:tableColumn id="6" name="C_Count"/>
    <x:tableColumn id="7" name="D_Count"/>
    <x:tableColumn id="8" name="F_Count"/>
    <x:tableColumn id="9" name="Elementary"/>
    <x:tableColumn id="10" name="Middle"/>
    <x:tableColumn id="11" name="High"/>
    <x:tableColumn id="12" name="Combination"/>
    <x:tableColumn id="13" name="Charter_Count"/>
    <x:tableColumn id="14" name="TitleI_Count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9b821d13404f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36e7e42f974a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b3c48e422d4a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82f02c612142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a4076250ac4b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1.xml" Id="Rd426a6ce830c4a07" /><Relationship Type="http://schemas.openxmlformats.org/officeDocument/2006/relationships/vmlDrawing" Target="/xl/drawings/vmldrawing.vml" Id="Rcc2ee8d03b8b43a9" /><Relationship Type="http://schemas.openxmlformats.org/officeDocument/2006/relationships/table" Target="/xl/tables/table6.xml" Id="Rb161b49ce25249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11064f9b984c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1f7380a8069b42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5afc04f1e647d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c84ed175b514e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95" customWidth="1"/>
  </x:cols>
  <x:sheetData>
    <x:row r="1">
      <x:c r="A1" s="15" t="inlineStr">
        <x:is>
          <x:t xml:space="preserve">Orlando Metro School Zone Mapping Workbook - Populated First Pass</x:t>
        </x:is>
      </x:c>
      <x:c r="B1" s="16" t="inlineStr">
        <x:is>
          <x:t xml:space="preserve"/>
        </x:is>
      </x:c>
    </x:row>
    <x:row r="2">
      <x:c r="A2" s="16" t="inlineStr">
        <x:is>
          <x:t xml:space="preserve"/>
        </x:is>
      </x:c>
      <x:c r="B2" s="16" t="inlineStr">
        <x:is>
          <x:t xml:space="preserve"/>
        </x:is>
      </x:c>
    </x:row>
    <x:row r="3">
      <x:c r="A3" s="16" t="inlineStr">
        <x:is>
          <x:t xml:space="preserve">What is populated now</x:t>
        </x:is>
      </x:c>
      <x:c r="B3" s="16" t="inlineStr">
        <x:is>
          <x:t xml:space="preserve"/>
        </x:is>
      </x:c>
    </x:row>
    <x:row r="4">
      <x:c r="A4" s="16" t="inlineStr">
        <x:is>
          <x:t xml:space="preserve">Public-school performance</x:t>
        </x:is>
      </x:c>
      <x:c r="B4" s="16" t="inlineStr">
        <x:is>
          <x:t xml:space="preserve">2025 Florida school-grade data loaded for Lake, Osceola, Polk, and Seminole districts (324 graded public schools).</x:t>
        </x:is>
      </x:c>
    </x:row>
    <x:row r="5">
      <x:c r="A5" s="16" t="inlineStr">
        <x:is>
          <x:t xml:space="preserve">Source backbone</x:t>
        </x:is>
      </x:c>
      <x:c r="B5" s="16" t="inlineStr">
        <x:is>
          <x:t xml:space="preserve">Official Florida DOE school grades file plus district zoning/GIS source register.</x:t>
        </x:is>
      </x:c>
    </x:row>
    <x:row r="6">
      <x:c r="A6" s="16" t="inlineStr">
        <x:is>
          <x:t xml:space="preserve">What is still pending</x:t>
        </x:is>
      </x:c>
      <x:c r="B6" s="16" t="inlineStr">
        <x:is>
          <x:t xml:space="preserve">Exact coordinates for school points and full zone polygons for every district-grade band.</x:t>
        </x:is>
      </x:c>
    </x:row>
    <x:row r="7">
      <x:c r="A7" s="16" t="inlineStr">
        <x:is>
          <x:t xml:space="preserve">Best use right now</x:t>
        </x:is>
      </x:c>
      <x:c r="B7" s="16" t="inlineStr">
        <x:is>
          <x:t xml:space="preserve">Hand this workbook and the CSV exports to a Tableau / ArcGIS / Mapbox freelancer so they can finish the join and map build faster.</x:t>
        </x:is>
      </x:c>
    </x:row>
    <x:row r="8">
      <x:c r="A8" s="16" t="inlineStr">
        <x:is>
          <x:t xml:space="preserve"/>
        </x:is>
      </x:c>
      <x:c r="B8" s="16" t="inlineStr">
        <x:is>
          <x:t xml:space="preserve"/>
        </x:is>
      </x:c>
    </x:row>
    <x:row r="9">
      <x:c r="A9" s="16" t="inlineStr">
        <x:is>
          <x:t xml:space="preserve">Important scope note</x:t>
        </x:is>
      </x:c>
      <x:c r="B9" s="16" t="inlineStr">
        <x:is>
          <x:t xml:space="preserve"/>
        </x:is>
      </x:c>
    </x:row>
    <x:row r="10">
      <x:c r="A10" s="16" t="inlineStr">
        <x:is>
          <x:t xml:space="preserve">Current scope</x:t>
        </x:is>
      </x:c>
      <x:c r="B10" s="16" t="inlineStr">
        <x:is>
          <x:t xml:space="preserve">Lake, Osceola, Polk, and Seminole are populated because those were your explicitly named counties in this pass.</x:t>
        </x:is>
      </x:c>
    </x:row>
    <x:row r="11">
      <x:c r="A11" s="16" t="inlineStr">
        <x:is>
          <x:t xml:space="preserve">Orange County</x:t>
        </x:is>
      </x:c>
      <x:c r="B11" s="16" t="inlineStr">
        <x:is>
          <x:t xml:space="preserve">Orange is not loaded into the data tabs yet; add it next if you want the full broader Orlando-MSA version.</x:t>
        </x:is>
      </x:c>
    </x:row>
    <x:row r="12">
      <x:c r="A12" s="16" t="inlineStr">
        <x:is>
          <x:t xml:space="preserve">North Polk caveat</x:t>
        </x:is>
      </x:c>
      <x:c r="B12" s="16" t="inlineStr">
        <x:is>
          <x:t xml:space="preserve">The Florida grades file is district-wide, so Polk is included district-wide in this first pass. Your freelancer should subset to Davenport / Haines City / north-Polk target geography once exact point or zone geometry is loaded.</x:t>
        </x:is>
      </x:c>
    </x:row>
    <x:row r="13">
      <x:c r="A13" s="16" t="inlineStr">
        <x:is>
          <x:t xml:space="preserve"/>
        </x:is>
      </x:c>
      <x:c r="B13" s="16" t="inlineStr">
        <x:is>
          <x:t xml:space="preserve"/>
        </x:is>
      </x:c>
    </x:row>
    <x:row r="14">
      <x:c r="A14" s="16" t="inlineStr">
        <x:is>
          <x:t xml:space="preserve">Scoring note</x:t>
        </x:is>
      </x:c>
      <x:c r="B14" s="16" t="inlineStr">
        <x:is>
          <x:t xml:space="preserve"/>
        </x:is>
      </x:c>
    </x:row>
    <x:row r="15">
      <x:c r="A15" s="16" t="inlineStr">
        <x:is>
          <x:t xml:space="preserve">public_zone_score</x:t>
        </x:is>
      </x:c>
      <x:c r="B15" s="16" t="inlineStr">
        <x:is>
          <x:t xml:space="preserve">This first-pass index uses Florida school grade, ELA achievement, math achievement, ELA learning gains, graduation rate, and college/career acceleration based on the control weights in Scoring_Model.</x:t>
        </x:is>
      </x:c>
    </x:row>
    <x:row r="16">
      <x:c r="A16" s="16" t="inlineStr">
        <x:is>
          <x:t xml:space="preserve"/>
        </x:is>
      </x:c>
      <x:c r="B16" s="16" t="inlineStr">
        <x:is>
          <x:t xml:space="preserve"/>
        </x:is>
      </x:c>
    </x:row>
    <x:row r="17">
      <x:c r="A17" s="16" t="inlineStr">
        <x:is>
          <x:t xml:space="preserve">Recommended next build order</x:t>
        </x:is>
      </x:c>
      <x:c r="B17" s="16" t="inlineStr">
        <x:is>
          <x:t xml:space="preserve"/>
        </x:is>
      </x:c>
    </x:row>
    <x:row r="18">
      <x:c r="A18" s="16" t="inlineStr">
        <x:is>
          <x:t xml:space="preserve">1</x:t>
        </x:is>
      </x:c>
      <x:c r="B18" s="16" t="inlineStr">
        <x:is>
          <x:t xml:space="preserve">Pull exact public-school point coordinates from NCES EDGE or district GIS.</x:t>
        </x:is>
      </x:c>
    </x:row>
    <x:row r="19">
      <x:c r="A19" s="16" t="inlineStr">
        <x:is>
          <x:t xml:space="preserve">2</x:t>
        </x:is>
      </x:c>
      <x:c r="B19" s="16" t="inlineStr">
        <x:is>
          <x:t xml:space="preserve">Load attendance-zone polygons district by district.</x:t>
        </x:is>
      </x:c>
    </x:row>
    <x:row r="20">
      <x:c r="A20" s="16" t="inlineStr">
        <x:is>
          <x:t xml:space="preserve">3</x:t>
        </x:is>
      </x:c>
      <x:c r="B20" s="16" t="inlineStr">
        <x:is>
          <x:t xml:space="preserve">Join zone polygons to state_school_id or school-name crosswalk.</x:t>
        </x:is>
      </x:c>
    </x:row>
    <x:row r="21">
      <x:c r="A21" s="16" t="inlineStr">
        <x:is>
          <x:t xml:space="preserve">4</x:t>
        </x:is>
      </x:c>
      <x:c r="B21" s="16" t="inlineStr">
        <x:is>
          <x:t xml:space="preserve">Publish tabs for Elementary, Middle, High, Magnet, Charter, and Private.</x:t>
        </x:is>
      </x:c>
    </x:row>
    <x:row r="22">
      <x:c r="A22" s="17" t="n"/>
      <x:c r="B22" s="17" t="n"/>
    </x:row>
    <x:row r="23">
      <x:c r="A23" s="17" t="n"/>
      <x:c r="B23" s="17" t="n"/>
    </x:row>
    <x:row r="24">
      <x:c r="A24" s="17" t="n"/>
      <x:c r="B24" s="17" t="n"/>
    </x:row>
    <x:row r="25">
      <x:c r="A25" s="17" t="n"/>
      <x:c r="B25" s="17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36" customWidth="1"/>
    <x:col min="3" max="3" width="76" customWidth="1"/>
    <x:col min="4" max="4" width="18" customWidth="1"/>
    <x:col min="5" max="5" width="12" customWidth="1"/>
    <x:col min="6" max="6" width="38" customWidth="1"/>
    <x:col min="7" max="7" width="18" customWidth="1"/>
    <x:col min="8" max="8" width="16" customWidth="1"/>
    <x:col min="9" max="9" width="42" customWidth="1"/>
  </x:cols>
  <x:sheetData>
    <x:row r="1" ht="24" customHeight="1">
      <x:c r="A1" s="18" t="inlineStr">
        <x:is>
          <x:t xml:space="preserve">Category</x:t>
        </x:is>
      </x:c>
      <x:c r="B1" s="18" t="inlineStr">
        <x:is>
          <x:t xml:space="preserve">Source_Name</x:t>
        </x:is>
      </x:c>
      <x:c r="C1" s="18" t="inlineStr">
        <x:is>
          <x:t xml:space="preserve">URL</x:t>
        </x:is>
      </x:c>
      <x:c r="D1" s="18" t="inlineStr">
        <x:is>
          <x:t xml:space="preserve">Coverage_Area</x:t>
        </x:is>
      </x:c>
      <x:c r="E1" s="18" t="inlineStr">
        <x:is>
          <x:t xml:space="preserve">School_Year</x:t>
        </x:is>
      </x:c>
      <x:c r="F1" s="18" t="inlineStr">
        <x:is>
          <x:t xml:space="preserve">What_To_Pull</x:t>
        </x:is>
      </x:c>
      <x:c r="G1" s="18" t="inlineStr">
        <x:is>
          <x:t xml:space="preserve">Must_or_Optional</x:t>
        </x:is>
      </x:c>
      <x:c r="H1" s="18" t="inlineStr">
        <x:is>
          <x:t xml:space="preserve">Refresh_Cadence</x:t>
        </x:is>
      </x:c>
      <x:c r="I1" s="18" t="inlineStr">
        <x:is>
          <x:t xml:space="preserve">Notes</x:t>
        </x:is>
      </x:c>
    </x:row>
    <x:row r="2">
      <x:c r="A2" s="19" t="inlineStr">
        <x:is>
          <x:t xml:space="preserve">Official</x:t>
        </x:is>
      </x:c>
      <x:c r="B2" s="19" t="inlineStr">
        <x:is>
          <x:t xml:space="preserve">Florida DOE School Grades Excel</x:t>
        </x:is>
      </x:c>
      <x:c r="C2" s="19" t="inlineStr">
        <x:is>
          <x:t xml:space="preserve">https://www.fldoe.org/file/18534/SchoolGrades25.xlsx</x:t>
        </x:is>
      </x:c>
      <x:c r="D2" s="19" t="inlineStr">
        <x:is>
          <x:t xml:space="preserve">Florida statewide</x:t>
        </x:is>
      </x:c>
      <x:c r="E2" s="19" t="inlineStr">
        <x:is>
          <x:t xml:space="preserve">2025</x:t>
        </x:is>
      </x:c>
      <x:c r="F2" s="19" t="inlineStr">
        <x:is>
          <x:t xml:space="preserve">Public-school accountability metrics used in this workbook</x:t>
        </x:is>
      </x:c>
      <x:c r="G2" s="19" t="inlineStr">
        <x:is>
          <x:t xml:space="preserve">Required</x:t>
        </x:is>
      </x:c>
      <x:c r="H2" s="19" t="inlineStr">
        <x:is>
          <x:t xml:space="preserve">Annual</x:t>
        </x:is>
      </x:c>
      <x:c r="I2" s="19" t="inlineStr">
        <x:is>
          <x:t xml:space="preserve">Downloaded and filtered for requested districts</x:t>
        </x:is>
      </x:c>
    </x:row>
    <x:row r="3">
      <x:c r="A3" s="19" t="inlineStr">
        <x:is>
          <x:t xml:space="preserve">Official</x:t>
        </x:is>
      </x:c>
      <x:c r="B3" s="19" t="inlineStr">
        <x:is>
          <x:t xml:space="preserve">Florida DOE School Grades landing page</x:t>
        </x:is>
      </x:c>
      <x:c r="C3" s="19" t="inlineStr">
        <x:is>
          <x:t xml:space="preserve">https://www.fldoe.org/accountability/accountability-reporting/school-grades/</x:t>
        </x:is>
      </x:c>
      <x:c r="D3" s="19" t="inlineStr">
        <x:is>
          <x:t xml:space="preserve">Florida statewide</x:t>
        </x:is>
      </x:c>
      <x:c r="E3" s="19" t="inlineStr">
        <x:is>
          <x:t xml:space="preserve">2025</x:t>
        </x:is>
      </x:c>
      <x:c r="F3" s="19" t="inlineStr">
        <x:is>
          <x:t xml:space="preserve">Official landing page, methods, results packet, Excel links</x:t>
        </x:is>
      </x:c>
      <x:c r="G3" s="19" t="inlineStr">
        <x:is>
          <x:t xml:space="preserve">Required</x:t>
        </x:is>
      </x:c>
      <x:c r="H3" s="19" t="inlineStr">
        <x:is>
          <x:t xml:space="preserve">Annual</x:t>
        </x:is>
      </x:c>
      <x:c r="I3" s="19" t="inlineStr">
        <x:is>
          <x:t xml:space="preserve">Use for QA and refresh</x:t>
        </x:is>
      </x:c>
    </x:row>
    <x:row r="4">
      <x:c r="A4" s="19" t="inlineStr">
        <x:is>
          <x:t xml:space="preserve">Official</x:t>
        </x:is>
      </x:c>
      <x:c r="B4" s="19" t="inlineStr">
        <x:is>
          <x:t xml:space="preserve">Florida DOE Public School Files / Master School ID</x:t>
        </x:is>
      </x:c>
      <x:c r="C4" s="19" t="inlineStr">
        <x:is>
          <x:t xml:space="preserve">https://www.fldoe.org/accountability/data-sys/edu-info-accountability-services/pk-12-public-school-data-pubs-reports/school/index.stml</x:t>
        </x:is>
      </x:c>
      <x:c r="D4" s="19" t="inlineStr">
        <x:is>
          <x:t xml:space="preserve">Florida statewide</x:t>
        </x:is>
      </x:c>
      <x:c r="E4" s="19" t="inlineStr">
        <x:is>
          <x:t xml:space="preserve">Current</x:t>
        </x:is>
      </x:c>
      <x:c r="F4" s="19" t="inlineStr">
        <x:is>
          <x:t xml:space="preserve">School directories, counts, school-type docs, MSID references</x:t>
        </x:is>
      </x:c>
      <x:c r="G4" s="19" t="inlineStr">
        <x:is>
          <x:t xml:space="preserve">Required</x:t>
        </x:is>
      </x:c>
      <x:c r="H4" s="19" t="inlineStr">
        <x:is>
          <x:t xml:space="preserve">Annual</x:t>
        </x:is>
      </x:c>
      <x:c r="I4" s="19" t="inlineStr">
        <x:is>
          <x:t xml:space="preserve">Needed for school IDs and school-type validation</x:t>
        </x:is>
      </x:c>
    </x:row>
    <x:row r="5">
      <x:c r="A5" s="19" t="inlineStr">
        <x:is>
          <x:t xml:space="preserve">Official</x:t>
        </x:is>
      </x:c>
      <x:c r="B5" s="19" t="inlineStr">
        <x:is>
          <x:t xml:space="preserve">Florida DOE Charter School Directory</x:t>
        </x:is>
      </x:c>
      <x:c r="C5" s="19" t="inlineStr">
        <x:is>
          <x:t xml:space="preserve">https://www.fldoe.org/schools/school-choice/charter-schools/charter-school-directories/</x:t>
        </x:is>
      </x:c>
      <x:c r="D5" s="19" t="inlineStr">
        <x:is>
          <x:t xml:space="preserve">Florida statewide</x:t>
        </x:is>
      </x:c>
      <x:c r="E5" s="19" t="inlineStr">
        <x:is>
          <x:t xml:space="preserve">Current</x:t>
        </x:is>
      </x:c>
      <x:c r="F5" s="19" t="inlineStr">
        <x:is>
          <x:t xml:space="preserve">Charter school contact list by county</x:t>
        </x:is>
      </x:c>
      <x:c r="G5" s="19" t="inlineStr">
        <x:is>
          <x:t xml:space="preserve">Required for charter tab</x:t>
        </x:is>
      </x:c>
      <x:c r="H5" s="19" t="inlineStr">
        <x:is>
          <x:t xml:space="preserve">Periodic</x:t>
        </x:is>
      </x:c>
      <x:c r="I5" s="19" t="inlineStr">
        <x:is>
          <x:t xml:space="preserve">Use for charter layer enrichment</x:t>
        </x:is>
      </x:c>
    </x:row>
    <x:row r="6">
      <x:c r="A6" s="19" t="inlineStr">
        <x:is>
          <x:t xml:space="preserve">Official</x:t>
        </x:is>
      </x:c>
      <x:c r="B6" s="19" t="inlineStr">
        <x:is>
          <x:t xml:space="preserve">Florida DOE Private Schools</x:t>
        </x:is>
      </x:c>
      <x:c r="C6" s="19" t="inlineStr">
        <x:is>
          <x:t xml:space="preserve">https://www.fldoe.org/schools/school-choice/private-schools/</x:t>
        </x:is>
      </x:c>
      <x:c r="D6" s="19" t="inlineStr">
        <x:is>
          <x:t xml:space="preserve">Florida statewide</x:t>
        </x:is>
      </x:c>
      <x:c r="E6" s="19" t="inlineStr">
        <x:is>
          <x:t xml:space="preserve">Current</x:t>
        </x:is>
      </x:c>
      <x:c r="F6" s="19" t="inlineStr">
        <x:is>
          <x:t xml:space="preserve">Private-school context and policy notes</x:t>
        </x:is>
      </x:c>
      <x:c r="G6" s="19" t="inlineStr">
        <x:is>
          <x:t xml:space="preserve">Required for private tab</x:t>
        </x:is>
      </x:c>
      <x:c r="H6" s="19" t="inlineStr">
        <x:is>
          <x:t xml:space="preserve">Annual</x:t>
        </x:is>
      </x:c>
      <x:c r="I6" s="19" t="inlineStr">
        <x:is>
          <x:t xml:space="preserve">Private schools should not reuse public-zone score</x:t>
        </x:is>
      </x:c>
    </x:row>
    <x:row r="7">
      <x:c r="A7" s="19" t="inlineStr">
        <x:is>
          <x:t xml:space="preserve">Official</x:t>
        </x:is>
      </x:c>
      <x:c r="B7" s="19" t="inlineStr">
        <x:is>
          <x:t xml:space="preserve">Florida School Choice Private School Directory download page</x:t>
        </x:is>
      </x:c>
      <x:c r="C7" s="19" t="inlineStr">
        <x:is>
          <x:t xml:space="preserve">https://www.floridaschoolchoice.org/information/privateschooldirectory/DownloadExcelFile.aspx</x:t>
        </x:is>
      </x:c>
      <x:c r="D7" s="19" t="inlineStr">
        <x:is>
          <x:t xml:space="preserve">Florida statewide</x:t>
        </x:is>
      </x:c>
      <x:c r="E7" s="19" t="inlineStr">
        <x:is>
          <x:t xml:space="preserve">Current</x:t>
        </x:is>
      </x:c>
      <x:c r="F7" s="19" t="inlineStr">
        <x:is>
          <x:t xml:space="preserve">Private school contact export by district</x:t>
        </x:is>
      </x:c>
      <x:c r="G7" s="19" t="inlineStr">
        <x:is>
          <x:t xml:space="preserve">Required for private tab</x:t>
        </x:is>
      </x:c>
      <x:c r="H7" s="19" t="inlineStr">
        <x:is>
          <x:t xml:space="preserve">Annual</x:t>
        </x:is>
      </x:c>
      <x:c r="I7" s="19" t="inlineStr">
        <x:is>
          <x:t xml:space="preserve">Use with NCES private-school point file or manual geocoding</x:t>
        </x:is>
      </x:c>
    </x:row>
    <x:row r="8">
      <x:c r="A8" s="19" t="inlineStr">
        <x:is>
          <x:t xml:space="preserve">Official</x:t>
        </x:is>
      </x:c>
      <x:c r="B8" s="19" t="inlineStr">
        <x:is>
          <x:t xml:space="preserve">Seminole school zone search</x:t>
        </x:is>
      </x:c>
      <x:c r="C8" s="19" t="inlineStr">
        <x:is>
          <x:t xml:space="preserve">https://www.scps.k12.fl.us/121791_2</x:t>
        </x:is>
      </x:c>
      <x:c r="D8" s="19" t="inlineStr">
        <x:is>
          <x:t xml:space="preserve">Seminole</x:t>
        </x:is>
      </x:c>
      <x:c r="E8" s="19" t="inlineStr">
        <x:is>
          <x:t xml:space="preserve">2025-26</x:t>
        </x:is>
      </x:c>
      <x:c r="F8" s="19" t="inlineStr">
        <x:is>
          <x:t xml:space="preserve">Boundary search and zone map entry point</x:t>
        </x:is>
      </x:c>
      <x:c r="G8" s="19" t="inlineStr">
        <x:is>
          <x:t xml:space="preserve">Required</x:t>
        </x:is>
      </x:c>
      <x:c r="H8" s="19" t="inlineStr">
        <x:is>
          <x:t xml:space="preserve">As needed</x:t>
        </x:is>
      </x:c>
      <x:c r="I8" s="19" t="inlineStr">
        <x:is>
          <x:t xml:space="preserve">Use for Seminole attendance validation</x:t>
        </x:is>
      </x:c>
    </x:row>
    <x:row r="9">
      <x:c r="A9" s="19" t="inlineStr">
        <x:is>
          <x:t xml:space="preserve">Official</x:t>
        </x:is>
      </x:c>
      <x:c r="B9" s="19" t="inlineStr">
        <x:is>
          <x:t xml:space="preserve">Osceola attendance zone maps</x:t>
        </x:is>
      </x:c>
      <x:c r="C9" s="19" t="inlineStr">
        <x:is>
          <x:t xml:space="preserve">https://www.osceolaschools.net/42202_4</x:t>
        </x:is>
      </x:c>
      <x:c r="D9" s="19" t="inlineStr">
        <x:is>
          <x:t xml:space="preserve">Osceola</x:t>
        </x:is>
      </x:c>
      <x:c r="E9" s="19" t="inlineStr">
        <x:is>
          <x:t xml:space="preserve">2025-26</x:t>
        </x:is>
      </x:c>
      <x:c r="F9" s="19" t="inlineStr">
        <x:is>
          <x:t xml:space="preserve">Elementary, middle, multi-level and high attendance maps</x:t>
        </x:is>
      </x:c>
      <x:c r="G9" s="19" t="inlineStr">
        <x:is>
          <x:t xml:space="preserve">Required</x:t>
        </x:is>
      </x:c>
      <x:c r="H9" s="19" t="inlineStr">
        <x:is>
          <x:t xml:space="preserve">As needed</x:t>
        </x:is>
      </x:c>
      <x:c r="I9" s="19" t="inlineStr">
        <x:is>
          <x:t xml:space="preserve">Official district zoning page</x:t>
        </x:is>
      </x:c>
    </x:row>
    <x:row r="10">
      <x:c r="A10" s="19" t="inlineStr">
        <x:is>
          <x:t xml:space="preserve">Official</x:t>
        </x:is>
      </x:c>
      <x:c r="B10" s="19" t="inlineStr">
        <x:is>
          <x:t xml:space="preserve">Osceola GIS shapefiles page</x:t>
        </x:is>
      </x:c>
      <x:c r="C10" s="19" t="inlineStr">
        <x:is>
          <x:t xml:space="preserve">https://www.osceolaschools.net/42204_4</x:t>
        </x:is>
      </x:c>
      <x:c r="D10" s="19" t="inlineStr">
        <x:is>
          <x:t xml:space="preserve">Osceola</x:t>
        </x:is>
      </x:c>
      <x:c r="E10" s="19" t="inlineStr">
        <x:is>
          <x:t xml:space="preserve">2025-26</x:t>
        </x:is>
      </x:c>
      <x:c r="F10" s="19" t="inlineStr">
        <x:is>
          <x:t xml:space="preserve">Downloadable attendance zone shapefiles by grade band</x:t>
        </x:is>
      </x:c>
      <x:c r="G10" s="19" t="inlineStr">
        <x:is>
          <x:t xml:space="preserve">Required</x:t>
        </x:is>
      </x:c>
      <x:c r="H10" s="19" t="inlineStr">
        <x:is>
          <x:t xml:space="preserve">As needed</x:t>
        </x:is>
      </x:c>
      <x:c r="I10" s="19" t="inlineStr">
        <x:is>
          <x:t xml:space="preserve">Best direct district geometry source in current scope</x:t>
        </x:is>
      </x:c>
    </x:row>
    <x:row r="11">
      <x:c r="A11" s="19" t="inlineStr">
        <x:is>
          <x:t xml:space="preserve">Official</x:t>
        </x:is>
      </x:c>
      <x:c r="B11" s="19" t="inlineStr">
        <x:is>
          <x:t xml:space="preserve">Polk school zones / GeoZone</x:t>
        </x:is>
      </x:c>
      <x:c r="C11" s="19" t="inlineStr">
        <x:is>
          <x:t xml:space="preserve">https://polkschoolsfl.com/schoolsandprograms/schoolzones</x:t>
        </x:is>
      </x:c>
      <x:c r="D11" s="19" t="inlineStr">
        <x:is>
          <x:t xml:space="preserve">Polk</x:t>
        </x:is>
      </x:c>
      <x:c r="E11" s="19" t="inlineStr">
        <x:is>
          <x:t xml:space="preserve">2025-26</x:t>
        </x:is>
      </x:c>
      <x:c r="F11" s="19" t="inlineStr">
        <x:is>
          <x:t xml:space="preserve">Interactive zoning tool and current zone maps</x:t>
        </x:is>
      </x:c>
      <x:c r="G11" s="19" t="inlineStr">
        <x:is>
          <x:t xml:space="preserve">Required</x:t>
        </x:is>
      </x:c>
      <x:c r="H11" s="19" t="inlineStr">
        <x:is>
          <x:t xml:space="preserve">As needed</x:t>
        </x:is>
      </x:c>
      <x:c r="I11" s="19" t="inlineStr">
        <x:is>
          <x:t xml:space="preserve">Use to subset to Davenport/Haines City target area</x:t>
        </x:is>
      </x:c>
    </x:row>
    <x:row r="12">
      <x:c r="A12" s="19" t="inlineStr">
        <x:is>
          <x:t xml:space="preserve">Official</x:t>
        </x:is>
      </x:c>
      <x:c r="B12" s="19" t="inlineStr">
        <x:is>
          <x:t xml:space="preserve">Lake school locator</x:t>
        </x:is>
      </x:c>
      <x:c r="C12" s="19" t="inlineStr">
        <x:is>
          <x:t xml:space="preserve">https://www.lake.k12.fl.us/page/school-locator</x:t>
        </x:is>
      </x:c>
      <x:c r="D12" s="19" t="inlineStr">
        <x:is>
          <x:t xml:space="preserve">Lake</x:t>
        </x:is>
      </x:c>
      <x:c r="E12" s="19" t="inlineStr">
        <x:is>
          <x:t xml:space="preserve">Current</x:t>
        </x:is>
      </x:c>
      <x:c r="F12" s="19" t="inlineStr">
        <x:is>
          <x:t xml:space="preserve">District school locator for zoned schools</x:t>
        </x:is>
      </x:c>
      <x:c r="G12" s="19" t="inlineStr">
        <x:is>
          <x:t xml:space="preserve">Required</x:t>
        </x:is>
      </x:c>
      <x:c r="H12" s="19" t="inlineStr">
        <x:is>
          <x:t xml:space="preserve">As needed</x:t>
        </x:is>
      </x:c>
      <x:c r="I12" s="19" t="inlineStr">
        <x:is>
          <x:t xml:space="preserve">Use with Lake ArcGIS attendance services</x:t>
        </x:is>
      </x:c>
    </x:row>
    <x:row r="13">
      <x:c r="A13" s="19" t="inlineStr">
        <x:is>
          <x:t xml:space="preserve">Official</x:t>
        </x:is>
      </x:c>
      <x:c r="B13" s="19" t="inlineStr">
        <x:is>
          <x:t xml:space="preserve">Lake elementary attendance ArcGIS service</x:t>
        </x:is>
      </x:c>
      <x:c r="C13" s="19" t="inlineStr">
        <x:is>
          <x:t xml:space="preserve">https://gis-apps.lake.k12.fl.us/server/rest/services/Attendance/Elem_Attendance_2021_2022/MapServer/6</x:t>
        </x:is>
      </x:c>
      <x:c r="D13" s="19" t="inlineStr">
        <x:is>
          <x:t xml:space="preserve">Lake</x:t>
        </x:is>
      </x:c>
      <x:c r="E13" s="19" t="inlineStr">
        <x:is>
          <x:t xml:space="preserve">2021-22 service currently exposed</x:t>
        </x:is>
      </x:c>
      <x:c r="F13" s="19" t="inlineStr">
        <x:is>
          <x:t xml:space="preserve">Polygon service for traditional elementary zones</x:t>
        </x:is>
      </x:c>
      <x:c r="G13" s="19" t="inlineStr">
        <x:is>
          <x:t xml:space="preserve">Required</x:t>
        </x:is>
      </x:c>
      <x:c r="H13" s="19" t="inlineStr">
        <x:is>
          <x:t xml:space="preserve">As needed</x:t>
        </x:is>
      </x:c>
      <x:c r="I13" s="19" t="inlineStr">
        <x:is>
          <x:t xml:space="preserve">Geometry source shown by official district ArcGIS REST service</x:t>
        </x:is>
      </x:c>
    </x:row>
    <x:row r="14">
      <x:c r="A14" s="19" t="inlineStr">
        <x:is>
          <x:t xml:space="preserve">Official</x:t>
        </x:is>
      </x:c>
      <x:c r="B14" s="19" t="inlineStr">
        <x:is>
          <x:t xml:space="preserve">NCES EDGE school geocodes overview</x:t>
        </x:is>
      </x:c>
      <x:c r="C14" s="19" t="inlineStr">
        <x:is>
          <x:t xml:space="preserve">https://nces.ed.gov/programs/edge/geographic/schoollocations</x:t>
        </x:is>
      </x:c>
      <x:c r="D14" s="19" t="inlineStr">
        <x:is>
          <x:t xml:space="preserve">US nationwide</x:t>
        </x:is>
      </x:c>
      <x:c r="E14" s="19" t="inlineStr">
        <x:is>
          <x:t xml:space="preserve">Current</x:t>
        </x:is>
      </x:c>
      <x:c r="F14" s="19" t="inlineStr">
        <x:is>
          <x:t xml:space="preserve">Official explanation for public/private school point files and web services</x:t>
        </x:is>
      </x:c>
      <x:c r="G14" s="19" t="inlineStr">
        <x:is>
          <x:t xml:space="preserve">Required for point layer</x:t>
        </x:is>
      </x:c>
      <x:c r="H14" s="19" t="inlineStr">
        <x:is>
          <x:t xml:space="preserve">Periodic</x:t>
        </x:is>
      </x:c>
      <x:c r="I14" s="19" t="inlineStr">
        <x:is>
          <x:t xml:space="preserve">Use NCES point locations to fill latitude/longitude</x:t>
        </x:is>
      </x:c>
    </x:row>
    <x:row r="15">
      <x:c r="A15" s="20" t="inlineStr">
        <x:is>
          <x:t xml:space="preserve">Licensed / Optional</x:t>
        </x:is>
      </x:c>
      <x:c r="B15" s="20" t="inlineStr">
        <x:is>
          <x:t xml:space="preserve">GreatSchools API / licensing</x:t>
        </x:is>
      </x:c>
      <x:c r="C15" s="20" t="inlineStr">
        <x:is>
          <x:t xml:space="preserve">https://www.greatschools.org/gk/terms/</x:t>
        </x:is>
      </x:c>
      <x:c r="D15" s="20" t="inlineStr">
        <x:is>
          <x:t xml:space="preserve">US nationwide</x:t>
        </x:is>
      </x:c>
      <x:c r="E15" s="20" t="inlineStr">
        <x:is>
          <x:t xml:space="preserve">Current</x:t>
        </x:is>
      </x:c>
      <x:c r="F15" s="20" t="inlineStr">
        <x:is>
          <x:t xml:space="preserve">API or licensed rating overlays only</x:t>
        </x:is>
      </x:c>
      <x:c r="G15" s="20" t="inlineStr">
        <x:is>
          <x:t xml:space="preserve">Optional</x:t>
        </x:is>
      </x:c>
      <x:c r="H15" s="20" t="inlineStr">
        <x:is>
          <x:t xml:space="preserve">Contract-driven</x:t>
        </x:is>
      </x:c>
      <x:c r="I15" s="20" t="inlineStr">
        <x:is>
          <x:t xml:space="preserve">Do not scrape directly</x:t>
        </x:is>
      </x:c>
    </x:row>
    <x:row r="16">
      <x:c r="A16" s="20" t="inlineStr">
        <x:is>
          <x:t xml:space="preserve">Licensed / Optional</x:t>
        </x:is>
      </x:c>
      <x:c r="B16" s="20" t="inlineStr">
        <x:is>
          <x:t xml:space="preserve">Niche terms / licensing</x:t>
        </x:is>
      </x:c>
      <x:c r="C16" s="20" t="inlineStr">
        <x:is>
          <x:t xml:space="preserve">https://www.niche.com/about/terms/</x:t>
        </x:is>
      </x:c>
      <x:c r="D16" s="20" t="inlineStr">
        <x:is>
          <x:t xml:space="preserve">US nationwide</x:t>
        </x:is>
      </x:c>
      <x:c r="E16" s="20" t="inlineStr">
        <x:is>
          <x:t xml:space="preserve">Current</x:t>
        </x:is>
      </x:c>
      <x:c r="F16" s="20" t="inlineStr">
        <x:is>
          <x:t xml:space="preserve">Optional enrichment or manual curation</x:t>
        </x:is>
      </x:c>
      <x:c r="G16" s="20" t="inlineStr">
        <x:is>
          <x:t xml:space="preserve">Optional</x:t>
        </x:is>
      </x:c>
      <x:c r="H16" s="20" t="inlineStr">
        <x:is>
          <x:t xml:space="preserve">Contract-driven</x:t>
        </x:is>
      </x:c>
      <x:c r="I16" s="20" t="inlineStr">
        <x:is>
          <x:t xml:space="preserve">Do not scrape directly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99b821d13404fc1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8" customWidth="1"/>
    <x:col min="3" max="3" width="10" customWidth="1"/>
    <x:col min="4" max="4" width="40" customWidth="1"/>
    <x:col min="5" max="5" width="10" customWidth="1"/>
    <x:col min="6" max="6" width="10" customWidth="1"/>
    <x:col min="7" max="7" width="18" customWidth="1"/>
    <x:col min="8" max="8" width="28" customWidth="1"/>
  </x:cols>
  <x:sheetData>
    <x:row r="1" ht="24" customHeight="1">
      <x:c r="A1" s="21" t="inlineStr">
        <x:is>
          <x:t xml:space="preserve">Table_Name</x:t>
        </x:is>
      </x:c>
      <x:c r="B1" s="21" t="inlineStr">
        <x:is>
          <x:t xml:space="preserve">Field_Name</x:t>
        </x:is>
      </x:c>
      <x:c r="C1" s="21" t="inlineStr">
        <x:is>
          <x:t xml:space="preserve">Type</x:t>
        </x:is>
      </x:c>
      <x:c r="D1" s="21" t="inlineStr">
        <x:is>
          <x:t xml:space="preserve">Description</x:t>
        </x:is>
      </x:c>
      <x:c r="E1" s="21" t="inlineStr">
        <x:is>
          <x:t xml:space="preserve">Required</x:t>
        </x:is>
      </x:c>
      <x:c r="F1" s="21" t="inlineStr">
        <x:is>
          <x:t xml:space="preserve">Primary_Key</x:t>
        </x:is>
      </x:c>
      <x:c r="G1" s="21" t="inlineStr">
        <x:is>
          <x:t xml:space="preserve">Example</x:t>
        </x:is>
      </x:c>
      <x:c r="H1" s="21" t="inlineStr">
        <x:is>
          <x:t xml:space="preserve">Source_or_Logic</x:t>
        </x:is>
      </x:c>
    </x:row>
    <x:row r="2">
      <x:c r="A2" s="5" t="inlineStr">
        <x:is>
          <x:t xml:space="preserve">school_master</x:t>
        </x:is>
      </x:c>
      <x:c r="B2" s="5" t="inlineStr">
        <x:is>
          <x:t xml:space="preserve">state_school_id</x:t>
        </x:is>
      </x:c>
      <x:c r="C2" s="5" t="inlineStr">
        <x:is>
          <x:t xml:space="preserve">text</x:t>
        </x:is>
      </x:c>
      <x:c r="D2" s="5" t="inlineStr">
        <x:is>
          <x:t xml:space="preserve">Florida state school identifier / MSID-aligned field</x:t>
        </x:is>
      </x:c>
      <x:c r="E2" s="5" t="inlineStr">
        <x:is>
          <x:t xml:space="preserve">Y</x:t>
        </x:is>
      </x:c>
      <x:c r="F2" s="5" t="inlineStr">
        <x:is>
          <x:t xml:space="preserve">Y</x:t>
        </x:is>
      </x:c>
      <x:c r="G2" s="5" t="inlineStr">
        <x:is>
          <x:t xml:space="preserve">5901234</x:t>
        </x:is>
      </x:c>
      <x:c r="H2" s="5" t="inlineStr">
        <x:is>
          <x:t xml:space="preserve">Official state or district directory</x:t>
        </x:is>
      </x:c>
    </x:row>
    <x:row r="3">
      <x:c r="A3" s="5" t="inlineStr">
        <x:is>
          <x:t xml:space="preserve">school_master</x:t>
        </x:is>
      </x:c>
      <x:c r="B3" s="5" t="inlineStr">
        <x:is>
          <x:t xml:space="preserve">nces_id</x:t>
        </x:is>
      </x:c>
      <x:c r="C3" s="5" t="inlineStr">
        <x:is>
          <x:t xml:space="preserve">text</x:t>
        </x:is>
      </x:c>
      <x:c r="D3" s="5" t="inlineStr">
        <x:is>
          <x:t xml:space="preserve">Federal NCES school ID when available</x:t>
        </x:is>
      </x:c>
      <x:c r="E3" s="5" t="inlineStr">
        <x:is>
          <x:t xml:space="preserve">N</x:t>
        </x:is>
      </x:c>
      <x:c r="F3" s="5" t="inlineStr">
        <x:is>
          <x:t xml:space="preserve">N</x:t>
        </x:is>
      </x:c>
      <x:c r="G3" s="5" t="inlineStr">
        <x:is>
          <x:t xml:space="preserve">120144000123</x:t>
        </x:is>
      </x:c>
      <x:c r="H3" s="5" t="inlineStr">
        <x:is>
          <x:t xml:space="preserve">NCES / directory crosswalk</x:t>
        </x:is>
      </x:c>
    </x:row>
    <x:row r="4">
      <x:c r="A4" s="5" t="inlineStr">
        <x:is>
          <x:t xml:space="preserve">school_master</x:t>
        </x:is>
      </x:c>
      <x:c r="B4" s="5" t="inlineStr">
        <x:is>
          <x:t xml:space="preserve">school_type</x:t>
        </x:is>
      </x:c>
      <x:c r="C4" s="5" t="inlineStr">
        <x:is>
          <x:t xml:space="preserve">text</x:t>
        </x:is>
      </x:c>
      <x:c r="D4" s="5" t="inlineStr">
        <x:is>
          <x:t xml:space="preserve">Traditional public / charter / magnet / private / combination</x:t>
        </x:is>
      </x:c>
      <x:c r="E4" s="5" t="inlineStr">
        <x:is>
          <x:t xml:space="preserve">Y</x:t>
        </x:is>
      </x:c>
      <x:c r="F4" s="5" t="inlineStr">
        <x:is>
          <x:t xml:space="preserve">N</x:t>
        </x:is>
      </x:c>
      <x:c r="G4" s="5" t="inlineStr">
        <x:is>
          <x:t xml:space="preserve">Traditional public</x:t>
        </x:is>
      </x:c>
      <x:c r="H4" s="5" t="inlineStr">
        <x:is>
          <x:t xml:space="preserve">Manual classification + source files</x:t>
        </x:is>
      </x:c>
    </x:row>
    <x:row r="5">
      <x:c r="A5" s="5" t="inlineStr">
        <x:is>
          <x:t xml:space="preserve">school_master</x:t>
        </x:is>
      </x:c>
      <x:c r="B5" s="5" t="inlineStr">
        <x:is>
          <x:t xml:space="preserve">grades_served</x:t>
        </x:is>
      </x:c>
      <x:c r="C5" s="5" t="inlineStr">
        <x:is>
          <x:t xml:space="preserve">text</x:t>
        </x:is>
      </x:c>
      <x:c r="D5" s="5" t="inlineStr">
        <x:is>
          <x:t xml:space="preserve">Grade span</x:t>
        </x:is>
      </x:c>
      <x:c r="E5" s="5" t="inlineStr">
        <x:is>
          <x:t xml:space="preserve">Y</x:t>
        </x:is>
      </x:c>
      <x:c r="F5" s="5" t="inlineStr">
        <x:is>
          <x:t xml:space="preserve">N</x:t>
        </x:is>
      </x:c>
      <x:c r="G5" s="5" t="inlineStr">
        <x:is>
          <x:t xml:space="preserve">K-5</x:t>
        </x:is>
      </x:c>
      <x:c r="H5" s="5" t="inlineStr">
        <x:is>
          <x:t xml:space="preserve">Directory fields</x:t>
        </x:is>
      </x:c>
    </x:row>
    <x:row r="6">
      <x:c r="A6" s="5" t="inlineStr">
        <x:is>
          <x:t xml:space="preserve">school_master</x:t>
        </x:is>
      </x:c>
      <x:c r="B6" s="5" t="inlineStr">
        <x:is>
          <x:t xml:space="preserve">latitude</x:t>
        </x:is>
      </x:c>
      <x:c r="C6" s="5" t="inlineStr">
        <x:is>
          <x:t xml:space="preserve">decimal</x:t>
        </x:is>
      </x:c>
      <x:c r="D6" s="5" t="inlineStr">
        <x:is>
          <x:t xml:space="preserve">School point latitude</x:t>
        </x:is>
      </x:c>
      <x:c r="E6" s="5" t="inlineStr">
        <x:is>
          <x:t xml:space="preserve">Y</x:t>
        </x:is>
      </x:c>
      <x:c r="F6" s="5" t="inlineStr">
        <x:is>
          <x:t xml:space="preserve">N</x:t>
        </x:is>
      </x:c>
      <x:c r="G6" s="5" t="inlineStr">
        <x:is>
          <x:t xml:space="preserve">28.5651</x:t>
        </x:is>
      </x:c>
      <x:c r="H6" s="5" t="inlineStr">
        <x:is>
          <x:t xml:space="preserve">District GIS / geocoder</x:t>
        </x:is>
      </x:c>
    </x:row>
    <x:row r="7">
      <x:c r="A7" s="5" t="inlineStr">
        <x:is>
          <x:t xml:space="preserve">zone_master</x:t>
        </x:is>
      </x:c>
      <x:c r="B7" s="5" t="inlineStr">
        <x:is>
          <x:t xml:space="preserve">zone_id</x:t>
        </x:is>
      </x:c>
      <x:c r="C7" s="5" t="inlineStr">
        <x:is>
          <x:t xml:space="preserve">text</x:t>
        </x:is>
      </x:c>
      <x:c r="D7" s="5" t="inlineStr">
        <x:is>
          <x:t xml:space="preserve">Stable unique polygon identifier</x:t>
        </x:is>
      </x:c>
      <x:c r="E7" s="5" t="inlineStr">
        <x:is>
          <x:t xml:space="preserve">Y</x:t>
        </x:is>
      </x:c>
      <x:c r="F7" s="5" t="inlineStr">
        <x:is>
          <x:t xml:space="preserve">Y</x:t>
        </x:is>
      </x:c>
      <x:c r="G7" s="5" t="inlineStr">
        <x:is>
          <x:t xml:space="preserve">SEM-ELEM-HAGERTY-2026</x:t>
        </x:is>
      </x:c>
      <x:c r="H7" s="5" t="inlineStr">
        <x:is>
          <x:t xml:space="preserve">Create in ETL if district file lacks stable ID</x:t>
        </x:is>
      </x:c>
    </x:row>
    <x:row r="8">
      <x:c r="A8" s="5" t="inlineStr">
        <x:is>
          <x:t xml:space="preserve">zone_master</x:t>
        </x:is>
      </x:c>
      <x:c r="B8" s="5" t="inlineStr">
        <x:is>
          <x:t xml:space="preserve">grade_band</x:t>
        </x:is>
      </x:c>
      <x:c r="C8" s="5" t="inlineStr">
        <x:is>
          <x:t xml:space="preserve">text</x:t>
        </x:is>
      </x:c>
      <x:c r="D8" s="5" t="inlineStr">
        <x:is>
          <x:t xml:space="preserve">Elementary / Middle / High / K8 / Combo</x:t>
        </x:is>
      </x:c>
      <x:c r="E8" s="5" t="inlineStr">
        <x:is>
          <x:t xml:space="preserve">Y</x:t>
        </x:is>
      </x:c>
      <x:c r="F8" s="5" t="inlineStr">
        <x:is>
          <x:t xml:space="preserve">N</x:t>
        </x:is>
      </x:c>
      <x:c r="G8" s="5" t="inlineStr">
        <x:is>
          <x:t xml:space="preserve">Elementary</x:t>
        </x:is>
      </x:c>
      <x:c r="H8" s="5" t="inlineStr">
        <x:is>
          <x:t xml:space="preserve">Boundary source</x:t>
        </x:is>
      </x:c>
    </x:row>
    <x:row r="9">
      <x:c r="A9" s="5" t="inlineStr">
        <x:is>
          <x:t xml:space="preserve">zone_master</x:t>
        </x:is>
      </x:c>
      <x:c r="B9" s="5" t="inlineStr">
        <x:is>
          <x:t xml:space="preserve">geometry_ref</x:t>
        </x:is>
      </x:c>
      <x:c r="C9" s="5" t="inlineStr">
        <x:is>
          <x:t xml:space="preserve">text</x:t>
        </x:is>
      </x:c>
      <x:c r="D9" s="5" t="inlineStr">
        <x:is>
          <x:t xml:space="preserve">Geometry storage reference or filename</x:t>
        </x:is>
      </x:c>
      <x:c r="E9" s="5" t="inlineStr">
        <x:is>
          <x:t xml:space="preserve">Y</x:t>
        </x:is>
      </x:c>
      <x:c r="F9" s="5" t="inlineStr">
        <x:is>
          <x:t xml:space="preserve">N</x:t>
        </x:is>
      </x:c>
      <x:c r="G9" s="5" t="inlineStr">
        <x:is>
          <x:t xml:space="preserve">osceola_k5_2025_2026.shp</x:t>
        </x:is>
      </x:c>
      <x:c r="H9" s="5" t="inlineStr">
        <x:is>
          <x:t xml:space="preserve">GIS asset inventory</x:t>
        </x:is>
      </x:c>
    </x:row>
    <x:row r="10">
      <x:c r="A10" s="5" t="inlineStr">
        <x:is>
          <x:t xml:space="preserve">school_performance</x:t>
        </x:is>
      </x:c>
      <x:c r="B10" s="5" t="inlineStr">
        <x:is>
          <x:t xml:space="preserve">school_year</x:t>
        </x:is>
      </x:c>
      <x:c r="C10" s="5" t="inlineStr">
        <x:is>
          <x:t xml:space="preserve">text</x:t>
        </x:is>
      </x:c>
      <x:c r="D10" s="5" t="inlineStr">
        <x:is>
          <x:t xml:space="preserve">Reporting year or school year label</x:t>
        </x:is>
      </x:c>
      <x:c r="E10" s="5" t="inlineStr">
        <x:is>
          <x:t xml:space="preserve">Y</x:t>
        </x:is>
      </x:c>
      <x:c r="F10" s="5" t="inlineStr">
        <x:is>
          <x:t xml:space="preserve">Y*</x:t>
        </x:is>
      </x:c>
      <x:c r="G10" s="5" t="inlineStr">
        <x:is>
          <x:t xml:space="preserve">2025</x:t>
        </x:is>
      </x:c>
      <x:c r="H10" s="5" t="inlineStr">
        <x:is>
          <x:t xml:space="preserve">Official accountability release</x:t>
        </x:is>
      </x:c>
    </x:row>
    <x:row r="11">
      <x:c r="A11" s="5" t="inlineStr">
        <x:is>
          <x:t xml:space="preserve">school_performance</x:t>
        </x:is>
      </x:c>
      <x:c r="B11" s="5" t="inlineStr">
        <x:is>
          <x:t xml:space="preserve">fl_school_grade</x:t>
        </x:is>
      </x:c>
      <x:c r="C11" s="5" t="inlineStr">
        <x:is>
          <x:t xml:space="preserve">text</x:t>
        </x:is>
      </x:c>
      <x:c r="D11" s="5" t="inlineStr">
        <x:is>
          <x:t xml:space="preserve">Florida school grade</x:t>
        </x:is>
      </x:c>
      <x:c r="E11" s="5" t="inlineStr">
        <x:is>
          <x:t xml:space="preserve">Y</x:t>
        </x:is>
      </x:c>
      <x:c r="F11" s="5" t="inlineStr">
        <x:is>
          <x:t xml:space="preserve">N</x:t>
        </x:is>
      </x:c>
      <x:c r="G11" s="5" t="inlineStr">
        <x:is>
          <x:t xml:space="preserve">A</x:t>
        </x:is>
      </x:c>
      <x:c r="H11" s="5" t="inlineStr">
        <x:is>
          <x:t xml:space="preserve">Florida DOE school grades</x:t>
        </x:is>
      </x:c>
    </x:row>
    <x:row r="12">
      <x:c r="A12" s="5" t="inlineStr">
        <x:is>
          <x:t xml:space="preserve">school_performance</x:t>
        </x:is>
      </x:c>
      <x:c r="B12" s="5" t="inlineStr">
        <x:is>
          <x:t xml:space="preserve">ela_achievement_pct</x:t>
        </x:is>
      </x:c>
      <x:c r="C12" s="5" t="inlineStr">
        <x:is>
          <x:t xml:space="preserve">decimal</x:t>
        </x:is>
      </x:c>
      <x:c r="D12" s="5" t="inlineStr">
        <x:is>
          <x:t xml:space="preserve">Achievement or proficiency measure</x:t>
        </x:is>
      </x:c>
      <x:c r="E12" s="5" t="inlineStr">
        <x:is>
          <x:t xml:space="preserve">N</x:t>
        </x:is>
      </x:c>
      <x:c r="F12" s="5" t="inlineStr">
        <x:is>
          <x:t xml:space="preserve">N</x:t>
        </x:is>
      </x:c>
      <x:c r="G12" s="5" t="inlineStr">
        <x:is>
          <x:t xml:space="preserve">68.4</x:t>
        </x:is>
      </x:c>
      <x:c r="H12" s="5" t="inlineStr">
        <x:is>
          <x:t xml:space="preserve">Official assessment files</x:t>
        </x:is>
      </x:c>
    </x:row>
    <x:row r="13">
      <x:c r="A13" s="5" t="inlineStr">
        <x:is>
          <x:t xml:space="preserve">school_performance</x:t>
        </x:is>
      </x:c>
      <x:c r="B13" s="5" t="inlineStr">
        <x:is>
          <x:t xml:space="preserve">math_achievement_pct</x:t>
        </x:is>
      </x:c>
      <x:c r="C13" s="5" t="inlineStr">
        <x:is>
          <x:t xml:space="preserve">decimal</x:t>
        </x:is>
      </x:c>
      <x:c r="D13" s="5" t="inlineStr">
        <x:is>
          <x:t xml:space="preserve">Achievement or proficiency measure</x:t>
        </x:is>
      </x:c>
      <x:c r="E13" s="5" t="inlineStr">
        <x:is>
          <x:t xml:space="preserve">N</x:t>
        </x:is>
      </x:c>
      <x:c r="F13" s="5" t="inlineStr">
        <x:is>
          <x:t xml:space="preserve">N</x:t>
        </x:is>
      </x:c>
      <x:c r="G13" s="5" t="inlineStr">
        <x:is>
          <x:t xml:space="preserve">71.2</x:t>
        </x:is>
      </x:c>
      <x:c r="H13" s="5" t="inlineStr">
        <x:is>
          <x:t xml:space="preserve">Official assessment files</x:t>
        </x:is>
      </x:c>
    </x:row>
    <x:row r="14">
      <x:c r="A14" s="5" t="inlineStr">
        <x:is>
          <x:t xml:space="preserve">school_performance</x:t>
        </x:is>
      </x:c>
      <x:c r="B14" s="5" t="inlineStr">
        <x:is>
          <x:t xml:space="preserve">growth_pct</x:t>
        </x:is>
      </x:c>
      <x:c r="C14" s="5" t="inlineStr">
        <x:is>
          <x:t xml:space="preserve">decimal</x:t>
        </x:is>
      </x:c>
      <x:c r="D14" s="5" t="inlineStr">
        <x:is>
          <x:t xml:space="preserve">Learning gains / growth measure</x:t>
        </x:is>
      </x:c>
      <x:c r="E14" s="5" t="inlineStr">
        <x:is>
          <x:t xml:space="preserve">N</x:t>
        </x:is>
      </x:c>
      <x:c r="F14" s="5" t="inlineStr">
        <x:is>
          <x:t xml:space="preserve">N</x:t>
        </x:is>
      </x:c>
      <x:c r="G14" s="5" t="inlineStr">
        <x:is>
          <x:t xml:space="preserve">59.7</x:t>
        </x:is>
      </x:c>
      <x:c r="H14" s="5" t="inlineStr">
        <x:is>
          <x:t xml:space="preserve">Official accountability files</x:t>
        </x:is>
      </x:c>
    </x:row>
    <x:row r="15">
      <x:c r="A15" s="5" t="inlineStr">
        <x:is>
          <x:t xml:space="preserve">program_master</x:t>
        </x:is>
      </x:c>
      <x:c r="B15" s="5" t="inlineStr">
        <x:is>
          <x:t xml:space="preserve">program_type</x:t>
        </x:is>
      </x:c>
      <x:c r="C15" s="5" t="inlineStr">
        <x:is>
          <x:t xml:space="preserve">text</x:t>
        </x:is>
      </x:c>
      <x:c r="D15" s="5" t="inlineStr">
        <x:is>
          <x:t xml:space="preserve">Magnet / Charter / Private / Program of Emphasis / Choice</x:t>
        </x:is>
      </x:c>
      <x:c r="E15" s="5" t="inlineStr">
        <x:is>
          <x:t xml:space="preserve">Y</x:t>
        </x:is>
      </x:c>
      <x:c r="F15" s="5" t="inlineStr">
        <x:is>
          <x:t xml:space="preserve">N</x:t>
        </x:is>
      </x:c>
      <x:c r="G15" s="5" t="inlineStr">
        <x:is>
          <x:t xml:space="preserve">Magnet</x:t>
        </x:is>
      </x:c>
      <x:c r="H15" s="5" t="inlineStr">
        <x:is>
          <x:t xml:space="preserve">District or school program data</x:t>
        </x:is>
      </x:c>
    </x:row>
    <x:row r="16">
      <x:c r="A16" s="5" t="inlineStr">
        <x:is>
          <x:t xml:space="preserve">program_master</x:t>
        </x:is>
      </x:c>
      <x:c r="B16" s="5" t="inlineStr">
        <x:is>
          <x:t xml:space="preserve">admissions_notes</x:t>
        </x:is>
      </x:c>
      <x:c r="C16" s="5" t="inlineStr">
        <x:is>
          <x:t xml:space="preserve">text</x:t>
        </x:is>
      </x:c>
      <x:c r="D16" s="5" t="inlineStr">
        <x:is>
          <x:t xml:space="preserve">Application or eligibility notes</x:t>
        </x:is>
      </x:c>
      <x:c r="E16" s="5" t="inlineStr">
        <x:is>
          <x:t xml:space="preserve">N</x:t>
        </x:is>
      </x:c>
      <x:c r="F16" s="5" t="inlineStr">
        <x:is>
          <x:t xml:space="preserve">N</x:t>
        </x:is>
      </x:c>
      <x:c r="G16" s="5" t="inlineStr">
        <x:is>
          <x:t xml:space="preserve">Lottery; application required</x:t>
        </x:is>
      </x:c>
      <x:c r="H16" s="5" t="inlineStr">
        <x:is>
          <x:t xml:space="preserve">District choice page</x:t>
        </x:is>
      </x:c>
    </x:row>
    <x:row r="17">
      <x:c r="A17" s="5" t="inlineStr">
        <x:is>
          <x:t xml:space="preserve">Map_Config</x:t>
        </x:is>
      </x:c>
      <x:c r="B17" s="5" t="inlineStr">
        <x:is>
          <x:t xml:space="preserve">legend_order</x:t>
        </x:is>
      </x:c>
      <x:c r="C17" s="5" t="inlineStr">
        <x:is>
          <x:t xml:space="preserve">number</x:t>
        </x:is>
      </x:c>
      <x:c r="D17" s="5" t="inlineStr">
        <x:is>
          <x:t xml:space="preserve">Order in UI legend</x:t>
        </x:is>
      </x:c>
      <x:c r="E17" s="5" t="inlineStr">
        <x:is>
          <x:t xml:space="preserve">Y</x:t>
        </x:is>
      </x:c>
      <x:c r="F17" s="5" t="inlineStr">
        <x:is>
          <x:t xml:space="preserve">N</x:t>
        </x:is>
      </x:c>
      <x:c r="G17" s="5" t="inlineStr">
        <x:is>
          <x:t xml:space="preserve">10</x:t>
        </x:is>
      </x:c>
      <x:c r="H17" s="5" t="inlineStr">
        <x:is>
          <x:t xml:space="preserve">Manual config</x:t>
        </x:is>
      </x:c>
    </x:row>
    <x:row r="18">
      <x:c r="A18" t="inlineStr">
        <x:is>
          <x:t xml:space="preserve">FDOE_Grades_2025_Raw</x:t>
        </x:is>
      </x:c>
      <x:c r="B18" t="inlineStr">
        <x:is>
          <x:t xml:space="preserve">state_school_id</x:t>
        </x:is>
      </x:c>
      <x:c r="C18" t="inlineStr">
        <x:is>
          <x:t xml:space="preserve">text</x:t>
        </x:is>
      </x:c>
      <x:c r="D18" t="inlineStr">
        <x:is>
          <x:t xml:space="preserve">Concatenated district number + school number</x:t>
        </x:is>
      </x:c>
      <x:c r="E18" t="inlineStr">
        <x:is>
          <x:t xml:space="preserve">Y</x:t>
        </x:is>
      </x:c>
      <x:c r="F18" t="inlineStr">
        <x:is>
          <x:t xml:space="preserve">Y</x:t>
        </x:is>
      </x:c>
      <x:c r="G18" t="inlineStr">
        <x:is>
          <x:t xml:space="preserve">5901234</x:t>
        </x:is>
      </x:c>
      <x:c r="H18" t="inlineStr">
        <x:is>
          <x:t xml:space="preserve">Constructed from 2025 FDOE grades file</x:t>
        </x:is>
      </x:c>
    </x:row>
    <x:row r="19">
      <x:c r="A19" t="inlineStr">
        <x:is>
          <x:t xml:space="preserve">school_performance</x:t>
        </x:is>
      </x:c>
      <x:c r="B19" t="inlineStr">
        <x:is>
          <x:t xml:space="preserve">growth_pct</x:t>
        </x:is>
      </x:c>
      <x:c r="C19" t="inlineStr">
        <x:is>
          <x:t xml:space="preserve">number</x:t>
        </x:is>
      </x:c>
      <x:c r="D19" t="inlineStr">
        <x:is>
          <x:t xml:space="preserve">First-pass growth field uses official ELA learning gains</x:t>
        </x:is>
      </x:c>
      <x:c r="E19" t="inlineStr">
        <x:is>
          <x:t xml:space="preserve">Y</x:t>
        </x:is>
      </x:c>
      <x:c r="F19" t="inlineStr">
        <x:is>
          <x:t xml:space="preserve">N</x:t>
        </x:is>
      </x:c>
      <x:c r="G19" t="inlineStr">
        <x:is>
          <x:t xml:space="preserve">62</x:t>
        </x:is>
      </x:c>
      <x:c r="H19" t="inlineStr">
        <x:is>
          <x:t xml:space="preserve">Mapped from FDOE English Language Arts Learning Gains</x:t>
        </x:is>
      </x:c>
    </x:row>
    <x:row r="20">
      <x:c r="A20" t="inlineStr">
        <x:is>
          <x:t xml:space="preserve">zone_master</x:t>
        </x:is>
      </x:c>
      <x:c r="B20" t="inlineStr">
        <x:is>
          <x:t xml:space="preserve">geometry_file_or_layer</x:t>
        </x:is>
      </x:c>
      <x:c r="C20" t="inlineStr">
        <x:is>
          <x:t xml:space="preserve">text</x:t>
        </x:is>
      </x:c>
      <x:c r="D20" t="inlineStr">
        <x:is>
          <x:t xml:space="preserve">District GIS layer, mapbook, or zoning tool URL</x:t>
        </x:is>
      </x:c>
      <x:c r="E20" t="inlineStr">
        <x:is>
          <x:t xml:space="preserve">Y</x:t>
        </x:is>
      </x:c>
      <x:c r="F20" t="inlineStr">
        <x:is>
          <x:t xml:space="preserve">N</x:t>
        </x:is>
      </x:c>
      <x:c r="G20" t="inlineStr">
        <x:is>
          <x:t xml:space="preserve">https://...</x:t>
        </x:is>
      </x:c>
      <x:c r="H20" t="inlineStr">
        <x:is>
          <x:t xml:space="preserve">Use exact downloadable geometry in final map build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936e7e42f974aa7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4" customWidth="1"/>
    <x:col min="4" max="4" width="14" customWidth="1"/>
    <x:col min="5" max="5" width="36" customWidth="1"/>
    <x:col min="6" max="6" width="16" customWidth="1"/>
    <x:col min="7" max="7" width="12" customWidth="1"/>
    <x:col min="8" max="8" width="10" customWidth="1"/>
    <x:col min="9" max="9" width="10" customWidth="1"/>
    <x:col min="10" max="10" width="10" customWidth="1"/>
    <x:col min="11" max="11" width="12" customWidth="1"/>
    <x:col min="12" max="12" width="22" customWidth="1"/>
    <x:col min="13" max="13" width="14" customWidth="1"/>
    <x:col min="14" max="14" width="10" customWidth="1"/>
    <x:col min="15" max="15" width="11" customWidth="1"/>
    <x:col min="16" max="16" width="11" customWidth="1"/>
    <x:col min="17" max="17" width="38" customWidth="1"/>
    <x:col min="18" max="18" width="42" customWidth="1"/>
  </x:cols>
  <x:sheetData>
    <x:row r="1" ht="24" customHeight="1">
      <x:c r="A1" s="22" t="inlineStr">
        <x:is>
          <x:t xml:space="preserve">district</x:t>
        </x:is>
      </x:c>
      <x:c r="B1" s="22" t="inlineStr">
        <x:is>
          <x:t xml:space="preserve">county</x:t>
        </x:is>
      </x:c>
      <x:c r="C1" s="22" t="inlineStr">
        <x:is>
          <x:t xml:space="preserve">state_school_id</x:t>
        </x:is>
      </x:c>
      <x:c r="D1" s="22" t="inlineStr">
        <x:is>
          <x:t xml:space="preserve">nces_id</x:t>
        </x:is>
      </x:c>
      <x:c r="E1" s="22" t="inlineStr">
        <x:is>
          <x:t xml:space="preserve">school_name</x:t>
        </x:is>
      </x:c>
      <x:c r="F1" s="22" t="inlineStr">
        <x:is>
          <x:t xml:space="preserve">school_type</x:t>
        </x:is>
      </x:c>
      <x:c r="G1" s="22" t="inlineStr">
        <x:is>
          <x:t xml:space="preserve">is_zoned_public</x:t>
        </x:is>
      </x:c>
      <x:c r="H1" s="22" t="inlineStr">
        <x:is>
          <x:t xml:space="preserve">is_charter</x:t>
        </x:is>
      </x:c>
      <x:c r="I1" s="22" t="inlineStr">
        <x:is>
          <x:t xml:space="preserve">is_magnet</x:t>
        </x:is>
      </x:c>
      <x:c r="J1" s="22" t="inlineStr">
        <x:is>
          <x:t xml:space="preserve">is_private</x:t>
        </x:is>
      </x:c>
      <x:c r="K1" s="22" t="inlineStr">
        <x:is>
          <x:t xml:space="preserve">grades_served</x:t>
        </x:is>
      </x:c>
      <x:c r="L1" s="22" t="inlineStr">
        <x:is>
          <x:t xml:space="preserve">address</x:t>
        </x:is>
      </x:c>
      <x:c r="M1" s="22" t="inlineStr">
        <x:is>
          <x:t xml:space="preserve">city</x:t>
        </x:is>
      </x:c>
      <x:c r="N1" s="22" t="inlineStr">
        <x:is>
          <x:t xml:space="preserve">zip</x:t>
        </x:is>
      </x:c>
      <x:c r="O1" s="22" t="inlineStr">
        <x:is>
          <x:t xml:space="preserve">latitude</x:t>
        </x:is>
      </x:c>
      <x:c r="P1" s="22" t="inlineStr">
        <x:is>
          <x:t xml:space="preserve">longitude</x:t>
        </x:is>
      </x:c>
      <x:c r="Q1" s="22" t="inlineStr">
        <x:is>
          <x:t xml:space="preserve">source_url</x:t>
        </x:is>
      </x:c>
      <x:c r="R1" s="22" t="inlineStr">
        <x:is>
          <x:t xml:space="preserve">notes</x:t>
        </x:is>
      </x:c>
    </x:row>
    <x:row r="2">
      <x:c r="A2" s="23" t="inlineStr">
        <x:is>
          <x:t xml:space="preserve">LAKE</x:t>
        </x:is>
      </x:c>
      <x:c r="B2" s="23" t="inlineStr">
        <x:is>
          <x:t xml:space="preserve">LAKE</x:t>
        </x:is>
      </x:c>
      <x:c r="C2" s="23" t="inlineStr">
        <x:is>
          <x:t xml:space="preserve">350031</x:t>
        </x:is>
      </x:c>
      <x:c r="D2" s="23" t="inlineStr">
        <x:is>
          <x:t xml:space="preserve"/>
        </x:is>
      </x:c>
      <x:c r="E2" s="23" t="inlineStr">
        <x:is>
          <x:t xml:space="preserve">BEVERLY SHORES ELEMENTARY SCHOOL</x:t>
        </x:is>
      </x:c>
      <x:c r="F2" s="23" t="inlineStr">
        <x:is>
          <x:t xml:space="preserve">Elementary</x:t>
        </x:is>
      </x:c>
      <x:c r="G2" s="23" t="inlineStr">
        <x:is>
          <x:t xml:space="preserve">YES</x:t>
        </x:is>
      </x:c>
      <x:c r="H2" s="23" t="inlineStr">
        <x:is>
          <x:t xml:space="preserve">NO</x:t>
        </x:is>
      </x:c>
      <x:c r="I2" s="23" t="inlineStr">
        <x:is>
          <x:t xml:space="preserve"/>
        </x:is>
      </x:c>
      <x:c r="J2" s="23" t="inlineStr">
        <x:is>
          <x:t xml:space="preserve">NO</x:t>
        </x:is>
      </x:c>
      <x:c r="K2" s="23" t="inlineStr">
        <x:is>
          <x:t xml:space="preserve"/>
        </x:is>
      </x:c>
      <x:c r="L2" s="23" t="inlineStr">
        <x:is>
          <x:t xml:space="preserve"/>
        </x:is>
      </x:c>
      <x:c r="M2" s="23" t="inlineStr">
        <x:is>
          <x:t xml:space="preserve"/>
        </x:is>
      </x:c>
      <x:c r="N2" s="23" t="inlineStr">
        <x:is>
          <x:t xml:space="preserve"/>
        </x:is>
      </x:c>
      <x:c r="O2" s="23" t="inlineStr">
        <x:is>
          <x:t xml:space="preserve"/>
        </x:is>
      </x:c>
      <x:c r="P2" s="23" t="inlineStr">
        <x:is>
          <x:t xml:space="preserve"/>
        </x:is>
      </x:c>
      <x:c r="Q2" s="23" t="inlineStr">
        <x:is>
          <x:t xml:space="preserve">https://www.fldoe.org/file/18534/SchoolGrades25.xlsx</x:t>
        </x:is>
      </x:c>
      <x:c r="R2" s="23" t="inlineStr">
        <x:is>
          <x:t xml:space="preserve">School type code 01; Title I=YES; Alternative/ESE=N; coordinates pending NCES/district GIS pull.</x:t>
        </x:is>
      </x:c>
    </x:row>
    <x:row r="3">
      <x:c r="A3" s="23" t="inlineStr">
        <x:is>
          <x:t xml:space="preserve">LAKE</x:t>
        </x:is>
      </x:c>
      <x:c r="B3" s="23" t="inlineStr">
        <x:is>
          <x:t xml:space="preserve">LAKE</x:t>
        </x:is>
      </x:c>
      <x:c r="C3" s="23" t="inlineStr">
        <x:is>
          <x:t xml:space="preserve">350035</x:t>
        </x:is>
      </x:c>
      <x:c r="D3" s="23" t="inlineStr">
        <x:is>
          <x:t xml:space="preserve"/>
        </x:is>
      </x:c>
      <x:c r="E3" s="23" t="inlineStr">
        <x:is>
          <x:t xml:space="preserve">LAKE SUCCESS ELEMENTARY SCHOOL</x:t>
        </x:is>
      </x:c>
      <x:c r="F3" s="23" t="inlineStr">
        <x:is>
          <x:t xml:space="preserve">Elementary</x:t>
        </x:is>
      </x:c>
      <x:c r="G3" s="23" t="inlineStr">
        <x:is>
          <x:t xml:space="preserve">YES</x:t>
        </x:is>
      </x:c>
      <x:c r="H3" s="23" t="inlineStr">
        <x:is>
          <x:t xml:space="preserve">NO</x:t>
        </x:is>
      </x:c>
      <x:c r="I3" s="23" t="inlineStr">
        <x:is>
          <x:t xml:space="preserve"/>
        </x:is>
      </x:c>
      <x:c r="J3" s="23" t="inlineStr">
        <x:is>
          <x:t xml:space="preserve">NO</x:t>
        </x:is>
      </x:c>
      <x:c r="K3" s="23" t="inlineStr">
        <x:is>
          <x:t xml:space="preserve"/>
        </x:is>
      </x:c>
      <x:c r="L3" s="23" t="inlineStr">
        <x:is>
          <x:t xml:space="preserve"/>
        </x:is>
      </x:c>
      <x:c r="M3" s="23" t="inlineStr">
        <x:is>
          <x:t xml:space="preserve"/>
        </x:is>
      </x:c>
      <x:c r="N3" s="23" t="inlineStr">
        <x:is>
          <x:t xml:space="preserve"/>
        </x:is>
      </x:c>
      <x:c r="O3" s="23" t="inlineStr">
        <x:is>
          <x:t xml:space="preserve"/>
        </x:is>
      </x:c>
      <x:c r="P3" s="23" t="inlineStr">
        <x:is>
          <x:t xml:space="preserve"/>
        </x:is>
      </x:c>
      <x:c r="Q3" s="23" t="inlineStr">
        <x:is>
          <x:t xml:space="preserve">https://www.fldoe.org/file/18534/SchoolGrades25.xlsx</x:t>
        </x:is>
      </x:c>
      <x:c r="R3" s="23" t="inlineStr">
        <x:is>
          <x:t xml:space="preserve">School type code 01; Title I=NO; Alternative/ESE=A; coordinates pending NCES/district GIS pull.</x:t>
        </x:is>
      </x:c>
    </x:row>
    <x:row r="4">
      <x:c r="A4" s="23" t="inlineStr">
        <x:is>
          <x:t xml:space="preserve">LAKE</x:t>
        </x:is>
      </x:c>
      <x:c r="B4" s="23" t="inlineStr">
        <x:is>
          <x:t xml:space="preserve">LAKE</x:t>
        </x:is>
      </x:c>
      <x:c r="C4" s="23" t="inlineStr">
        <x:is>
          <x:t xml:space="preserve">350061</x:t>
        </x:is>
      </x:c>
      <x:c r="D4" s="23" t="inlineStr">
        <x:is>
          <x:t xml:space="preserve"/>
        </x:is>
      </x:c>
      <x:c r="E4" s="23" t="inlineStr">
        <x:is>
          <x:t xml:space="preserve">EUSTIS ELEMENTARY SCHOOL</x:t>
        </x:is>
      </x:c>
      <x:c r="F4" s="23" t="inlineStr">
        <x:is>
          <x:t xml:space="preserve">Elementary</x:t>
        </x:is>
      </x:c>
      <x:c r="G4" s="23" t="inlineStr">
        <x:is>
          <x:t xml:space="preserve">YES</x:t>
        </x:is>
      </x:c>
      <x:c r="H4" s="23" t="inlineStr">
        <x:is>
          <x:t xml:space="preserve">NO</x:t>
        </x:is>
      </x:c>
      <x:c r="I4" s="23" t="inlineStr">
        <x:is>
          <x:t xml:space="preserve"/>
        </x:is>
      </x:c>
      <x:c r="J4" s="23" t="inlineStr">
        <x:is>
          <x:t xml:space="preserve">NO</x:t>
        </x:is>
      </x:c>
      <x:c r="K4" s="23" t="inlineStr">
        <x:is>
          <x:t xml:space="preserve"/>
        </x:is>
      </x:c>
      <x:c r="L4" s="23" t="inlineStr">
        <x:is>
          <x:t xml:space="preserve"/>
        </x:is>
      </x:c>
      <x:c r="M4" s="23" t="inlineStr">
        <x:is>
          <x:t xml:space="preserve"/>
        </x:is>
      </x:c>
      <x:c r="N4" s="23" t="inlineStr">
        <x:is>
          <x:t xml:space="preserve"/>
        </x:is>
      </x:c>
      <x:c r="O4" s="23" t="inlineStr">
        <x:is>
          <x:t xml:space="preserve"/>
        </x:is>
      </x:c>
      <x:c r="P4" s="23" t="inlineStr">
        <x:is>
          <x:t xml:space="preserve"/>
        </x:is>
      </x:c>
      <x:c r="Q4" s="23" t="inlineStr">
        <x:is>
          <x:t xml:space="preserve">https://www.fldoe.org/file/18534/SchoolGrades25.xlsx</x:t>
        </x:is>
      </x:c>
      <x:c r="R4" s="23" t="inlineStr">
        <x:is>
          <x:t xml:space="preserve">School type code 01; Title I=YES; Alternative/ESE=N; coordinates pending NCES/district GIS pull.</x:t>
        </x:is>
      </x:c>
    </x:row>
    <x:row r="5">
      <x:c r="A5" s="20" t="inlineStr">
        <x:is>
          <x:t xml:space="preserve">LAKE</x:t>
        </x:is>
      </x:c>
      <x:c r="B5" s="20" t="inlineStr">
        <x:is>
          <x:t xml:space="preserve">LAKE</x:t>
        </x:is>
      </x:c>
      <x:c r="C5" s="20" t="inlineStr">
        <x:is>
          <x:t xml:space="preserve">350067</x:t>
        </x:is>
      </x:c>
      <x:c r="D5" s="20" t="inlineStr">
        <x:is>
          <x:t xml:space="preserve"/>
        </x:is>
      </x:c>
      <x:c r="E5" s="20" t="inlineStr">
        <x:is>
          <x:t xml:space="preserve">SAWGRASS BAY ELEMENTARY SCHOOL</x:t>
        </x:is>
      </x:c>
      <x:c r="F5" s="20" t="inlineStr">
        <x:is>
          <x:t xml:space="preserve">Elementary</x:t>
        </x:is>
      </x:c>
      <x:c r="G5" s="20" t="inlineStr">
        <x:is>
          <x:t xml:space="preserve">YES</x:t>
        </x:is>
      </x:c>
      <x:c r="H5" s="20" t="inlineStr">
        <x:is>
          <x:t xml:space="preserve">NO</x:t>
        </x:is>
      </x:c>
      <x:c r="I5" s="20" t="inlineStr">
        <x:is>
          <x:t xml:space="preserve"/>
        </x:is>
      </x:c>
      <x:c r="J5" s="20" t="inlineStr">
        <x:is>
          <x:t xml:space="preserve">NO</x:t>
        </x:is>
      </x:c>
      <x:c r="K5" s="20" t="inlineStr">
        <x:is>
          <x:t xml:space="preserve"/>
        </x:is>
      </x:c>
      <x:c r="L5" s="20" t="inlineStr">
        <x:is>
          <x:t xml:space="preserve"/>
        </x:is>
      </x:c>
      <x:c r="M5" s="20" t="inlineStr">
        <x:is>
          <x:t xml:space="preserve"/>
        </x:is>
      </x:c>
      <x:c r="N5" s="20" t="inlineStr">
        <x:is>
          <x:t xml:space="preserve"/>
        </x:is>
      </x:c>
      <x:c r="O5" s="20" t="inlineStr">
        <x:is>
          <x:t xml:space="preserve"/>
        </x:is>
      </x:c>
      <x:c r="P5" s="20" t="inlineStr">
        <x:is>
          <x:t xml:space="preserve"/>
        </x:is>
      </x:c>
      <x:c r="Q5" s="20" t="inlineStr">
        <x:is>
          <x:t xml:space="preserve">https://www.fldoe.org/file/18534/SchoolGrades25.xlsx</x:t>
        </x:is>
      </x:c>
      <x:c r="R5" s="20" t="inlineStr">
        <x:is>
          <x:t xml:space="preserve">School type code 01; Title I=NO; Alternative/ESE=N; coordinates pending NCES/district GIS pull.</x:t>
        </x:is>
      </x:c>
    </x:row>
    <x:row r="6">
      <x:c r="A6" s="20" t="inlineStr">
        <x:is>
          <x:t xml:space="preserve">LAKE</x:t>
        </x:is>
      </x:c>
      <x:c r="B6" s="20" t="inlineStr">
        <x:is>
          <x:t xml:space="preserve">LAKE</x:t>
        </x:is>
      </x:c>
      <x:c r="C6" s="20" t="inlineStr">
        <x:is>
          <x:t xml:space="preserve">350068</x:t>
        </x:is>
      </x:c>
      <x:c r="D6" s="20" t="inlineStr">
        <x:is>
          <x:t xml:space="preserve"/>
        </x:is>
      </x:c>
      <x:c r="E6" s="20" t="inlineStr">
        <x:is>
          <x:t xml:space="preserve">GRASSY LAKE ELEMENTARY SCHOOL</x:t>
        </x:is>
      </x:c>
      <x:c r="F6" s="20" t="inlineStr">
        <x:is>
          <x:t xml:space="preserve">Elementary</x:t>
        </x:is>
      </x:c>
      <x:c r="G6" s="20" t="inlineStr">
        <x:is>
          <x:t xml:space="preserve">YES</x:t>
        </x:is>
      </x:c>
      <x:c r="H6" s="20" t="inlineStr">
        <x:is>
          <x:t xml:space="preserve">NO</x:t>
        </x:is>
      </x:c>
      <x:c r="I6" s="20" t="inlineStr">
        <x:is>
          <x:t xml:space="preserve"/>
        </x:is>
      </x:c>
      <x:c r="J6" s="20" t="inlineStr">
        <x:is>
          <x:t xml:space="preserve">NO</x:t>
        </x:is>
      </x:c>
      <x:c r="K6" s="20" t="inlineStr">
        <x:is>
          <x:t xml:space="preserve"/>
        </x:is>
      </x:c>
      <x:c r="L6" s="20" t="inlineStr">
        <x:is>
          <x:t xml:space="preserve"/>
        </x:is>
      </x:c>
      <x:c r="M6" s="20" t="inlineStr">
        <x:is>
          <x:t xml:space="preserve"/>
        </x:is>
      </x:c>
      <x:c r="N6" s="20" t="inlineStr">
        <x:is>
          <x:t xml:space="preserve"/>
        </x:is>
      </x:c>
      <x:c r="O6" s="20" t="inlineStr">
        <x:is>
          <x:t xml:space="preserve"/>
        </x:is>
      </x:c>
      <x:c r="P6" s="20" t="inlineStr">
        <x:is>
          <x:t xml:space="preserve"/>
        </x:is>
      </x:c>
      <x:c r="Q6" s="20" t="inlineStr">
        <x:is>
          <x:t xml:space="preserve">https://www.fldoe.org/file/18534/SchoolGrades25.xlsx</x:t>
        </x:is>
      </x:c>
      <x:c r="R6" s="20" t="inlineStr">
        <x:is>
          <x:t xml:space="preserve">School type code 01; Title I=NO; Alternative/ESE=N; coordinates pending NCES/district GIS pull.</x:t>
        </x:is>
      </x:c>
    </x:row>
    <x:row r="7">
      <x:c r="A7" s="20" t="inlineStr">
        <x:is>
          <x:t xml:space="preserve">LAKE</x:t>
        </x:is>
      </x:c>
      <x:c r="B7" s="20" t="inlineStr">
        <x:is>
          <x:t xml:space="preserve">LAKE</x:t>
        </x:is>
      </x:c>
      <x:c r="C7" s="20" t="inlineStr">
        <x:is>
          <x:t xml:space="preserve">350069</x:t>
        </x:is>
      </x:c>
      <x:c r="D7" s="20" t="inlineStr">
        <x:is>
          <x:t xml:space="preserve"/>
        </x:is>
      </x:c>
      <x:c r="E7" s="20" t="inlineStr">
        <x:is>
          <x:t xml:space="preserve">SORRENTO ELEMENTARY</x:t>
        </x:is>
      </x:c>
      <x:c r="F7" s="20" t="inlineStr">
        <x:is>
          <x:t xml:space="preserve">Elementary</x:t>
        </x:is>
      </x:c>
      <x:c r="G7" s="20" t="inlineStr">
        <x:is>
          <x:t xml:space="preserve">YES</x:t>
        </x:is>
      </x:c>
      <x:c r="H7" s="20" t="inlineStr">
        <x:is>
          <x:t xml:space="preserve">NO</x:t>
        </x:is>
      </x:c>
      <x:c r="I7" s="20" t="inlineStr">
        <x:is>
          <x:t xml:space="preserve"/>
        </x:is>
      </x:c>
      <x:c r="J7" s="20" t="inlineStr">
        <x:is>
          <x:t xml:space="preserve">NO</x:t>
        </x:is>
      </x:c>
      <x:c r="K7" s="20" t="inlineStr">
        <x:is>
          <x:t xml:space="preserve"/>
        </x:is>
      </x:c>
      <x:c r="L7" s="20" t="inlineStr">
        <x:is>
          <x:t xml:space="preserve"/>
        </x:is>
      </x:c>
      <x:c r="M7" s="20" t="inlineStr">
        <x:is>
          <x:t xml:space="preserve"/>
        </x:is>
      </x:c>
      <x:c r="N7" s="20" t="inlineStr">
        <x:is>
          <x:t xml:space="preserve"/>
        </x:is>
      </x:c>
      <x:c r="O7" s="20" t="inlineStr">
        <x:is>
          <x:t xml:space="preserve"/>
        </x:is>
      </x:c>
      <x:c r="P7" s="20" t="inlineStr">
        <x:is>
          <x:t xml:space="preserve"/>
        </x:is>
      </x:c>
      <x:c r="Q7" s="20" t="inlineStr">
        <x:is>
          <x:t xml:space="preserve">https://www.fldoe.org/file/18534/SchoolGrades25.xlsx</x:t>
        </x:is>
      </x:c>
      <x:c r="R7" s="20" t="inlineStr">
        <x:is>
          <x:t xml:space="preserve">School type code 01; Title I=NO; Alternative/ESE=N; coordinates pending NCES/district GIS pull.</x:t>
        </x:is>
      </x:c>
    </x:row>
    <x:row r="8">
      <x:c r="A8" s="20" t="inlineStr">
        <x:is>
          <x:t xml:space="preserve">LAKE</x:t>
        </x:is>
      </x:c>
      <x:c r="B8" s="20" t="inlineStr">
        <x:is>
          <x:t xml:space="preserve">LAKE</x:t>
        </x:is>
      </x:c>
      <x:c r="C8" s="20" t="inlineStr">
        <x:is>
          <x:t xml:space="preserve">350071</x:t>
        </x:is>
      </x:c>
      <x:c r="D8" s="20" t="inlineStr">
        <x:is>
          <x:t xml:space="preserve"/>
        </x:is>
      </x:c>
      <x:c r="E8" s="20" t="inlineStr">
        <x:is>
          <x:t xml:space="preserve">EUSTIS HEIGHTS ELEMENTARY SCHOOL</x:t>
        </x:is>
      </x:c>
      <x:c r="F8" s="20" t="inlineStr">
        <x:is>
          <x:t xml:space="preserve">Elementary</x:t>
        </x:is>
      </x:c>
      <x:c r="G8" s="20" t="inlineStr">
        <x:is>
          <x:t xml:space="preserve">YES</x:t>
        </x:is>
      </x:c>
      <x:c r="H8" s="20" t="inlineStr">
        <x:is>
          <x:t xml:space="preserve">NO</x:t>
        </x:is>
      </x:c>
      <x:c r="I8" s="20" t="inlineStr">
        <x:is>
          <x:t xml:space="preserve"/>
        </x:is>
      </x:c>
      <x:c r="J8" s="20" t="inlineStr">
        <x:is>
          <x:t xml:space="preserve">NO</x:t>
        </x:is>
      </x:c>
      <x:c r="K8" s="20" t="inlineStr">
        <x:is>
          <x:t xml:space="preserve"/>
        </x:is>
      </x:c>
      <x:c r="L8" s="20" t="inlineStr">
        <x:is>
          <x:t xml:space="preserve"/>
        </x:is>
      </x:c>
      <x:c r="M8" s="20" t="inlineStr">
        <x:is>
          <x:t xml:space="preserve"/>
        </x:is>
      </x:c>
      <x:c r="N8" s="20" t="inlineStr">
        <x:is>
          <x:t xml:space="preserve"/>
        </x:is>
      </x:c>
      <x:c r="O8" s="20" t="inlineStr">
        <x:is>
          <x:t xml:space="preserve"/>
        </x:is>
      </x:c>
      <x:c r="P8" s="20" t="inlineStr">
        <x:is>
          <x:t xml:space="preserve"/>
        </x:is>
      </x:c>
      <x:c r="Q8" s="20" t="inlineStr">
        <x:is>
          <x:t xml:space="preserve">https://www.fldoe.org/file/18534/SchoolGrades25.xlsx</x:t>
        </x:is>
      </x:c>
      <x:c r="R8" s="20" t="inlineStr">
        <x:is>
          <x:t xml:space="preserve">School type code 01; Title I=YES; Alternative/ESE=N; coordinates pending NCES/district GIS pull.</x:t>
        </x:is>
      </x:c>
    </x:row>
    <x:row r="9">
      <x:c r="A9" s="20" t="inlineStr">
        <x:is>
          <x:t xml:space="preserve">LAKE</x:t>
        </x:is>
      </x:c>
      <x:c r="B9" s="20" t="inlineStr">
        <x:is>
          <x:t xml:space="preserve">LAKE</x:t>
        </x:is>
      </x:c>
      <x:c r="C9" s="20" t="inlineStr">
        <x:is>
          <x:t xml:space="preserve">350080</x:t>
        </x:is>
      </x:c>
      <x:c r="D9" s="20" t="inlineStr">
        <x:is>
          <x:t xml:space="preserve"/>
        </x:is>
      </x:c>
      <x:c r="E9" s="20" t="inlineStr">
        <x:is>
          <x:t xml:space="preserve">EAST RIDGE MIDDLE SCHOOL</x:t>
        </x:is>
      </x:c>
      <x:c r="F9" s="20" t="inlineStr">
        <x:is>
          <x:t xml:space="preserve">Middle/Junior</x:t>
        </x:is>
      </x:c>
      <x:c r="G9" s="20" t="inlineStr">
        <x:is>
          <x:t xml:space="preserve">YES</x:t>
        </x:is>
      </x:c>
      <x:c r="H9" s="20" t="inlineStr">
        <x:is>
          <x:t xml:space="preserve">NO</x:t>
        </x:is>
      </x:c>
      <x:c r="I9" s="20" t="inlineStr">
        <x:is>
          <x:t xml:space="preserve"/>
        </x:is>
      </x:c>
      <x:c r="J9" s="20" t="inlineStr">
        <x:is>
          <x:t xml:space="preserve">NO</x:t>
        </x:is>
      </x:c>
      <x:c r="K9" s="20" t="inlineStr">
        <x:is>
          <x:t xml:space="preserve"/>
        </x:is>
      </x:c>
      <x:c r="L9" s="20" t="inlineStr">
        <x:is>
          <x:t xml:space="preserve"/>
        </x:is>
      </x:c>
      <x:c r="M9" s="20" t="inlineStr">
        <x:is>
          <x:t xml:space="preserve"/>
        </x:is>
      </x:c>
      <x:c r="N9" s="20" t="inlineStr">
        <x:is>
          <x:t xml:space="preserve"/>
        </x:is>
      </x:c>
      <x:c r="O9" s="20" t="inlineStr">
        <x:is>
          <x:t xml:space="preserve"/>
        </x:is>
      </x:c>
      <x:c r="P9" s="20" t="inlineStr">
        <x:is>
          <x:t xml:space="preserve"/>
        </x:is>
      </x:c>
      <x:c r="Q9" s="20" t="inlineStr">
        <x:is>
          <x:t xml:space="preserve">https://www.fldoe.org/file/18534/SchoolGrades25.xlsx</x:t>
        </x:is>
      </x:c>
      <x:c r="R9" s="20" t="inlineStr">
        <x:is>
          <x:t xml:space="preserve">School type code 02; Title I=NO; Alternative/ESE=N; coordinates pending NCES/district GIS pull.</x:t>
        </x:is>
      </x:c>
    </x:row>
    <x:row r="10">
      <x:c r="A10" s="20" t="inlineStr">
        <x:is>
          <x:t xml:space="preserve">LAKE</x:t>
        </x:is>
      </x:c>
      <x:c r="B10" s="20" t="inlineStr">
        <x:is>
          <x:t xml:space="preserve">LAKE</x:t>
        </x:is>
      </x:c>
      <x:c r="C10" s="20" t="inlineStr">
        <x:is>
          <x:t xml:space="preserve">350081</x:t>
        </x:is>
      </x:c>
      <x:c r="D10" s="20" t="inlineStr">
        <x:is>
          <x:t xml:space="preserve"/>
        </x:is>
      </x:c>
      <x:c r="E10" s="20" t="inlineStr">
        <x:is>
          <x:t xml:space="preserve">EUSTIS HIGH SCHOOL</x:t>
        </x:is>
      </x:c>
      <x:c r="F10" s="20" t="inlineStr">
        <x:is>
          <x:t xml:space="preserve">Senior High</x:t>
        </x:is>
      </x:c>
      <x:c r="G10" s="20" t="inlineStr">
        <x:is>
          <x:t xml:space="preserve">YES</x:t>
        </x:is>
      </x:c>
      <x:c r="H10" s="20" t="inlineStr">
        <x:is>
          <x:t xml:space="preserve">NO</x:t>
        </x:is>
      </x:c>
      <x:c r="I10" s="20" t="inlineStr">
        <x:is>
          <x:t xml:space="preserve"/>
        </x:is>
      </x:c>
      <x:c r="J10" s="20" t="inlineStr">
        <x:is>
          <x:t xml:space="preserve">NO</x:t>
        </x:is>
      </x:c>
      <x:c r="K10" s="20" t="inlineStr">
        <x:is>
          <x:t xml:space="preserve"/>
        </x:is>
      </x:c>
      <x:c r="L10" s="20" t="inlineStr">
        <x:is>
          <x:t xml:space="preserve"/>
        </x:is>
      </x:c>
      <x:c r="M10" s="20" t="inlineStr">
        <x:is>
          <x:t xml:space="preserve"/>
        </x:is>
      </x:c>
      <x:c r="N10" s="20" t="inlineStr">
        <x:is>
          <x:t xml:space="preserve"/>
        </x:is>
      </x:c>
      <x:c r="O10" s="20" t="inlineStr">
        <x:is>
          <x:t xml:space="preserve"/>
        </x:is>
      </x:c>
      <x:c r="P10" s="20" t="inlineStr">
        <x:is>
          <x:t xml:space="preserve"/>
        </x:is>
      </x:c>
      <x:c r="Q10" s="20" t="inlineStr">
        <x:is>
          <x:t xml:space="preserve">https://www.fldoe.org/file/18534/SchoolGrades25.xlsx</x:t>
        </x:is>
      </x:c>
      <x:c r="R10" s="20" t="inlineStr">
        <x:is>
          <x:t xml:space="preserve">School type code 03; Title I=NO; Alternative/ESE=N; coordinates pending NCES/district GIS pull.</x:t>
        </x:is>
      </x:c>
    </x:row>
    <x:row r="11">
      <x:c r="A11" s="20" t="inlineStr">
        <x:is>
          <x:t xml:space="preserve">LAKE</x:t>
        </x:is>
      </x:c>
      <x:c r="B11" s="20" t="inlineStr">
        <x:is>
          <x:t xml:space="preserve">LAKE</x:t>
        </x:is>
      </x:c>
      <x:c r="C11" s="20" t="inlineStr">
        <x:is>
          <x:t xml:space="preserve">350101</x:t>
        </x:is>
      </x:c>
      <x:c r="D11" s="20" t="inlineStr">
        <x:is>
          <x:t xml:space="preserve"/>
        </x:is>
      </x:c>
      <x:c r="E11" s="20" t="inlineStr">
        <x:is>
          <x:t xml:space="preserve">FRUITLAND PARK ELEMENTARY SCHOOL</x:t>
        </x:is>
      </x:c>
      <x:c r="F11" s="20" t="inlineStr">
        <x:is>
          <x:t xml:space="preserve">Elementary</x:t>
        </x:is>
      </x:c>
      <x:c r="G11" s="20" t="inlineStr">
        <x:is>
          <x:t xml:space="preserve">YES</x:t>
        </x:is>
      </x:c>
      <x:c r="H11" s="20" t="inlineStr">
        <x:is>
          <x:t xml:space="preserve">NO</x:t>
        </x:is>
      </x:c>
      <x:c r="I11" s="20" t="inlineStr">
        <x:is>
          <x:t xml:space="preserve"/>
        </x:is>
      </x:c>
      <x:c r="J11" s="20" t="inlineStr">
        <x:is>
          <x:t xml:space="preserve">NO</x:t>
        </x:is>
      </x:c>
      <x:c r="K11" s="20" t="inlineStr">
        <x:is>
          <x:t xml:space="preserve"/>
        </x:is>
      </x:c>
      <x:c r="L11" s="20" t="inlineStr">
        <x:is>
          <x:t xml:space="preserve"/>
        </x:is>
      </x:c>
      <x:c r="M11" s="20" t="inlineStr">
        <x:is>
          <x:t xml:space="preserve"/>
        </x:is>
      </x:c>
      <x:c r="N11" s="20" t="inlineStr">
        <x:is>
          <x:t xml:space="preserve"/>
        </x:is>
      </x:c>
      <x:c r="O11" s="20" t="inlineStr">
        <x:is>
          <x:t xml:space="preserve"/>
        </x:is>
      </x:c>
      <x:c r="P11" s="20" t="inlineStr">
        <x:is>
          <x:t xml:space="preserve"/>
        </x:is>
      </x:c>
      <x:c r="Q11" s="20" t="inlineStr">
        <x:is>
          <x:t xml:space="preserve">https://www.fldoe.org/file/18534/SchoolGrades25.xlsx</x:t>
        </x:is>
      </x:c>
      <x:c r="R11" s="20" t="inlineStr">
        <x:is>
          <x:t xml:space="preserve">School type code 01; Title I=YES; Alternative/ESE=N; coordinates pending NCES/district GIS pull.</x:t>
        </x:is>
      </x:c>
    </x:row>
    <x:row r="12">
      <x:c r="A12" s="20" t="inlineStr">
        <x:is>
          <x:t xml:space="preserve">LAKE</x:t>
        </x:is>
      </x:c>
      <x:c r="B12" s="20" t="inlineStr">
        <x:is>
          <x:t xml:space="preserve">LAKE</x:t>
        </x:is>
      </x:c>
      <x:c r="C12" s="20" t="inlineStr">
        <x:is>
          <x:t xml:space="preserve">350113</x:t>
        </x:is>
      </x:c>
      <x:c r="D12" s="20" t="inlineStr">
        <x:is>
          <x:t xml:space="preserve"/>
        </x:is>
      </x:c>
      <x:c r="E12" s="20" t="inlineStr">
        <x:is>
          <x:t xml:space="preserve">GRAY MIDDLE SCHOOL</x:t>
        </x:is>
      </x:c>
      <x:c r="F12" s="20" t="inlineStr">
        <x:is>
          <x:t xml:space="preserve">Middle/Junior</x:t>
        </x:is>
      </x:c>
      <x:c r="G12" s="20" t="inlineStr">
        <x:is>
          <x:t xml:space="preserve">YES</x:t>
        </x:is>
      </x:c>
      <x:c r="H12" s="20" t="inlineStr">
        <x:is>
          <x:t xml:space="preserve">NO</x:t>
        </x:is>
      </x:c>
      <x:c r="I12" s="20" t="inlineStr">
        <x:is>
          <x:t xml:space="preserve"/>
        </x:is>
      </x:c>
      <x:c r="J12" s="20" t="inlineStr">
        <x:is>
          <x:t xml:space="preserve">NO</x:t>
        </x:is>
      </x:c>
      <x:c r="K12" s="20" t="inlineStr">
        <x:is>
          <x:t xml:space="preserve"/>
        </x:is>
      </x:c>
      <x:c r="L12" s="20" t="inlineStr">
        <x:is>
          <x:t xml:space="preserve"/>
        </x:is>
      </x:c>
      <x:c r="M12" s="20" t="inlineStr">
        <x:is>
          <x:t xml:space="preserve"/>
        </x:is>
      </x:c>
      <x:c r="N12" s="20" t="inlineStr">
        <x:is>
          <x:t xml:space="preserve"/>
        </x:is>
      </x:c>
      <x:c r="O12" s="20" t="inlineStr">
        <x:is>
          <x:t xml:space="preserve"/>
        </x:is>
      </x:c>
      <x:c r="P12" s="20" t="inlineStr">
        <x:is>
          <x:t xml:space="preserve"/>
        </x:is>
      </x:c>
      <x:c r="Q12" s="20" t="inlineStr">
        <x:is>
          <x:t xml:space="preserve">https://www.fldoe.org/file/18534/SchoolGrades25.xlsx</x:t>
        </x:is>
      </x:c>
      <x:c r="R12" s="20" t="inlineStr">
        <x:is>
          <x:t xml:space="preserve">School type code 02; Title I=NO; Alternative/ESE=N; coordinates pending NCES/district GIS pull.</x:t>
        </x:is>
      </x:c>
    </x:row>
    <x:row r="13">
      <x:c r="A13" s="20" t="inlineStr">
        <x:is>
          <x:t xml:space="preserve">LAKE</x:t>
        </x:is>
      </x:c>
      <x:c r="B13" s="20" t="inlineStr">
        <x:is>
          <x:t xml:space="preserve">LAKE</x:t>
        </x:is>
      </x:c>
      <x:c r="C13" s="20" t="inlineStr">
        <x:is>
          <x:t xml:space="preserve">350119</x:t>
        </x:is>
      </x:c>
      <x:c r="D13" s="20" t="inlineStr">
        <x:is>
          <x:t xml:space="preserve"/>
        </x:is>
      </x:c>
      <x:c r="E13" s="20" t="inlineStr">
        <x:is>
          <x:t xml:space="preserve">THE VILLAGES ELEMENTARY OF LADY LAKE SCHOOL</x:t>
        </x:is>
      </x:c>
      <x:c r="F13" s="20" t="inlineStr">
        <x:is>
          <x:t xml:space="preserve">Elementary</x:t>
        </x:is>
      </x:c>
      <x:c r="G13" s="20" t="inlineStr">
        <x:is>
          <x:t xml:space="preserve">YES</x:t>
        </x:is>
      </x:c>
      <x:c r="H13" s="20" t="inlineStr">
        <x:is>
          <x:t xml:space="preserve">NO</x:t>
        </x:is>
      </x:c>
      <x:c r="I13" s="20" t="inlineStr">
        <x:is>
          <x:t xml:space="preserve"/>
        </x:is>
      </x:c>
      <x:c r="J13" s="20" t="inlineStr">
        <x:is>
          <x:t xml:space="preserve">NO</x:t>
        </x:is>
      </x:c>
      <x:c r="K13" s="20" t="inlineStr">
        <x:is>
          <x:t xml:space="preserve"/>
        </x:is>
      </x:c>
      <x:c r="L13" s="20" t="inlineStr">
        <x:is>
          <x:t xml:space="preserve"/>
        </x:is>
      </x:c>
      <x:c r="M13" s="20" t="inlineStr">
        <x:is>
          <x:t xml:space="preserve"/>
        </x:is>
      </x:c>
      <x:c r="N13" s="20" t="inlineStr">
        <x:is>
          <x:t xml:space="preserve"/>
        </x:is>
      </x:c>
      <x:c r="O13" s="20" t="inlineStr">
        <x:is>
          <x:t xml:space="preserve"/>
        </x:is>
      </x:c>
      <x:c r="P13" s="20" t="inlineStr">
        <x:is>
          <x:t xml:space="preserve"/>
        </x:is>
      </x:c>
      <x:c r="Q13" s="20" t="inlineStr">
        <x:is>
          <x:t xml:space="preserve">https://www.fldoe.org/file/18534/SchoolGrades25.xlsx</x:t>
        </x:is>
      </x:c>
      <x:c r="R13" s="20" t="inlineStr">
        <x:is>
          <x:t xml:space="preserve">School type code 01; Title I=YES; Alternative/ESE=N; coordinates pending NCES/district GIS pull.</x:t>
        </x:is>
      </x:c>
    </x:row>
    <x:row r="14">
      <x:c r="A14" s="20" t="inlineStr">
        <x:is>
          <x:t xml:space="preserve">LAKE</x:t>
        </x:is>
      </x:c>
      <x:c r="B14" s="20" t="inlineStr">
        <x:is>
          <x:t xml:space="preserve">LAKE</x:t>
        </x:is>
      </x:c>
      <x:c r="C14" s="20" t="inlineStr">
        <x:is>
          <x:t xml:space="preserve">350141</x:t>
        </x:is>
      </x:c>
      <x:c r="D14" s="20" t="inlineStr">
        <x:is>
          <x:t xml:space="preserve"/>
        </x:is>
      </x:c>
      <x:c r="E14" s="20" t="inlineStr">
        <x:is>
          <x:t xml:space="preserve">SEMINOLE SPRINGS ELEMENTARY SCHOOL</x:t>
        </x:is>
      </x:c>
      <x:c r="F14" s="20" t="inlineStr">
        <x:is>
          <x:t xml:space="preserve">Elementary</x:t>
        </x:is>
      </x:c>
      <x:c r="G14" s="20" t="inlineStr">
        <x:is>
          <x:t xml:space="preserve">YES</x:t>
        </x:is>
      </x:c>
      <x:c r="H14" s="20" t="inlineStr">
        <x:is>
          <x:t xml:space="preserve">NO</x:t>
        </x:is>
      </x:c>
      <x:c r="I14" s="20" t="inlineStr">
        <x:is>
          <x:t xml:space="preserve"/>
        </x:is>
      </x:c>
      <x:c r="J14" s="20" t="inlineStr">
        <x:is>
          <x:t xml:space="preserve">NO</x:t>
        </x:is>
      </x:c>
      <x:c r="K14" s="20" t="inlineStr">
        <x:is>
          <x:t xml:space="preserve"/>
        </x:is>
      </x:c>
      <x:c r="L14" s="20" t="inlineStr">
        <x:is>
          <x:t xml:space="preserve"/>
        </x:is>
      </x:c>
      <x:c r="M14" s="20" t="inlineStr">
        <x:is>
          <x:t xml:space="preserve"/>
        </x:is>
      </x:c>
      <x:c r="N14" s="20" t="inlineStr">
        <x:is>
          <x:t xml:space="preserve"/>
        </x:is>
      </x:c>
      <x:c r="O14" s="20" t="inlineStr">
        <x:is>
          <x:t xml:space="preserve"/>
        </x:is>
      </x:c>
      <x:c r="P14" s="20" t="inlineStr">
        <x:is>
          <x:t xml:space="preserve"/>
        </x:is>
      </x:c>
      <x:c r="Q14" s="20" t="inlineStr">
        <x:is>
          <x:t xml:space="preserve">https://www.fldoe.org/file/18534/SchoolGrades25.xlsx</x:t>
        </x:is>
      </x:c>
      <x:c r="R14" s="20" t="inlineStr">
        <x:is>
          <x:t xml:space="preserve">School type code 01; Title I=NO; Alternative/ESE=N; coordinates pending NCES/district GIS pull.</x:t>
        </x:is>
      </x:c>
    </x:row>
    <x:row r="15">
      <x:c r="A15" s="20" t="inlineStr">
        <x:is>
          <x:t xml:space="preserve">LAKE</x:t>
        </x:is>
      </x:c>
      <x:c r="B15" s="20" t="inlineStr">
        <x:is>
          <x:t xml:space="preserve">LAKE</x:t>
        </x:is>
      </x:c>
      <x:c r="C15" s="20" t="inlineStr">
        <x:is>
          <x:t xml:space="preserve">350149</x:t>
        </x:is>
      </x:c>
      <x:c r="D15" s="20" t="inlineStr">
        <x:is>
          <x:t xml:space="preserve"/>
        </x:is>
      </x:c>
      <x:c r="E15" s="20" t="inlineStr">
        <x:is>
          <x:t xml:space="preserve">ROUND LAKE CHARTER SCHOOL</x:t>
        </x:is>
      </x:c>
      <x:c r="F15" s="20" t="inlineStr">
        <x:is>
          <x:t xml:space="preserve">Combination</x:t>
        </x:is>
      </x:c>
      <x:c r="G15" s="20" t="inlineStr">
        <x:is>
          <x:t xml:space="preserve">NO</x:t>
        </x:is>
      </x:c>
      <x:c r="H15" s="20" t="inlineStr">
        <x:is>
          <x:t xml:space="preserve">YES</x:t>
        </x:is>
      </x:c>
      <x:c r="I15" s="20" t="inlineStr">
        <x:is>
          <x:t xml:space="preserve"/>
        </x:is>
      </x:c>
      <x:c r="J15" s="20" t="inlineStr">
        <x:is>
          <x:t xml:space="preserve">NO</x:t>
        </x:is>
      </x:c>
      <x:c r="K15" s="20" t="inlineStr">
        <x:is>
          <x:t xml:space="preserve"/>
        </x:is>
      </x:c>
      <x:c r="L15" s="20" t="inlineStr">
        <x:is>
          <x:t xml:space="preserve"/>
        </x:is>
      </x:c>
      <x:c r="M15" s="20" t="inlineStr">
        <x:is>
          <x:t xml:space="preserve"/>
        </x:is>
      </x:c>
      <x:c r="N15" s="20" t="inlineStr">
        <x:is>
          <x:t xml:space="preserve"/>
        </x:is>
      </x:c>
      <x:c r="O15" s="20" t="inlineStr">
        <x:is>
          <x:t xml:space="preserve"/>
        </x:is>
      </x:c>
      <x:c r="P15" s="20" t="inlineStr">
        <x:is>
          <x:t xml:space="preserve"/>
        </x:is>
      </x:c>
      <x:c r="Q15" s="20" t="inlineStr">
        <x:is>
          <x:t xml:space="preserve">https://www.fldoe.org/file/18534/SchoolGrades25.xlsx</x:t>
        </x:is>
      </x:c>
      <x:c r="R15" s="20" t="inlineStr">
        <x:is>
          <x:t xml:space="preserve">School type code 04; Title I=NO; Alternative/ESE=N; coordinates pending NCES/district GIS pull.</x:t>
        </x:is>
      </x:c>
    </x:row>
    <x:row r="16">
      <x:c r="A16" s="20" t="inlineStr">
        <x:is>
          <x:t xml:space="preserve">LAKE</x:t>
        </x:is>
      </x:c>
      <x:c r="B16" s="20" t="inlineStr">
        <x:is>
          <x:t xml:space="preserve">LAKE</x:t>
        </x:is>
      </x:c>
      <x:c r="C16" s="20" t="inlineStr">
        <x:is>
          <x:t xml:space="preserve">350161</x:t>
        </x:is>
      </x:c>
      <x:c r="D16" s="20" t="inlineStr">
        <x:is>
          <x:t xml:space="preserve"/>
        </x:is>
      </x:c>
      <x:c r="E16" s="20" t="inlineStr">
        <x:is>
          <x:t xml:space="preserve">LEESBURG HIGH SCHOOL</x:t>
        </x:is>
      </x:c>
      <x:c r="F16" s="20" t="inlineStr">
        <x:is>
          <x:t xml:space="preserve">Senior High</x:t>
        </x:is>
      </x:c>
      <x:c r="G16" s="20" t="inlineStr">
        <x:is>
          <x:t xml:space="preserve">YES</x:t>
        </x:is>
      </x:c>
      <x:c r="H16" s="20" t="inlineStr">
        <x:is>
          <x:t xml:space="preserve">NO</x:t>
        </x:is>
      </x:c>
      <x:c r="I16" s="20" t="inlineStr">
        <x:is>
          <x:t xml:space="preserve"/>
        </x:is>
      </x:c>
      <x:c r="J16" s="20" t="inlineStr">
        <x:is>
          <x:t xml:space="preserve">NO</x:t>
        </x:is>
      </x:c>
      <x:c r="K16" s="20" t="inlineStr">
        <x:is>
          <x:t xml:space="preserve"/>
        </x:is>
      </x:c>
      <x:c r="L16" s="20" t="inlineStr">
        <x:is>
          <x:t xml:space="preserve"/>
        </x:is>
      </x:c>
      <x:c r="M16" s="20" t="inlineStr">
        <x:is>
          <x:t xml:space="preserve"/>
        </x:is>
      </x:c>
      <x:c r="N16" s="20" t="inlineStr">
        <x:is>
          <x:t xml:space="preserve"/>
        </x:is>
      </x:c>
      <x:c r="O16" s="20" t="inlineStr">
        <x:is>
          <x:t xml:space="preserve"/>
        </x:is>
      </x:c>
      <x:c r="P16" s="20" t="inlineStr">
        <x:is>
          <x:t xml:space="preserve"/>
        </x:is>
      </x:c>
      <x:c r="Q16" s="20" t="inlineStr">
        <x:is>
          <x:t xml:space="preserve">https://www.fldoe.org/file/18534/SchoolGrades25.xlsx</x:t>
        </x:is>
      </x:c>
      <x:c r="R16" s="20" t="inlineStr">
        <x:is>
          <x:t xml:space="preserve">School type code 03; Title I=YES; Alternative/ESE=N; coordinates pending NCES/district GIS pull.</x:t>
        </x:is>
      </x:c>
    </x:row>
    <x:row r="17">
      <x:c r="A17" s="20" t="inlineStr">
        <x:is>
          <x:t xml:space="preserve">LAKE</x:t>
        </x:is>
      </x:c>
      <x:c r="B17" s="20" t="inlineStr">
        <x:is>
          <x:t xml:space="preserve">LAKE</x:t>
        </x:is>
      </x:c>
      <x:c r="C17" s="20" t="inlineStr">
        <x:is>
          <x:t xml:space="preserve">350181</x:t>
        </x:is>
      </x:c>
      <x:c r="D17" s="20" t="inlineStr">
        <x:is>
          <x:t xml:space="preserve"/>
        </x:is>
      </x:c>
      <x:c r="E17" s="20" t="inlineStr">
        <x:is>
          <x:t xml:space="preserve">MT. DORA HIGH SCHOOL</x:t>
        </x:is>
      </x:c>
      <x:c r="F17" s="20" t="inlineStr">
        <x:is>
          <x:t xml:space="preserve">Senior High</x:t>
        </x:is>
      </x:c>
      <x:c r="G17" s="20" t="inlineStr">
        <x:is>
          <x:t xml:space="preserve">YES</x:t>
        </x:is>
      </x:c>
      <x:c r="H17" s="20" t="inlineStr">
        <x:is>
          <x:t xml:space="preserve">NO</x:t>
        </x:is>
      </x:c>
      <x:c r="I17" s="20" t="inlineStr">
        <x:is>
          <x:t xml:space="preserve"/>
        </x:is>
      </x:c>
      <x:c r="J17" s="20" t="inlineStr">
        <x:is>
          <x:t xml:space="preserve">NO</x:t>
        </x:is>
      </x:c>
      <x:c r="K17" s="20" t="inlineStr">
        <x:is>
          <x:t xml:space="preserve"/>
        </x:is>
      </x:c>
      <x:c r="L17" s="20" t="inlineStr">
        <x:is>
          <x:t xml:space="preserve"/>
        </x:is>
      </x:c>
      <x:c r="M17" s="20" t="inlineStr">
        <x:is>
          <x:t xml:space="preserve"/>
        </x:is>
      </x:c>
      <x:c r="N17" s="20" t="inlineStr">
        <x:is>
          <x:t xml:space="preserve"/>
        </x:is>
      </x:c>
      <x:c r="O17" s="20" t="inlineStr">
        <x:is>
          <x:t xml:space="preserve"/>
        </x:is>
      </x:c>
      <x:c r="P17" s="20" t="inlineStr">
        <x:is>
          <x:t xml:space="preserve"/>
        </x:is>
      </x:c>
      <x:c r="Q17" s="20" t="inlineStr">
        <x:is>
          <x:t xml:space="preserve">https://www.fldoe.org/file/18534/SchoolGrades25.xlsx</x:t>
        </x:is>
      </x:c>
      <x:c r="R17" s="20" t="inlineStr">
        <x:is>
          <x:t xml:space="preserve">School type code 03; Title I=NO; Alternative/ESE=N; coordinates pending NCES/district GIS pull.</x:t>
        </x:is>
      </x:c>
    </x:row>
    <x:row r="18">
      <x:c r="A18" s="20" t="inlineStr">
        <x:is>
          <x:t xml:space="preserve">LAKE</x:t>
        </x:is>
      </x:c>
      <x:c r="B18" s="20" t="inlineStr">
        <x:is>
          <x:t xml:space="preserve">LAKE</x:t>
        </x:is>
      </x:c>
      <x:c r="C18" s="20" t="inlineStr">
        <x:is>
          <x:t xml:space="preserve">350211</x:t>
        </x:is>
      </x:c>
      <x:c r="D18" s="20" t="inlineStr">
        <x:is>
          <x:t xml:space="preserve"/>
        </x:is>
      </x:c>
      <x:c r="E18" s="20" t="inlineStr">
        <x:is>
          <x:t xml:space="preserve">TAVARES HIGH SCHOOL</x:t>
        </x:is>
      </x:c>
      <x:c r="F18" s="20" t="inlineStr">
        <x:is>
          <x:t xml:space="preserve">Senior High</x:t>
        </x:is>
      </x:c>
      <x:c r="G18" s="20" t="inlineStr">
        <x:is>
          <x:t xml:space="preserve">YES</x:t>
        </x:is>
      </x:c>
      <x:c r="H18" s="20" t="inlineStr">
        <x:is>
          <x:t xml:space="preserve">NO</x:t>
        </x:is>
      </x:c>
      <x:c r="I18" s="20" t="inlineStr">
        <x:is>
          <x:t xml:space="preserve"/>
        </x:is>
      </x:c>
      <x:c r="J18" s="20" t="inlineStr">
        <x:is>
          <x:t xml:space="preserve">NO</x:t>
        </x:is>
      </x:c>
      <x:c r="K18" s="20" t="inlineStr">
        <x:is>
          <x:t xml:space="preserve"/>
        </x:is>
      </x:c>
      <x:c r="L18" s="20" t="inlineStr">
        <x:is>
          <x:t xml:space="preserve"/>
        </x:is>
      </x:c>
      <x:c r="M18" s="20" t="inlineStr">
        <x:is>
          <x:t xml:space="preserve"/>
        </x:is>
      </x:c>
      <x:c r="N18" s="20" t="inlineStr">
        <x:is>
          <x:t xml:space="preserve"/>
        </x:is>
      </x:c>
      <x:c r="O18" s="20" t="inlineStr">
        <x:is>
          <x:t xml:space="preserve"/>
        </x:is>
      </x:c>
      <x:c r="P18" s="20" t="inlineStr">
        <x:is>
          <x:t xml:space="preserve"/>
        </x:is>
      </x:c>
      <x:c r="Q18" s="20" t="inlineStr">
        <x:is>
          <x:t xml:space="preserve">https://www.fldoe.org/file/18534/SchoolGrades25.xlsx</x:t>
        </x:is>
      </x:c>
      <x:c r="R18" s="20" t="inlineStr">
        <x:is>
          <x:t xml:space="preserve">School type code 03; Title I=NO; Alternative/ESE=N; coordinates pending NCES/district GIS pull.</x:t>
        </x:is>
      </x:c>
    </x:row>
    <x:row r="19">
      <x:c r="A19" s="20" t="inlineStr">
        <x:is>
          <x:t xml:space="preserve">LAKE</x:t>
        </x:is>
      </x:c>
      <x:c r="B19" s="20" t="inlineStr">
        <x:is>
          <x:t xml:space="preserve">LAKE</x:t>
        </x:is>
      </x:c>
      <x:c r="C19" s="20" t="inlineStr">
        <x:is>
          <x:t xml:space="preserve">350213</x:t>
        </x:is>
      </x:c>
      <x:c r="D19" s="20" t="inlineStr">
        <x:is>
          <x:t xml:space="preserve"/>
        </x:is>
      </x:c>
      <x:c r="E19" s="20" t="inlineStr">
        <x:is>
          <x:t xml:space="preserve">TAVARES MIDDLE SCHOOL</x:t>
        </x:is>
      </x:c>
      <x:c r="F19" s="20" t="inlineStr">
        <x:is>
          <x:t xml:space="preserve">Middle/Junior</x:t>
        </x:is>
      </x:c>
      <x:c r="G19" s="20" t="inlineStr">
        <x:is>
          <x:t xml:space="preserve">YES</x:t>
        </x:is>
      </x:c>
      <x:c r="H19" s="20" t="inlineStr">
        <x:is>
          <x:t xml:space="preserve">NO</x:t>
        </x:is>
      </x:c>
      <x:c r="I19" s="20" t="inlineStr">
        <x:is>
          <x:t xml:space="preserve"/>
        </x:is>
      </x:c>
      <x:c r="J19" s="20" t="inlineStr">
        <x:is>
          <x:t xml:space="preserve">NO</x:t>
        </x:is>
      </x:c>
      <x:c r="K19" s="20" t="inlineStr">
        <x:is>
          <x:t xml:space="preserve"/>
        </x:is>
      </x:c>
      <x:c r="L19" s="20" t="inlineStr">
        <x:is>
          <x:t xml:space="preserve"/>
        </x:is>
      </x:c>
      <x:c r="M19" s="20" t="inlineStr">
        <x:is>
          <x:t xml:space="preserve"/>
        </x:is>
      </x:c>
      <x:c r="N19" s="20" t="inlineStr">
        <x:is>
          <x:t xml:space="preserve"/>
        </x:is>
      </x:c>
      <x:c r="O19" s="20" t="inlineStr">
        <x:is>
          <x:t xml:space="preserve"/>
        </x:is>
      </x:c>
      <x:c r="P19" s="20" t="inlineStr">
        <x:is>
          <x:t xml:space="preserve"/>
        </x:is>
      </x:c>
      <x:c r="Q19" s="20" t="inlineStr">
        <x:is>
          <x:t xml:space="preserve">https://www.fldoe.org/file/18534/SchoolGrades25.xlsx</x:t>
        </x:is>
      </x:c>
      <x:c r="R19" s="20" t="inlineStr">
        <x:is>
          <x:t xml:space="preserve">School type code 02; Title I=YES; Alternative/ESE=N; coordinates pending NCES/district GIS pull.</x:t>
        </x:is>
      </x:c>
    </x:row>
    <x:row r="20">
      <x:c r="A20" s="20" t="inlineStr">
        <x:is>
          <x:t xml:space="preserve">LAKE</x:t>
        </x:is>
      </x:c>
      <x:c r="B20" s="20" t="inlineStr">
        <x:is>
          <x:t xml:space="preserve">LAKE</x:t>
        </x:is>
      </x:c>
      <x:c r="C20" s="20" t="inlineStr">
        <x:is>
          <x:t xml:space="preserve">350231</x:t>
        </x:is>
      </x:c>
      <x:c r="D20" s="20" t="inlineStr">
        <x:is>
          <x:t xml:space="preserve"/>
        </x:is>
      </x:c>
      <x:c r="E20" s="20" t="inlineStr">
        <x:is>
          <x:t xml:space="preserve">UMATILLA HIGH SCHOOL</x:t>
        </x:is>
      </x:c>
      <x:c r="F20" s="20" t="inlineStr">
        <x:is>
          <x:t xml:space="preserve">Senior High</x:t>
        </x:is>
      </x:c>
      <x:c r="G20" s="20" t="inlineStr">
        <x:is>
          <x:t xml:space="preserve">YES</x:t>
        </x:is>
      </x:c>
      <x:c r="H20" s="20" t="inlineStr">
        <x:is>
          <x:t xml:space="preserve">NO</x:t>
        </x:is>
      </x:c>
      <x:c r="I20" s="20" t="inlineStr">
        <x:is>
          <x:t xml:space="preserve"/>
        </x:is>
      </x:c>
      <x:c r="J20" s="20" t="inlineStr">
        <x:is>
          <x:t xml:space="preserve">NO</x:t>
        </x:is>
      </x:c>
      <x:c r="K20" s="20" t="inlineStr">
        <x:is>
          <x:t xml:space="preserve"/>
        </x:is>
      </x:c>
      <x:c r="L20" s="20" t="inlineStr">
        <x:is>
          <x:t xml:space="preserve"/>
        </x:is>
      </x:c>
      <x:c r="M20" s="20" t="inlineStr">
        <x:is>
          <x:t xml:space="preserve"/>
        </x:is>
      </x:c>
      <x:c r="N20" s="20" t="inlineStr">
        <x:is>
          <x:t xml:space="preserve"/>
        </x:is>
      </x:c>
      <x:c r="O20" s="20" t="inlineStr">
        <x:is>
          <x:t xml:space="preserve"/>
        </x:is>
      </x:c>
      <x:c r="P20" s="20" t="inlineStr">
        <x:is>
          <x:t xml:space="preserve"/>
        </x:is>
      </x:c>
      <x:c r="Q20" s="20" t="inlineStr">
        <x:is>
          <x:t xml:space="preserve">https://www.fldoe.org/file/18534/SchoolGrades25.xlsx</x:t>
        </x:is>
      </x:c>
      <x:c r="R20" s="20" t="inlineStr">
        <x:is>
          <x:t xml:space="preserve">School type code 03; Title I=YES; Alternative/ESE=N; coordinates pending NCES/district GIS pull.</x:t>
        </x:is>
      </x:c>
    </x:row>
    <x:row r="21">
      <x:c r="A21" s="20" t="inlineStr">
        <x:is>
          <x:t xml:space="preserve">LAKE</x:t>
        </x:is>
      </x:c>
      <x:c r="B21" s="20" t="inlineStr">
        <x:is>
          <x:t xml:space="preserve">LAKE</x:t>
        </x:is>
      </x:c>
      <x:c r="C21" s="20" t="inlineStr">
        <x:is>
          <x:t xml:space="preserve">350241</x:t>
        </x:is>
      </x:c>
      <x:c r="D21" s="20" t="inlineStr">
        <x:is>
          <x:t xml:space="preserve"/>
        </x:is>
      </x:c>
      <x:c r="E21" s="20" t="inlineStr">
        <x:is>
          <x:t xml:space="preserve">TREADWAY ELEMENTARY SCHOOL</x:t>
        </x:is>
      </x:c>
      <x:c r="F21" s="20" t="inlineStr">
        <x:is>
          <x:t xml:space="preserve">Elementary</x:t>
        </x:is>
      </x:c>
      <x:c r="G21" s="20" t="inlineStr">
        <x:is>
          <x:t xml:space="preserve">YES</x:t>
        </x:is>
      </x:c>
      <x:c r="H21" s="20" t="inlineStr">
        <x:is>
          <x:t xml:space="preserve">NO</x:t>
        </x:is>
      </x:c>
      <x:c r="I21" s="20" t="inlineStr">
        <x:is>
          <x:t xml:space="preserve"/>
        </x:is>
      </x:c>
      <x:c r="J21" s="20" t="inlineStr">
        <x:is>
          <x:t xml:space="preserve">NO</x:t>
        </x:is>
      </x:c>
      <x:c r="K21" s="20" t="inlineStr">
        <x:is>
          <x:t xml:space="preserve"/>
        </x:is>
      </x:c>
      <x:c r="L21" s="20" t="inlineStr">
        <x:is>
          <x:t xml:space="preserve"/>
        </x:is>
      </x:c>
      <x:c r="M21" s="20" t="inlineStr">
        <x:is>
          <x:t xml:space="preserve"/>
        </x:is>
      </x:c>
      <x:c r="N21" s="20" t="inlineStr">
        <x:is>
          <x:t xml:space="preserve"/>
        </x:is>
      </x:c>
      <x:c r="O21" s="20" t="inlineStr">
        <x:is>
          <x:t xml:space="preserve"/>
        </x:is>
      </x:c>
      <x:c r="P21" s="20" t="inlineStr">
        <x:is>
          <x:t xml:space="preserve"/>
        </x:is>
      </x:c>
      <x:c r="Q21" s="20" t="inlineStr">
        <x:is>
          <x:t xml:space="preserve">https://www.fldoe.org/file/18534/SchoolGrades25.xlsx</x:t>
        </x:is>
      </x:c>
      <x:c r="R21" s="20" t="inlineStr">
        <x:is>
          <x:t xml:space="preserve">School type code 01; Title I=YES; Alternative/ESE=N; coordinates pending NCES/district GIS pull.</x:t>
        </x:is>
      </x:c>
    </x:row>
    <x:row r="22">
      <x:c r="A22" s="20" t="inlineStr">
        <x:is>
          <x:t xml:space="preserve">LAKE</x:t>
        </x:is>
      </x:c>
      <x:c r="B22" s="20" t="inlineStr">
        <x:is>
          <x:t xml:space="preserve">LAKE</x:t>
        </x:is>
      </x:c>
      <x:c r="C22" s="20" t="inlineStr">
        <x:is>
          <x:t xml:space="preserve">350251</x:t>
        </x:is>
      </x:c>
      <x:c r="D22" s="20" t="inlineStr">
        <x:is>
          <x:t xml:space="preserve"/>
        </x:is>
      </x:c>
      <x:c r="E22" s="20" t="inlineStr">
        <x:is>
          <x:t xml:space="preserve">OAK PARK MIDDLE SCHOOL</x:t>
        </x:is>
      </x:c>
      <x:c r="F22" s="20" t="inlineStr">
        <x:is>
          <x:t xml:space="preserve">Middle/Junior</x:t>
        </x:is>
      </x:c>
      <x:c r="G22" s="20" t="inlineStr">
        <x:is>
          <x:t xml:space="preserve">YES</x:t>
        </x:is>
      </x:c>
      <x:c r="H22" s="20" t="inlineStr">
        <x:is>
          <x:t xml:space="preserve">NO</x:t>
        </x:is>
      </x:c>
      <x:c r="I22" s="20" t="inlineStr">
        <x:is>
          <x:t xml:space="preserve"/>
        </x:is>
      </x:c>
      <x:c r="J22" s="20" t="inlineStr">
        <x:is>
          <x:t xml:space="preserve">NO</x:t>
        </x:is>
      </x:c>
      <x:c r="K22" s="20" t="inlineStr">
        <x:is>
          <x:t xml:space="preserve"/>
        </x:is>
      </x:c>
      <x:c r="L22" s="20" t="inlineStr">
        <x:is>
          <x:t xml:space="preserve"/>
        </x:is>
      </x:c>
      <x:c r="M22" s="20" t="inlineStr">
        <x:is>
          <x:t xml:space="preserve"/>
        </x:is>
      </x:c>
      <x:c r="N22" s="20" t="inlineStr">
        <x:is>
          <x:t xml:space="preserve"/>
        </x:is>
      </x:c>
      <x:c r="O22" s="20" t="inlineStr">
        <x:is>
          <x:t xml:space="preserve"/>
        </x:is>
      </x:c>
      <x:c r="P22" s="20" t="inlineStr">
        <x:is>
          <x:t xml:space="preserve"/>
        </x:is>
      </x:c>
      <x:c r="Q22" s="20" t="inlineStr">
        <x:is>
          <x:t xml:space="preserve">https://www.fldoe.org/file/18534/SchoolGrades25.xlsx</x:t>
        </x:is>
      </x:c>
      <x:c r="R22" s="20" t="inlineStr">
        <x:is>
          <x:t xml:space="preserve">School type code 02; Title I=YES; Alternative/ESE=N; coordinates pending NCES/district GIS pull.</x:t>
        </x:is>
      </x:c>
    </x:row>
    <x:row r="23">
      <x:c r="A23" s="20" t="inlineStr">
        <x:is>
          <x:t xml:space="preserve">LAKE</x:t>
        </x:is>
      </x:c>
      <x:c r="B23" s="20" t="inlineStr">
        <x:is>
          <x:t xml:space="preserve">LAKE</x:t>
        </x:is>
      </x:c>
      <x:c r="C23" s="20" t="inlineStr">
        <x:is>
          <x:t xml:space="preserve">350261</x:t>
        </x:is>
      </x:c>
      <x:c r="D23" s="20" t="inlineStr">
        <x:is>
          <x:t xml:space="preserve"/>
        </x:is>
      </x:c>
      <x:c r="E23" s="20" t="inlineStr">
        <x:is>
          <x:t xml:space="preserve">MINNEOLA CHARTER SCHOOL</x:t>
        </x:is>
      </x:c>
      <x:c r="F23" s="20" t="inlineStr">
        <x:is>
          <x:t xml:space="preserve">Combination</x:t>
        </x:is>
      </x:c>
      <x:c r="G23" s="20" t="inlineStr">
        <x:is>
          <x:t xml:space="preserve">NO</x:t>
        </x:is>
      </x:c>
      <x:c r="H23" s="20" t="inlineStr">
        <x:is>
          <x:t xml:space="preserve">YES</x:t>
        </x:is>
      </x:c>
      <x:c r="I23" s="20" t="inlineStr">
        <x:is>
          <x:t xml:space="preserve"/>
        </x:is>
      </x:c>
      <x:c r="J23" s="20" t="inlineStr">
        <x:is>
          <x:t xml:space="preserve">NO</x:t>
        </x:is>
      </x:c>
      <x:c r="K23" s="20" t="inlineStr">
        <x:is>
          <x:t xml:space="preserve"/>
        </x:is>
      </x:c>
      <x:c r="L23" s="20" t="inlineStr">
        <x:is>
          <x:t xml:space="preserve"/>
        </x:is>
      </x:c>
      <x:c r="M23" s="20" t="inlineStr">
        <x:is>
          <x:t xml:space="preserve"/>
        </x:is>
      </x:c>
      <x:c r="N23" s="20" t="inlineStr">
        <x:is>
          <x:t xml:space="preserve"/>
        </x:is>
      </x:c>
      <x:c r="O23" s="20" t="inlineStr">
        <x:is>
          <x:t xml:space="preserve"/>
        </x:is>
      </x:c>
      <x:c r="P23" s="20" t="inlineStr">
        <x:is>
          <x:t xml:space="preserve"/>
        </x:is>
      </x:c>
      <x:c r="Q23" s="20" t="inlineStr">
        <x:is>
          <x:t xml:space="preserve">https://www.fldoe.org/file/18534/SchoolGrades25.xlsx</x:t>
        </x:is>
      </x:c>
      <x:c r="R23" s="20" t="inlineStr">
        <x:is>
          <x:t xml:space="preserve">School type code 04; Title I=NO; Alternative/ESE=N; coordinates pending NCES/district GIS pull.</x:t>
        </x:is>
      </x:c>
    </x:row>
    <x:row r="24">
      <x:c r="A24" s="20" t="inlineStr">
        <x:is>
          <x:t xml:space="preserve">LAKE</x:t>
        </x:is>
      </x:c>
      <x:c r="B24" s="20" t="inlineStr">
        <x:is>
          <x:t xml:space="preserve">LAKE</x:t>
        </x:is>
      </x:c>
      <x:c r="C24" s="20" t="inlineStr">
        <x:is>
          <x:t xml:space="preserve">350271</x:t>
        </x:is>
      </x:c>
      <x:c r="D24" s="20" t="inlineStr">
        <x:is>
          <x:t xml:space="preserve"/>
        </x:is>
      </x:c>
      <x:c r="E24" s="20" t="inlineStr">
        <x:is>
          <x:t xml:space="preserve">ASTATULA ELEMENTARY SCHOOL</x:t>
        </x:is>
      </x:c>
      <x:c r="F24" s="20" t="inlineStr">
        <x:is>
          <x:t xml:space="preserve">Elementary</x:t>
        </x:is>
      </x:c>
      <x:c r="G24" s="20" t="inlineStr">
        <x:is>
          <x:t xml:space="preserve">YES</x:t>
        </x:is>
      </x:c>
      <x:c r="H24" s="20" t="inlineStr">
        <x:is>
          <x:t xml:space="preserve">NO</x:t>
        </x:is>
      </x:c>
      <x:c r="I24" s="20" t="inlineStr">
        <x:is>
          <x:t xml:space="preserve"/>
        </x:is>
      </x:c>
      <x:c r="J24" s="20" t="inlineStr">
        <x:is>
          <x:t xml:space="preserve">NO</x:t>
        </x:is>
      </x:c>
      <x:c r="K24" s="20" t="inlineStr">
        <x:is>
          <x:t xml:space="preserve"/>
        </x:is>
      </x:c>
      <x:c r="L24" s="20" t="inlineStr">
        <x:is>
          <x:t xml:space="preserve"/>
        </x:is>
      </x:c>
      <x:c r="M24" s="20" t="inlineStr">
        <x:is>
          <x:t xml:space="preserve"/>
        </x:is>
      </x:c>
      <x:c r="N24" s="20" t="inlineStr">
        <x:is>
          <x:t xml:space="preserve"/>
        </x:is>
      </x:c>
      <x:c r="O24" s="20" t="inlineStr">
        <x:is>
          <x:t xml:space="preserve"/>
        </x:is>
      </x:c>
      <x:c r="P24" s="20" t="inlineStr">
        <x:is>
          <x:t xml:space="preserve"/>
        </x:is>
      </x:c>
      <x:c r="Q24" s="20" t="inlineStr">
        <x:is>
          <x:t xml:space="preserve">https://www.fldoe.org/file/18534/SchoolGrades25.xlsx</x:t>
        </x:is>
      </x:c>
      <x:c r="R24" s="20" t="inlineStr">
        <x:is>
          <x:t xml:space="preserve">School type code 01; Title I=NO; Alternative/ESE=N; coordinates pending NCES/district GIS pull.</x:t>
        </x:is>
      </x:c>
    </x:row>
    <x:row r="25">
      <x:c r="A25" s="20" t="inlineStr">
        <x:is>
          <x:t xml:space="preserve">LAKE</x:t>
        </x:is>
      </x:c>
      <x:c r="B25" s="20" t="inlineStr">
        <x:is>
          <x:t xml:space="preserve">LAKE</x:t>
        </x:is>
      </x:c>
      <x:c r="C25" s="20" t="inlineStr">
        <x:is>
          <x:t xml:space="preserve">350281</x:t>
        </x:is>
      </x:c>
      <x:c r="D25" s="20" t="inlineStr">
        <x:is>
          <x:t xml:space="preserve"/>
        </x:is>
      </x:c>
      <x:c r="E25" s="20" t="inlineStr">
        <x:is>
          <x:t xml:space="preserve">LOST LAKE ELEMENTARY SCHOOL</x:t>
        </x:is>
      </x:c>
      <x:c r="F25" s="20" t="inlineStr">
        <x:is>
          <x:t xml:space="preserve">Elementary</x:t>
        </x:is>
      </x:c>
      <x:c r="G25" s="20" t="inlineStr">
        <x:is>
          <x:t xml:space="preserve">YES</x:t>
        </x:is>
      </x:c>
      <x:c r="H25" s="20" t="inlineStr">
        <x:is>
          <x:t xml:space="preserve">NO</x:t>
        </x:is>
      </x:c>
      <x:c r="I25" s="20" t="inlineStr">
        <x:is>
          <x:t xml:space="preserve"/>
        </x:is>
      </x:c>
      <x:c r="J25" s="20" t="inlineStr">
        <x:is>
          <x:t xml:space="preserve">NO</x:t>
        </x:is>
      </x:c>
      <x:c r="K25" s="20" t="inlineStr">
        <x:is>
          <x:t xml:space="preserve"/>
        </x:is>
      </x:c>
      <x:c r="L25" s="20" t="inlineStr">
        <x:is>
          <x:t xml:space="preserve"/>
        </x:is>
      </x:c>
      <x:c r="M25" s="20" t="inlineStr">
        <x:is>
          <x:t xml:space="preserve"/>
        </x:is>
      </x:c>
      <x:c r="N25" s="20" t="inlineStr">
        <x:is>
          <x:t xml:space="preserve"/>
        </x:is>
      </x:c>
      <x:c r="O25" s="20" t="inlineStr">
        <x:is>
          <x:t xml:space="preserve"/>
        </x:is>
      </x:c>
      <x:c r="P25" s="20" t="inlineStr">
        <x:is>
          <x:t xml:space="preserve"/>
        </x:is>
      </x:c>
      <x:c r="Q25" s="20" t="inlineStr">
        <x:is>
          <x:t xml:space="preserve">https://www.fldoe.org/file/18534/SchoolGrades25.xlsx</x:t>
        </x:is>
      </x:c>
      <x:c r="R25" s="20" t="inlineStr">
        <x:is>
          <x:t xml:space="preserve">School type code 01; Title I=NO; Alternative/ESE=N; coordinates pending NCES/district GIS pull.</x:t>
        </x:is>
      </x:c>
    </x:row>
    <x:row r="26">
      <x:c r="A26" s="20" t="inlineStr">
        <x:is>
          <x:t xml:space="preserve">LAKE</x:t>
        </x:is>
      </x:c>
      <x:c r="B26" s="20" t="inlineStr">
        <x:is>
          <x:t xml:space="preserve">LAKE</x:t>
        </x:is>
      </x:c>
      <x:c r="C26" s="20" t="inlineStr">
        <x:is>
          <x:t xml:space="preserve">350291</x:t>
        </x:is>
      </x:c>
      <x:c r="D26" s="20" t="inlineStr">
        <x:is>
          <x:t xml:space="preserve"/>
        </x:is>
      </x:c>
      <x:c r="E26" s="20" t="inlineStr">
        <x:is>
          <x:t xml:space="preserve">LEESBURG ELEMENTARY SCHOOL</x:t>
        </x:is>
      </x:c>
      <x:c r="F26" s="20" t="inlineStr">
        <x:is>
          <x:t xml:space="preserve">Elementary</x:t>
        </x:is>
      </x:c>
      <x:c r="G26" s="20" t="inlineStr">
        <x:is>
          <x:t xml:space="preserve">YES</x:t>
        </x:is>
      </x:c>
      <x:c r="H26" s="20" t="inlineStr">
        <x:is>
          <x:t xml:space="preserve">NO</x:t>
        </x:is>
      </x:c>
      <x:c r="I26" s="20" t="inlineStr">
        <x:is>
          <x:t xml:space="preserve"/>
        </x:is>
      </x:c>
      <x:c r="J26" s="20" t="inlineStr">
        <x:is>
          <x:t xml:space="preserve">NO</x:t>
        </x:is>
      </x:c>
      <x:c r="K26" s="20" t="inlineStr">
        <x:is>
          <x:t xml:space="preserve"/>
        </x:is>
      </x:c>
      <x:c r="L26" s="20" t="inlineStr">
        <x:is>
          <x:t xml:space="preserve"/>
        </x:is>
      </x:c>
      <x:c r="M26" s="20" t="inlineStr">
        <x:is>
          <x:t xml:space="preserve"/>
        </x:is>
      </x:c>
      <x:c r="N26" s="20" t="inlineStr">
        <x:is>
          <x:t xml:space="preserve"/>
        </x:is>
      </x:c>
      <x:c r="O26" s="20" t="inlineStr">
        <x:is>
          <x:t xml:space="preserve"/>
        </x:is>
      </x:c>
      <x:c r="P26" s="20" t="inlineStr">
        <x:is>
          <x:t xml:space="preserve"/>
        </x:is>
      </x:c>
      <x:c r="Q26" s="20" t="inlineStr">
        <x:is>
          <x:t xml:space="preserve">https://www.fldoe.org/file/18534/SchoolGrades25.xlsx</x:t>
        </x:is>
      </x:c>
      <x:c r="R26" s="20" t="inlineStr">
        <x:is>
          <x:t xml:space="preserve">School type code 01; Title I=YES; Alternative/ESE=N; coordinates pending NCES/district GIS pull.</x:t>
        </x:is>
      </x:c>
    </x:row>
    <x:row r="27">
      <x:c r="A27" s="20" t="inlineStr">
        <x:is>
          <x:t xml:space="preserve">LAKE</x:t>
        </x:is>
      </x:c>
      <x:c r="B27" s="20" t="inlineStr">
        <x:is>
          <x:t xml:space="preserve">LAKE</x:t>
        </x:is>
      </x:c>
      <x:c r="C27" s="20" t="inlineStr">
        <x:is>
          <x:t xml:space="preserve">350351</x:t>
        </x:is>
      </x:c>
      <x:c r="D27" s="20" t="inlineStr">
        <x:is>
          <x:t xml:space="preserve"/>
        </x:is>
      </x:c>
      <x:c r="E27" s="20" t="inlineStr">
        <x:is>
          <x:t xml:space="preserve">CARVER MIDDLE SCHOOL</x:t>
        </x:is>
      </x:c>
      <x:c r="F27" s="20" t="inlineStr">
        <x:is>
          <x:t xml:space="preserve">Middle/Junior</x:t>
        </x:is>
      </x:c>
      <x:c r="G27" s="20" t="inlineStr">
        <x:is>
          <x:t xml:space="preserve">YES</x:t>
        </x:is>
      </x:c>
      <x:c r="H27" s="20" t="inlineStr">
        <x:is>
          <x:t xml:space="preserve">NO</x:t>
        </x:is>
      </x:c>
      <x:c r="I27" s="20" t="inlineStr">
        <x:is>
          <x:t xml:space="preserve"/>
        </x:is>
      </x:c>
      <x:c r="J27" s="20" t="inlineStr">
        <x:is>
          <x:t xml:space="preserve">NO</x:t>
        </x:is>
      </x:c>
      <x:c r="K27" s="20" t="inlineStr">
        <x:is>
          <x:t xml:space="preserve"/>
        </x:is>
      </x:c>
      <x:c r="L27" s="20" t="inlineStr">
        <x:is>
          <x:t xml:space="preserve"/>
        </x:is>
      </x:c>
      <x:c r="M27" s="20" t="inlineStr">
        <x:is>
          <x:t xml:space="preserve"/>
        </x:is>
      </x:c>
      <x:c r="N27" s="20" t="inlineStr">
        <x:is>
          <x:t xml:space="preserve"/>
        </x:is>
      </x:c>
      <x:c r="O27" s="20" t="inlineStr">
        <x:is>
          <x:t xml:space="preserve"/>
        </x:is>
      </x:c>
      <x:c r="P27" s="20" t="inlineStr">
        <x:is>
          <x:t xml:space="preserve"/>
        </x:is>
      </x:c>
      <x:c r="Q27" s="20" t="inlineStr">
        <x:is>
          <x:t xml:space="preserve">https://www.fldoe.org/file/18534/SchoolGrades25.xlsx</x:t>
        </x:is>
      </x:c>
      <x:c r="R27" s="20" t="inlineStr">
        <x:is>
          <x:t xml:space="preserve">School type code 02; Title I=YES; Alternative/ESE=N; coordinates pending NCES/district GIS pull.</x:t>
        </x:is>
      </x:c>
    </x:row>
    <x:row r="28">
      <x:c r="A28" s="20" t="inlineStr">
        <x:is>
          <x:t xml:space="preserve">LAKE</x:t>
        </x:is>
      </x:c>
      <x:c r="B28" s="20" t="inlineStr">
        <x:is>
          <x:t xml:space="preserve">LAKE</x:t>
        </x:is>
      </x:c>
      <x:c r="C28" s="20" t="inlineStr">
        <x:is>
          <x:t xml:space="preserve">350382</x:t>
        </x:is>
      </x:c>
      <x:c r="D28" s="20" t="inlineStr">
        <x:is>
          <x:t xml:space="preserve"/>
        </x:is>
      </x:c>
      <x:c r="E28" s="20" t="inlineStr">
        <x:is>
          <x:t xml:space="preserve">GROVELAND ELEMENTARY SCHOOL</x:t>
        </x:is>
      </x:c>
      <x:c r="F28" s="20" t="inlineStr">
        <x:is>
          <x:t xml:space="preserve">Elementary</x:t>
        </x:is>
      </x:c>
      <x:c r="G28" s="20" t="inlineStr">
        <x:is>
          <x:t xml:space="preserve">YES</x:t>
        </x:is>
      </x:c>
      <x:c r="H28" s="20" t="inlineStr">
        <x:is>
          <x:t xml:space="preserve">NO</x:t>
        </x:is>
      </x:c>
      <x:c r="I28" s="20" t="inlineStr">
        <x:is>
          <x:t xml:space="preserve"/>
        </x:is>
      </x:c>
      <x:c r="J28" s="20" t="inlineStr">
        <x:is>
          <x:t xml:space="preserve">NO</x:t>
        </x:is>
      </x:c>
      <x:c r="K28" s="20" t="inlineStr">
        <x:is>
          <x:t xml:space="preserve"/>
        </x:is>
      </x:c>
      <x:c r="L28" s="20" t="inlineStr">
        <x:is>
          <x:t xml:space="preserve"/>
        </x:is>
      </x:c>
      <x:c r="M28" s="20" t="inlineStr">
        <x:is>
          <x:t xml:space="preserve"/>
        </x:is>
      </x:c>
      <x:c r="N28" s="20" t="inlineStr">
        <x:is>
          <x:t xml:space="preserve"/>
        </x:is>
      </x:c>
      <x:c r="O28" s="20" t="inlineStr">
        <x:is>
          <x:t xml:space="preserve"/>
        </x:is>
      </x:c>
      <x:c r="P28" s="20" t="inlineStr">
        <x:is>
          <x:t xml:space="preserve"/>
        </x:is>
      </x:c>
      <x:c r="Q28" s="20" t="inlineStr">
        <x:is>
          <x:t xml:space="preserve">https://www.fldoe.org/file/18534/SchoolGrades25.xlsx</x:t>
        </x:is>
      </x:c>
      <x:c r="R28" s="20" t="inlineStr">
        <x:is>
          <x:t xml:space="preserve">School type code 01; Title I=YES; Alternative/ESE=N; coordinates pending NCES/district GIS pull.</x:t>
        </x:is>
      </x:c>
    </x:row>
    <x:row r="29">
      <x:c r="A29" s="20" t="inlineStr">
        <x:is>
          <x:t xml:space="preserve">LAKE</x:t>
        </x:is>
      </x:c>
      <x:c r="B29" s="20" t="inlineStr">
        <x:is>
          <x:t xml:space="preserve">LAKE</x:t>
        </x:is>
      </x:c>
      <x:c r="C29" s="20" t="inlineStr">
        <x:is>
          <x:t xml:space="preserve">350411</x:t>
        </x:is>
      </x:c>
      <x:c r="D29" s="20" t="inlineStr">
        <x:is>
          <x:t xml:space="preserve"/>
        </x:is>
      </x:c>
      <x:c r="E29" s="20" t="inlineStr">
        <x:is>
          <x:t xml:space="preserve">MT. DORA MIDDLE SCHOOL</x:t>
        </x:is>
      </x:c>
      <x:c r="F29" s="20" t="inlineStr">
        <x:is>
          <x:t xml:space="preserve">Middle/Junior</x:t>
        </x:is>
      </x:c>
      <x:c r="G29" s="20" t="inlineStr">
        <x:is>
          <x:t xml:space="preserve">YES</x:t>
        </x:is>
      </x:c>
      <x:c r="H29" s="20" t="inlineStr">
        <x:is>
          <x:t xml:space="preserve">NO</x:t>
        </x:is>
      </x:c>
      <x:c r="I29" s="20" t="inlineStr">
        <x:is>
          <x:t xml:space="preserve"/>
        </x:is>
      </x:c>
      <x:c r="J29" s="20" t="inlineStr">
        <x:is>
          <x:t xml:space="preserve">NO</x:t>
        </x:is>
      </x:c>
      <x:c r="K29" s="20" t="inlineStr">
        <x:is>
          <x:t xml:space="preserve"/>
        </x:is>
      </x:c>
      <x:c r="L29" s="20" t="inlineStr">
        <x:is>
          <x:t xml:space="preserve"/>
        </x:is>
      </x:c>
      <x:c r="M29" s="20" t="inlineStr">
        <x:is>
          <x:t xml:space="preserve"/>
        </x:is>
      </x:c>
      <x:c r="N29" s="20" t="inlineStr">
        <x:is>
          <x:t xml:space="preserve"/>
        </x:is>
      </x:c>
      <x:c r="O29" s="20" t="inlineStr">
        <x:is>
          <x:t xml:space="preserve"/>
        </x:is>
      </x:c>
      <x:c r="P29" s="20" t="inlineStr">
        <x:is>
          <x:t xml:space="preserve"/>
        </x:is>
      </x:c>
      <x:c r="Q29" s="20" t="inlineStr">
        <x:is>
          <x:t xml:space="preserve">https://www.fldoe.org/file/18534/SchoolGrades25.xlsx</x:t>
        </x:is>
      </x:c>
      <x:c r="R29" s="20" t="inlineStr">
        <x:is>
          <x:t xml:space="preserve">School type code 02; Title I=NO; Alternative/ESE=N; coordinates pending NCES/district GIS pull.</x:t>
        </x:is>
      </x:c>
    </x:row>
    <x:row r="30">
      <x:c r="A30" s="20" t="inlineStr">
        <x:is>
          <x:t xml:space="preserve">LAKE</x:t>
        </x:is>
      </x:c>
      <x:c r="B30" s="20" t="inlineStr">
        <x:is>
          <x:t xml:space="preserve">LAKE</x:t>
        </x:is>
      </x:c>
      <x:c r="C30" s="20" t="inlineStr">
        <x:is>
          <x:t xml:space="preserve">350431</x:t>
        </x:is>
      </x:c>
      <x:c r="D30" s="20" t="inlineStr">
        <x:is>
          <x:t xml:space="preserve"/>
        </x:is>
      </x:c>
      <x:c r="E30" s="20" t="inlineStr">
        <x:is>
          <x:t xml:space="preserve">LAKE POINTE ACADEMY</x:t>
        </x:is>
      </x:c>
      <x:c r="F30" s="20" t="inlineStr">
        <x:is>
          <x:t xml:space="preserve">Combination</x:t>
        </x:is>
      </x:c>
      <x:c r="G30" s="20" t="inlineStr">
        <x:is>
          <x:t xml:space="preserve">YES</x:t>
        </x:is>
      </x:c>
      <x:c r="H30" s="20" t="inlineStr">
        <x:is>
          <x:t xml:space="preserve">NO</x:t>
        </x:is>
      </x:c>
      <x:c r="I30" s="20" t="inlineStr">
        <x:is>
          <x:t xml:space="preserve"/>
        </x:is>
      </x:c>
      <x:c r="J30" s="20" t="inlineStr">
        <x:is>
          <x:t xml:space="preserve">NO</x:t>
        </x:is>
      </x:c>
      <x:c r="K30" s="20" t="inlineStr">
        <x:is>
          <x:t xml:space="preserve"/>
        </x:is>
      </x:c>
      <x:c r="L30" s="20" t="inlineStr">
        <x:is>
          <x:t xml:space="preserve"/>
        </x:is>
      </x:c>
      <x:c r="M30" s="20" t="inlineStr">
        <x:is>
          <x:t xml:space="preserve"/>
        </x:is>
      </x:c>
      <x:c r="N30" s="20" t="inlineStr">
        <x:is>
          <x:t xml:space="preserve"/>
        </x:is>
      </x:c>
      <x:c r="O30" s="20" t="inlineStr">
        <x:is>
          <x:t xml:space="preserve"/>
        </x:is>
      </x:c>
      <x:c r="P30" s="20" t="inlineStr">
        <x:is>
          <x:t xml:space="preserve"/>
        </x:is>
      </x:c>
      <x:c r="Q30" s="20" t="inlineStr">
        <x:is>
          <x:t xml:space="preserve">https://www.fldoe.org/file/18534/SchoolGrades25.xlsx</x:t>
        </x:is>
      </x:c>
      <x:c r="R30" s="20" t="inlineStr">
        <x:is>
          <x:t xml:space="preserve">School type code 04; Title I=NO; Alternative/ESE=N; coordinates pending NCES/district GIS pull.</x:t>
        </x:is>
      </x:c>
    </x:row>
    <x:row r="31">
      <x:c r="A31" s="20" t="inlineStr">
        <x:is>
          <x:t xml:space="preserve">LAKE</x:t>
        </x:is>
      </x:c>
      <x:c r="B31" s="20" t="inlineStr">
        <x:is>
          <x:t xml:space="preserve">LAKE</x:t>
        </x:is>
      </x:c>
      <x:c r="C31" s="20" t="inlineStr">
        <x:is>
          <x:t xml:space="preserve">350471</x:t>
        </x:is>
      </x:c>
      <x:c r="D31" s="20" t="inlineStr">
        <x:is>
          <x:t xml:space="preserve"/>
        </x:is>
      </x:c>
      <x:c r="E31" s="20" t="inlineStr">
        <x:is>
          <x:t xml:space="preserve">AURELIA M. COLE ACADEMY</x:t>
        </x:is>
      </x:c>
      <x:c r="F31" s="20" t="inlineStr">
        <x:is>
          <x:t xml:space="preserve">Combination</x:t>
        </x:is>
      </x:c>
      <x:c r="G31" s="20" t="inlineStr">
        <x:is>
          <x:t xml:space="preserve">YES</x:t>
        </x:is>
      </x:c>
      <x:c r="H31" s="20" t="inlineStr">
        <x:is>
          <x:t xml:space="preserve">NO</x:t>
        </x:is>
      </x:c>
      <x:c r="I31" s="20" t="inlineStr">
        <x:is>
          <x:t xml:space="preserve"/>
        </x:is>
      </x:c>
      <x:c r="J31" s="20" t="inlineStr">
        <x:is>
          <x:t xml:space="preserve">NO</x:t>
        </x:is>
      </x:c>
      <x:c r="K31" s="20" t="inlineStr">
        <x:is>
          <x:t xml:space="preserve"/>
        </x:is>
      </x:c>
      <x:c r="L31" s="20" t="inlineStr">
        <x:is>
          <x:t xml:space="preserve"/>
        </x:is>
      </x:c>
      <x:c r="M31" s="20" t="inlineStr">
        <x:is>
          <x:t xml:space="preserve"/>
        </x:is>
      </x:c>
      <x:c r="N31" s="20" t="inlineStr">
        <x:is>
          <x:t xml:space="preserve"/>
        </x:is>
      </x:c>
      <x:c r="O31" s="20" t="inlineStr">
        <x:is>
          <x:t xml:space="preserve"/>
        </x:is>
      </x:c>
      <x:c r="P31" s="20" t="inlineStr">
        <x:is>
          <x:t xml:space="preserve"/>
        </x:is>
      </x:c>
      <x:c r="Q31" s="20" t="inlineStr">
        <x:is>
          <x:t xml:space="preserve">https://www.fldoe.org/file/18534/SchoolGrades25.xlsx</x:t>
        </x:is>
      </x:c>
      <x:c r="R31" s="20" t="inlineStr">
        <x:is>
          <x:t xml:space="preserve">School type code 04; Title I=NO; Alternative/ESE=N; coordinates pending NCES/district GIS pull.</x:t>
        </x:is>
      </x:c>
    </x:row>
    <x:row r="32">
      <x:c r="A32" s="20" t="inlineStr">
        <x:is>
          <x:t xml:space="preserve">LAKE</x:t>
        </x:is>
      </x:c>
      <x:c r="B32" s="20" t="inlineStr">
        <x:is>
          <x:t xml:space="preserve">LAKE</x:t>
        </x:is>
      </x:c>
      <x:c r="C32" s="20" t="inlineStr">
        <x:is>
          <x:t xml:space="preserve">350481</x:t>
        </x:is>
      </x:c>
      <x:c r="D32" s="20" t="inlineStr">
        <x:is>
          <x:t xml:space="preserve"/>
        </x:is>
      </x:c>
      <x:c r="E32" s="20" t="inlineStr">
        <x:is>
          <x:t xml:space="preserve">WINDY HILL MIDDLE SCHOOL</x:t>
        </x:is>
      </x:c>
      <x:c r="F32" s="20" t="inlineStr">
        <x:is>
          <x:t xml:space="preserve">Middle/Junior</x:t>
        </x:is>
      </x:c>
      <x:c r="G32" s="20" t="inlineStr">
        <x:is>
          <x:t xml:space="preserve">YES</x:t>
        </x:is>
      </x:c>
      <x:c r="H32" s="20" t="inlineStr">
        <x:is>
          <x:t xml:space="preserve">NO</x:t>
        </x:is>
      </x:c>
      <x:c r="I32" s="20" t="inlineStr">
        <x:is>
          <x:t xml:space="preserve"/>
        </x:is>
      </x:c>
      <x:c r="J32" s="20" t="inlineStr">
        <x:is>
          <x:t xml:space="preserve">NO</x:t>
        </x:is>
      </x:c>
      <x:c r="K32" s="20" t="inlineStr">
        <x:is>
          <x:t xml:space="preserve"/>
        </x:is>
      </x:c>
      <x:c r="L32" s="20" t="inlineStr">
        <x:is>
          <x:t xml:space="preserve"/>
        </x:is>
      </x:c>
      <x:c r="M32" s="20" t="inlineStr">
        <x:is>
          <x:t xml:space="preserve"/>
        </x:is>
      </x:c>
      <x:c r="N32" s="20" t="inlineStr">
        <x:is>
          <x:t xml:space="preserve"/>
        </x:is>
      </x:c>
      <x:c r="O32" s="20" t="inlineStr">
        <x:is>
          <x:t xml:space="preserve"/>
        </x:is>
      </x:c>
      <x:c r="P32" s="20" t="inlineStr">
        <x:is>
          <x:t xml:space="preserve"/>
        </x:is>
      </x:c>
      <x:c r="Q32" s="20" t="inlineStr">
        <x:is>
          <x:t xml:space="preserve">https://www.fldoe.org/file/18534/SchoolGrades25.xlsx</x:t>
        </x:is>
      </x:c>
      <x:c r="R32" s="20" t="inlineStr">
        <x:is>
          <x:t xml:space="preserve">School type code 02; Title I=NO; Alternative/ESE=N; coordinates pending NCES/district GIS pull.</x:t>
        </x:is>
      </x:c>
    </x:row>
    <x:row r="33">
      <x:c r="A33" s="20" t="inlineStr">
        <x:is>
          <x:t xml:space="preserve">LAKE</x:t>
        </x:is>
      </x:c>
      <x:c r="B33" s="20" t="inlineStr">
        <x:is>
          <x:t xml:space="preserve">LAKE</x:t>
        </x:is>
      </x:c>
      <x:c r="C33" s="20" t="inlineStr">
        <x:is>
          <x:t xml:space="preserve">350521</x:t>
        </x:is>
      </x:c>
      <x:c r="D33" s="20" t="inlineStr">
        <x:is>
          <x:t xml:space="preserve"/>
        </x:is>
      </x:c>
      <x:c r="E33" s="20" t="inlineStr">
        <x:is>
          <x:t xml:space="preserve">TRIANGLE ELEMENTARY SCHOOL</x:t>
        </x:is>
      </x:c>
      <x:c r="F33" s="20" t="inlineStr">
        <x:is>
          <x:t xml:space="preserve">Elementary</x:t>
        </x:is>
      </x:c>
      <x:c r="G33" s="20" t="inlineStr">
        <x:is>
          <x:t xml:space="preserve">YES</x:t>
        </x:is>
      </x:c>
      <x:c r="H33" s="20" t="inlineStr">
        <x:is>
          <x:t xml:space="preserve">NO</x:t>
        </x:is>
      </x:c>
      <x:c r="I33" s="20" t="inlineStr">
        <x:is>
          <x:t xml:space="preserve"/>
        </x:is>
      </x:c>
      <x:c r="J33" s="20" t="inlineStr">
        <x:is>
          <x:t xml:space="preserve">NO</x:t>
        </x:is>
      </x:c>
      <x:c r="K33" s="20" t="inlineStr">
        <x:is>
          <x:t xml:space="preserve"/>
        </x:is>
      </x:c>
      <x:c r="L33" s="20" t="inlineStr">
        <x:is>
          <x:t xml:space="preserve"/>
        </x:is>
      </x:c>
      <x:c r="M33" s="20" t="inlineStr">
        <x:is>
          <x:t xml:space="preserve"/>
        </x:is>
      </x:c>
      <x:c r="N33" s="20" t="inlineStr">
        <x:is>
          <x:t xml:space="preserve"/>
        </x:is>
      </x:c>
      <x:c r="O33" s="20" t="inlineStr">
        <x:is>
          <x:t xml:space="preserve"/>
        </x:is>
      </x:c>
      <x:c r="P33" s="20" t="inlineStr">
        <x:is>
          <x:t xml:space="preserve"/>
        </x:is>
      </x:c>
      <x:c r="Q33" s="20" t="inlineStr">
        <x:is>
          <x:t xml:space="preserve">https://www.fldoe.org/file/18534/SchoolGrades25.xlsx</x:t>
        </x:is>
      </x:c>
      <x:c r="R33" s="20" t="inlineStr">
        <x:is>
          <x:t xml:space="preserve">School type code 01; Title I=YES; Alternative/ESE=N; coordinates pending NCES/district GIS pull.</x:t>
        </x:is>
      </x:c>
    </x:row>
    <x:row r="34">
      <x:c r="A34" s="20" t="inlineStr">
        <x:is>
          <x:t xml:space="preserve">LAKE</x:t>
        </x:is>
      </x:c>
      <x:c r="B34" s="20" t="inlineStr">
        <x:is>
          <x:t xml:space="preserve">LAKE</x:t>
        </x:is>
      </x:c>
      <x:c r="C34" s="20" t="inlineStr">
        <x:is>
          <x:t xml:space="preserve">350541</x:t>
        </x:is>
      </x:c>
      <x:c r="D34" s="20" t="inlineStr">
        <x:is>
          <x:t xml:space="preserve"/>
        </x:is>
      </x:c>
      <x:c r="E34" s="20" t="inlineStr">
        <x:is>
          <x:t xml:space="preserve">MASCOTTE CHARTER SCHOOL</x:t>
        </x:is>
      </x:c>
      <x:c r="F34" s="20" t="inlineStr">
        <x:is>
          <x:t xml:space="preserve">Elementary</x:t>
        </x:is>
      </x:c>
      <x:c r="G34" s="20" t="inlineStr">
        <x:is>
          <x:t xml:space="preserve">NO</x:t>
        </x:is>
      </x:c>
      <x:c r="H34" s="20" t="inlineStr">
        <x:is>
          <x:t xml:space="preserve">YES</x:t>
        </x:is>
      </x:c>
      <x:c r="I34" s="20" t="inlineStr">
        <x:is>
          <x:t xml:space="preserve"/>
        </x:is>
      </x:c>
      <x:c r="J34" s="20" t="inlineStr">
        <x:is>
          <x:t xml:space="preserve">NO</x:t>
        </x:is>
      </x:c>
      <x:c r="K34" s="20" t="inlineStr">
        <x:is>
          <x:t xml:space="preserve"/>
        </x:is>
      </x:c>
      <x:c r="L34" s="20" t="inlineStr">
        <x:is>
          <x:t xml:space="preserve"/>
        </x:is>
      </x:c>
      <x:c r="M34" s="20" t="inlineStr">
        <x:is>
          <x:t xml:space="preserve"/>
        </x:is>
      </x:c>
      <x:c r="N34" s="20" t="inlineStr">
        <x:is>
          <x:t xml:space="preserve"/>
        </x:is>
      </x:c>
      <x:c r="O34" s="20" t="inlineStr">
        <x:is>
          <x:t xml:space="preserve"/>
        </x:is>
      </x:c>
      <x:c r="P34" s="20" t="inlineStr">
        <x:is>
          <x:t xml:space="preserve"/>
        </x:is>
      </x:c>
      <x:c r="Q34" s="20" t="inlineStr">
        <x:is>
          <x:t xml:space="preserve">https://www.fldoe.org/file/18534/SchoolGrades25.xlsx</x:t>
        </x:is>
      </x:c>
      <x:c r="R34" s="20" t="inlineStr">
        <x:is>
          <x:t xml:space="preserve">School type code 01; Title I=NO; Alternative/ESE=N; coordinates pending NCES/district GIS pull.</x:t>
        </x:is>
      </x:c>
    </x:row>
    <x:row r="35">
      <x:c r="A35" s="20" t="inlineStr">
        <x:is>
          <x:t xml:space="preserve">LAKE</x:t>
        </x:is>
      </x:c>
      <x:c r="B35" s="20" t="inlineStr">
        <x:is>
          <x:t xml:space="preserve">LAKE</x:t>
        </x:is>
      </x:c>
      <x:c r="C35" s="20" t="inlineStr">
        <x:is>
          <x:t xml:space="preserve">350551</x:t>
        </x:is>
      </x:c>
      <x:c r="D35" s="20" t="inlineStr">
        <x:is>
          <x:t xml:space="preserve"/>
        </x:is>
      </x:c>
      <x:c r="E35" s="20" t="inlineStr">
        <x:is>
          <x:t xml:space="preserve">TAVARES ELEMENTARY SCHOOL</x:t>
        </x:is>
      </x:c>
      <x:c r="F35" s="20" t="inlineStr">
        <x:is>
          <x:t xml:space="preserve">Elementary</x:t>
        </x:is>
      </x:c>
      <x:c r="G35" s="20" t="inlineStr">
        <x:is>
          <x:t xml:space="preserve">YES</x:t>
        </x:is>
      </x:c>
      <x:c r="H35" s="20" t="inlineStr">
        <x:is>
          <x:t xml:space="preserve">NO</x:t>
        </x:is>
      </x:c>
      <x:c r="I35" s="20" t="inlineStr">
        <x:is>
          <x:t xml:space="preserve"/>
        </x:is>
      </x:c>
      <x:c r="J35" s="20" t="inlineStr">
        <x:is>
          <x:t xml:space="preserve">NO</x:t>
        </x:is>
      </x:c>
      <x:c r="K35" s="20" t="inlineStr">
        <x:is>
          <x:t xml:space="preserve"/>
        </x:is>
      </x:c>
      <x:c r="L35" s="20" t="inlineStr">
        <x:is>
          <x:t xml:space="preserve"/>
        </x:is>
      </x:c>
      <x:c r="M35" s="20" t="inlineStr">
        <x:is>
          <x:t xml:space="preserve"/>
        </x:is>
      </x:c>
      <x:c r="N35" s="20" t="inlineStr">
        <x:is>
          <x:t xml:space="preserve"/>
        </x:is>
      </x:c>
      <x:c r="O35" s="20" t="inlineStr">
        <x:is>
          <x:t xml:space="preserve"/>
        </x:is>
      </x:c>
      <x:c r="P35" s="20" t="inlineStr">
        <x:is>
          <x:t xml:space="preserve"/>
        </x:is>
      </x:c>
      <x:c r="Q35" s="20" t="inlineStr">
        <x:is>
          <x:t xml:space="preserve">https://www.fldoe.org/file/18534/SchoolGrades25.xlsx</x:t>
        </x:is>
      </x:c>
      <x:c r="R35" s="20" t="inlineStr">
        <x:is>
          <x:t xml:space="preserve">School type code 01; Title I=YES; Alternative/ESE=N; coordinates pending NCES/district GIS pull.</x:t>
        </x:is>
      </x:c>
    </x:row>
    <x:row r="36">
      <x:c r="A36" s="20" t="inlineStr">
        <x:is>
          <x:t xml:space="preserve">LAKE</x:t>
        </x:is>
      </x:c>
      <x:c r="B36" s="20" t="inlineStr">
        <x:is>
          <x:t xml:space="preserve">LAKE</x:t>
        </x:is>
      </x:c>
      <x:c r="C36" s="20" t="inlineStr">
        <x:is>
          <x:t xml:space="preserve">350561</x:t>
        </x:is>
      </x:c>
      <x:c r="D36" s="20" t="inlineStr">
        <x:is>
          <x:t xml:space="preserve"/>
        </x:is>
      </x:c>
      <x:c r="E36" s="20" t="inlineStr">
        <x:is>
          <x:t xml:space="preserve">UMATILLA ELEMENTARY SCHOOL</x:t>
        </x:is>
      </x:c>
      <x:c r="F36" s="20" t="inlineStr">
        <x:is>
          <x:t xml:space="preserve">Elementary</x:t>
        </x:is>
      </x:c>
      <x:c r="G36" s="20" t="inlineStr">
        <x:is>
          <x:t xml:space="preserve">YES</x:t>
        </x:is>
      </x:c>
      <x:c r="H36" s="20" t="inlineStr">
        <x:is>
          <x:t xml:space="preserve">NO</x:t>
        </x:is>
      </x:c>
      <x:c r="I36" s="20" t="inlineStr">
        <x:is>
          <x:t xml:space="preserve"/>
        </x:is>
      </x:c>
      <x:c r="J36" s="20" t="inlineStr">
        <x:is>
          <x:t xml:space="preserve">NO</x:t>
        </x:is>
      </x:c>
      <x:c r="K36" s="20" t="inlineStr">
        <x:is>
          <x:t xml:space="preserve"/>
        </x:is>
      </x:c>
      <x:c r="L36" s="20" t="inlineStr">
        <x:is>
          <x:t xml:space="preserve"/>
        </x:is>
      </x:c>
      <x:c r="M36" s="20" t="inlineStr">
        <x:is>
          <x:t xml:space="preserve"/>
        </x:is>
      </x:c>
      <x:c r="N36" s="20" t="inlineStr">
        <x:is>
          <x:t xml:space="preserve"/>
        </x:is>
      </x:c>
      <x:c r="O36" s="20" t="inlineStr">
        <x:is>
          <x:t xml:space="preserve"/>
        </x:is>
      </x:c>
      <x:c r="P36" s="20" t="inlineStr">
        <x:is>
          <x:t xml:space="preserve"/>
        </x:is>
      </x:c>
      <x:c r="Q36" s="20" t="inlineStr">
        <x:is>
          <x:t xml:space="preserve">https://www.fldoe.org/file/18534/SchoolGrades25.xlsx</x:t>
        </x:is>
      </x:c>
      <x:c r="R36" s="20" t="inlineStr">
        <x:is>
          <x:t xml:space="preserve">School type code 01; Title I=NO; Alternative/ESE=N; coordinates pending NCES/district GIS pull.</x:t>
        </x:is>
      </x:c>
    </x:row>
    <x:row r="37">
      <x:c r="A37" s="20" t="inlineStr">
        <x:is>
          <x:t xml:space="preserve">LAKE</x:t>
        </x:is>
      </x:c>
      <x:c r="B37" s="20" t="inlineStr">
        <x:is>
          <x:t xml:space="preserve">LAKE</x:t>
        </x:is>
      </x:c>
      <x:c r="C37" s="20" t="inlineStr">
        <x:is>
          <x:t xml:space="preserve">350571</x:t>
        </x:is>
      </x:c>
      <x:c r="D37" s="20" t="inlineStr">
        <x:is>
          <x:t xml:space="preserve"/>
        </x:is>
      </x:c>
      <x:c r="E37" s="20" t="inlineStr">
        <x:is>
          <x:t xml:space="preserve">UMATILLA MIDDLE SCHOOL</x:t>
        </x:is>
      </x:c>
      <x:c r="F37" s="20" t="inlineStr">
        <x:is>
          <x:t xml:space="preserve">Middle/Junior</x:t>
        </x:is>
      </x:c>
      <x:c r="G37" s="20" t="inlineStr">
        <x:is>
          <x:t xml:space="preserve">YES</x:t>
        </x:is>
      </x:c>
      <x:c r="H37" s="20" t="inlineStr">
        <x:is>
          <x:t xml:space="preserve">NO</x:t>
        </x:is>
      </x:c>
      <x:c r="I37" s="20" t="inlineStr">
        <x:is>
          <x:t xml:space="preserve"/>
        </x:is>
      </x:c>
      <x:c r="J37" s="20" t="inlineStr">
        <x:is>
          <x:t xml:space="preserve">NO</x:t>
        </x:is>
      </x:c>
      <x:c r="K37" s="20" t="inlineStr">
        <x:is>
          <x:t xml:space="preserve"/>
        </x:is>
      </x:c>
      <x:c r="L37" s="20" t="inlineStr">
        <x:is>
          <x:t xml:space="preserve"/>
        </x:is>
      </x:c>
      <x:c r="M37" s="20" t="inlineStr">
        <x:is>
          <x:t xml:space="preserve"/>
        </x:is>
      </x:c>
      <x:c r="N37" s="20" t="inlineStr">
        <x:is>
          <x:t xml:space="preserve"/>
        </x:is>
      </x:c>
      <x:c r="O37" s="20" t="inlineStr">
        <x:is>
          <x:t xml:space="preserve"/>
        </x:is>
      </x:c>
      <x:c r="P37" s="20" t="inlineStr">
        <x:is>
          <x:t xml:space="preserve"/>
        </x:is>
      </x:c>
      <x:c r="Q37" s="20" t="inlineStr">
        <x:is>
          <x:t xml:space="preserve">https://www.fldoe.org/file/18534/SchoolGrades25.xlsx</x:t>
        </x:is>
      </x:c>
      <x:c r="R37" s="20" t="inlineStr">
        <x:is>
          <x:t xml:space="preserve">School type code 02; Title I=YES; Alternative/ESE=N; coordinates pending NCES/district GIS pull.</x:t>
        </x:is>
      </x:c>
    </x:row>
    <x:row r="38">
      <x:c r="A38" s="20" t="inlineStr">
        <x:is>
          <x:t xml:space="preserve">LAKE</x:t>
        </x:is>
      </x:c>
      <x:c r="B38" s="20" t="inlineStr">
        <x:is>
          <x:t xml:space="preserve">LAKE</x:t>
        </x:is>
      </x:c>
      <x:c r="C38" s="20" t="inlineStr">
        <x:is>
          <x:t xml:space="preserve">350591</x:t>
        </x:is>
      </x:c>
      <x:c r="D38" s="20" t="inlineStr">
        <x:is>
          <x:t xml:space="preserve"/>
        </x:is>
      </x:c>
      <x:c r="E38" s="20" t="inlineStr">
        <x:is>
          <x:t xml:space="preserve">PINE RIDGE ELEMENTARY SCHOOL</x:t>
        </x:is>
      </x:c>
      <x:c r="F38" s="20" t="inlineStr">
        <x:is>
          <x:t xml:space="preserve">Elementary</x:t>
        </x:is>
      </x:c>
      <x:c r="G38" s="20" t="inlineStr">
        <x:is>
          <x:t xml:space="preserve">YES</x:t>
        </x:is>
      </x:c>
      <x:c r="H38" s="20" t="inlineStr">
        <x:is>
          <x:t xml:space="preserve">NO</x:t>
        </x:is>
      </x:c>
      <x:c r="I38" s="20" t="inlineStr">
        <x:is>
          <x:t xml:space="preserve"/>
        </x:is>
      </x:c>
      <x:c r="J38" s="20" t="inlineStr">
        <x:is>
          <x:t xml:space="preserve">NO</x:t>
        </x:is>
      </x:c>
      <x:c r="K38" s="20" t="inlineStr">
        <x:is>
          <x:t xml:space="preserve"/>
        </x:is>
      </x:c>
      <x:c r="L38" s="20" t="inlineStr">
        <x:is>
          <x:t xml:space="preserve"/>
        </x:is>
      </x:c>
      <x:c r="M38" s="20" t="inlineStr">
        <x:is>
          <x:t xml:space="preserve"/>
        </x:is>
      </x:c>
      <x:c r="N38" s="20" t="inlineStr">
        <x:is>
          <x:t xml:space="preserve"/>
        </x:is>
      </x:c>
      <x:c r="O38" s="20" t="inlineStr">
        <x:is>
          <x:t xml:space="preserve"/>
        </x:is>
      </x:c>
      <x:c r="P38" s="20" t="inlineStr">
        <x:is>
          <x:t xml:space="preserve"/>
        </x:is>
      </x:c>
      <x:c r="Q38" s="20" t="inlineStr">
        <x:is>
          <x:t xml:space="preserve">https://www.fldoe.org/file/18534/SchoolGrades25.xlsx</x:t>
        </x:is>
      </x:c>
      <x:c r="R38" s="20" t="inlineStr">
        <x:is>
          <x:t xml:space="preserve">School type code 01; Title I=NO; Alternative/ESE=N; coordinates pending NCES/district GIS pull.</x:t>
        </x:is>
      </x:c>
    </x:row>
    <x:row r="39">
      <x:c r="A39" s="20" t="inlineStr">
        <x:is>
          <x:t xml:space="preserve">LAKE</x:t>
        </x:is>
      </x:c>
      <x:c r="B39" s="20" t="inlineStr">
        <x:is>
          <x:t xml:space="preserve">LAKE</x:t>
        </x:is>
      </x:c>
      <x:c r="C39" s="20" t="inlineStr">
        <x:is>
          <x:t xml:space="preserve">350597</x:t>
        </x:is>
      </x:c>
      <x:c r="D39" s="20" t="inlineStr">
        <x:is>
          <x:t xml:space="preserve"/>
        </x:is>
      </x:c>
      <x:c r="E39" s="20" t="inlineStr">
        <x:is>
          <x:t xml:space="preserve">CYPRESS RIDGE ELEMENTARY SCHOOL</x:t>
        </x:is>
      </x:c>
      <x:c r="F39" s="20" t="inlineStr">
        <x:is>
          <x:t xml:space="preserve">Elementary</x:t>
        </x:is>
      </x:c>
      <x:c r="G39" s="20" t="inlineStr">
        <x:is>
          <x:t xml:space="preserve">YES</x:t>
        </x:is>
      </x:c>
      <x:c r="H39" s="20" t="inlineStr">
        <x:is>
          <x:t xml:space="preserve">NO</x:t>
        </x:is>
      </x:c>
      <x:c r="I39" s="20" t="inlineStr">
        <x:is>
          <x:t xml:space="preserve"/>
        </x:is>
      </x:c>
      <x:c r="J39" s="20" t="inlineStr">
        <x:is>
          <x:t xml:space="preserve">NO</x:t>
        </x:is>
      </x:c>
      <x:c r="K39" s="20" t="inlineStr">
        <x:is>
          <x:t xml:space="preserve"/>
        </x:is>
      </x:c>
      <x:c r="L39" s="20" t="inlineStr">
        <x:is>
          <x:t xml:space="preserve"/>
        </x:is>
      </x:c>
      <x:c r="M39" s="20" t="inlineStr">
        <x:is>
          <x:t xml:space="preserve"/>
        </x:is>
      </x:c>
      <x:c r="N39" s="20" t="inlineStr">
        <x:is>
          <x:t xml:space="preserve"/>
        </x:is>
      </x:c>
      <x:c r="O39" s="20" t="inlineStr">
        <x:is>
          <x:t xml:space="preserve"/>
        </x:is>
      </x:c>
      <x:c r="P39" s="20" t="inlineStr">
        <x:is>
          <x:t xml:space="preserve"/>
        </x:is>
      </x:c>
      <x:c r="Q39" s="20" t="inlineStr">
        <x:is>
          <x:t xml:space="preserve">https://www.fldoe.org/file/18534/SchoolGrades25.xlsx</x:t>
        </x:is>
      </x:c>
      <x:c r="R39" s="20" t="inlineStr">
        <x:is>
          <x:t xml:space="preserve">School type code 01; Title I=NO; Alternative/ESE=N; coordinates pending NCES/district GIS pull.</x:t>
        </x:is>
      </x:c>
    </x:row>
    <x:row r="40">
      <x:c r="A40" s="20" t="inlineStr">
        <x:is>
          <x:t xml:space="preserve">LAKE</x:t>
        </x:is>
      </x:c>
      <x:c r="B40" s="20" t="inlineStr">
        <x:is>
          <x:t xml:space="preserve">LAKE</x:t>
        </x:is>
      </x:c>
      <x:c r="C40" s="20" t="inlineStr">
        <x:is>
          <x:t xml:space="preserve">350631</x:t>
        </x:is>
      </x:c>
      <x:c r="D40" s="20" t="inlineStr">
        <x:is>
          <x:t xml:space="preserve"/>
        </x:is>
      </x:c>
      <x:c r="E40" s="20" t="inlineStr">
        <x:is>
          <x:t xml:space="preserve">SPRING CREEK CHARTER SCHOOL</x:t>
        </x:is>
      </x:c>
      <x:c r="F40" s="20" t="inlineStr">
        <x:is>
          <x:t xml:space="preserve">Combination</x:t>
        </x:is>
      </x:c>
      <x:c r="G40" s="20" t="inlineStr">
        <x:is>
          <x:t xml:space="preserve">NO</x:t>
        </x:is>
      </x:c>
      <x:c r="H40" s="20" t="inlineStr">
        <x:is>
          <x:t xml:space="preserve">YES</x:t>
        </x:is>
      </x:c>
      <x:c r="I40" s="20" t="inlineStr">
        <x:is>
          <x:t xml:space="preserve"/>
        </x:is>
      </x:c>
      <x:c r="J40" s="20" t="inlineStr">
        <x:is>
          <x:t xml:space="preserve">NO</x:t>
        </x:is>
      </x:c>
      <x:c r="K40" s="20" t="inlineStr">
        <x:is>
          <x:t xml:space="preserve"/>
        </x:is>
      </x:c>
      <x:c r="L40" s="20" t="inlineStr">
        <x:is>
          <x:t xml:space="preserve"/>
        </x:is>
      </x:c>
      <x:c r="M40" s="20" t="inlineStr">
        <x:is>
          <x:t xml:space="preserve"/>
        </x:is>
      </x:c>
      <x:c r="N40" s="20" t="inlineStr">
        <x:is>
          <x:t xml:space="preserve"/>
        </x:is>
      </x:c>
      <x:c r="O40" s="20" t="inlineStr">
        <x:is>
          <x:t xml:space="preserve"/>
        </x:is>
      </x:c>
      <x:c r="P40" s="20" t="inlineStr">
        <x:is>
          <x:t xml:space="preserve"/>
        </x:is>
      </x:c>
      <x:c r="Q40" s="20" t="inlineStr">
        <x:is>
          <x:t xml:space="preserve">https://www.fldoe.org/file/18534/SchoolGrades25.xlsx</x:t>
        </x:is>
      </x:c>
      <x:c r="R40" s="20" t="inlineStr">
        <x:is>
          <x:t xml:space="preserve">School type code 04; Title I=YES; Alternative/ESE=N; coordinates pending NCES/district GIS pull.</x:t>
        </x:is>
      </x:c>
    </x:row>
    <x:row r="41">
      <x:c r="A41" s="20" t="inlineStr">
        <x:is>
          <x:t xml:space="preserve">LAKE</x:t>
        </x:is>
      </x:c>
      <x:c r="B41" s="20" t="inlineStr">
        <x:is>
          <x:t xml:space="preserve">LAKE</x:t>
        </x:is>
      </x:c>
      <x:c r="C41" s="20" t="inlineStr">
        <x:is>
          <x:t xml:space="preserve">350697</x:t>
        </x:is>
      </x:c>
      <x:c r="D41" s="20" t="inlineStr">
        <x:is>
          <x:t xml:space="preserve"/>
        </x:is>
      </x:c>
      <x:c r="E41" s="20" t="inlineStr">
        <x:is>
          <x:t xml:space="preserve">EUSTIS MIDDLE SCHOOL</x:t>
        </x:is>
      </x:c>
      <x:c r="F41" s="20" t="inlineStr">
        <x:is>
          <x:t xml:space="preserve">Middle/Junior</x:t>
        </x:is>
      </x:c>
      <x:c r="G41" s="20" t="inlineStr">
        <x:is>
          <x:t xml:space="preserve">YES</x:t>
        </x:is>
      </x:c>
      <x:c r="H41" s="20" t="inlineStr">
        <x:is>
          <x:t xml:space="preserve">NO</x:t>
        </x:is>
      </x:c>
      <x:c r="I41" s="20" t="inlineStr">
        <x:is>
          <x:t xml:space="preserve"/>
        </x:is>
      </x:c>
      <x:c r="J41" s="20" t="inlineStr">
        <x:is>
          <x:t xml:space="preserve">NO</x:t>
        </x:is>
      </x:c>
      <x:c r="K41" s="20" t="inlineStr">
        <x:is>
          <x:t xml:space="preserve"/>
        </x:is>
      </x:c>
      <x:c r="L41" s="20" t="inlineStr">
        <x:is>
          <x:t xml:space="preserve"/>
        </x:is>
      </x:c>
      <x:c r="M41" s="20" t="inlineStr">
        <x:is>
          <x:t xml:space="preserve"/>
        </x:is>
      </x:c>
      <x:c r="N41" s="20" t="inlineStr">
        <x:is>
          <x:t xml:space="preserve"/>
        </x:is>
      </x:c>
      <x:c r="O41" s="20" t="inlineStr">
        <x:is>
          <x:t xml:space="preserve"/>
        </x:is>
      </x:c>
      <x:c r="P41" s="20" t="inlineStr">
        <x:is>
          <x:t xml:space="preserve"/>
        </x:is>
      </x:c>
      <x:c r="Q41" s="20" t="inlineStr">
        <x:is>
          <x:t xml:space="preserve">https://www.fldoe.org/file/18534/SchoolGrades25.xlsx</x:t>
        </x:is>
      </x:c>
      <x:c r="R41" s="20" t="inlineStr">
        <x:is>
          <x:t xml:space="preserve">School type code 02; Title I=YES; Alternative/ESE=N; coordinates pending NCES/district GIS pull.</x:t>
        </x:is>
      </x:c>
    </x:row>
    <x:row r="42">
      <x:c r="A42" s="20" t="inlineStr">
        <x:is>
          <x:t xml:space="preserve">LAKE</x:t>
        </x:is>
      </x:c>
      <x:c r="B42" s="20" t="inlineStr">
        <x:is>
          <x:t xml:space="preserve">LAKE</x:t>
        </x:is>
      </x:c>
      <x:c r="C42" s="20" t="inlineStr">
        <x:is>
          <x:t xml:space="preserve">350701</x:t>
        </x:is>
      </x:c>
      <x:c r="D42" s="20" t="inlineStr">
        <x:is>
          <x:t xml:space="preserve"/>
        </x:is>
      </x:c>
      <x:c r="E42" s="20" t="inlineStr">
        <x:is>
          <x:t xml:space="preserve">SOUTH LAKE HIGH SCHOOL</x:t>
        </x:is>
      </x:c>
      <x:c r="F42" s="20" t="inlineStr">
        <x:is>
          <x:t xml:space="preserve">Senior High</x:t>
        </x:is>
      </x:c>
      <x:c r="G42" s="20" t="inlineStr">
        <x:is>
          <x:t xml:space="preserve">YES</x:t>
        </x:is>
      </x:c>
      <x:c r="H42" s="20" t="inlineStr">
        <x:is>
          <x:t xml:space="preserve">NO</x:t>
        </x:is>
      </x:c>
      <x:c r="I42" s="20" t="inlineStr">
        <x:is>
          <x:t xml:space="preserve"/>
        </x:is>
      </x:c>
      <x:c r="J42" s="20" t="inlineStr">
        <x:is>
          <x:t xml:space="preserve">NO</x:t>
        </x:is>
      </x:c>
      <x:c r="K42" s="20" t="inlineStr">
        <x:is>
          <x:t xml:space="preserve"/>
        </x:is>
      </x:c>
      <x:c r="L42" s="20" t="inlineStr">
        <x:is>
          <x:t xml:space="preserve"/>
        </x:is>
      </x:c>
      <x:c r="M42" s="20" t="inlineStr">
        <x:is>
          <x:t xml:space="preserve"/>
        </x:is>
      </x:c>
      <x:c r="N42" s="20" t="inlineStr">
        <x:is>
          <x:t xml:space="preserve"/>
        </x:is>
      </x:c>
      <x:c r="O42" s="20" t="inlineStr">
        <x:is>
          <x:t xml:space="preserve"/>
        </x:is>
      </x:c>
      <x:c r="P42" s="20" t="inlineStr">
        <x:is>
          <x:t xml:space="preserve"/>
        </x:is>
      </x:c>
      <x:c r="Q42" s="20" t="inlineStr">
        <x:is>
          <x:t xml:space="preserve">https://www.fldoe.org/file/18534/SchoolGrades25.xlsx</x:t>
        </x:is>
      </x:c>
      <x:c r="R42" s="20" t="inlineStr">
        <x:is>
          <x:t xml:space="preserve">School type code 03; Title I=NO; Alternative/ESE=N; coordinates pending NCES/district GIS pull.</x:t>
        </x:is>
      </x:c>
    </x:row>
    <x:row r="43">
      <x:c r="A43" s="20" t="inlineStr">
        <x:is>
          <x:t xml:space="preserve">LAKE</x:t>
        </x:is>
      </x:c>
      <x:c r="B43" s="20" t="inlineStr">
        <x:is>
          <x:t xml:space="preserve">LAKE</x:t>
        </x:is>
      </x:c>
      <x:c r="C43" s="20" t="inlineStr">
        <x:is>
          <x:t xml:space="preserve">350801</x:t>
        </x:is>
      </x:c>
      <x:c r="D43" s="20" t="inlineStr">
        <x:is>
          <x:t xml:space="preserve"/>
        </x:is>
      </x:c>
      <x:c r="E43" s="20" t="inlineStr">
        <x:is>
          <x:t xml:space="preserve">EAST RIDGE HIGH SCHOOL</x:t>
        </x:is>
      </x:c>
      <x:c r="F43" s="20" t="inlineStr">
        <x:is>
          <x:t xml:space="preserve">Senior High</x:t>
        </x:is>
      </x:c>
      <x:c r="G43" s="20" t="inlineStr">
        <x:is>
          <x:t xml:space="preserve">YES</x:t>
        </x:is>
      </x:c>
      <x:c r="H43" s="20" t="inlineStr">
        <x:is>
          <x:t xml:space="preserve">NO</x:t>
        </x:is>
      </x:c>
      <x:c r="I43" s="20" t="inlineStr">
        <x:is>
          <x:t xml:space="preserve"/>
        </x:is>
      </x:c>
      <x:c r="J43" s="20" t="inlineStr">
        <x:is>
          <x:t xml:space="preserve">NO</x:t>
        </x:is>
      </x:c>
      <x:c r="K43" s="20" t="inlineStr">
        <x:is>
          <x:t xml:space="preserve"/>
        </x:is>
      </x:c>
      <x:c r="L43" s="20" t="inlineStr">
        <x:is>
          <x:t xml:space="preserve"/>
        </x:is>
      </x:c>
      <x:c r="M43" s="20" t="inlineStr">
        <x:is>
          <x:t xml:space="preserve"/>
        </x:is>
      </x:c>
      <x:c r="N43" s="20" t="inlineStr">
        <x:is>
          <x:t xml:space="preserve"/>
        </x:is>
      </x:c>
      <x:c r="O43" s="20" t="inlineStr">
        <x:is>
          <x:t xml:space="preserve"/>
        </x:is>
      </x:c>
      <x:c r="P43" s="20" t="inlineStr">
        <x:is>
          <x:t xml:space="preserve"/>
        </x:is>
      </x:c>
      <x:c r="Q43" s="20" t="inlineStr">
        <x:is>
          <x:t xml:space="preserve">https://www.fldoe.org/file/18534/SchoolGrades25.xlsx</x:t>
        </x:is>
      </x:c>
      <x:c r="R43" s="20" t="inlineStr">
        <x:is>
          <x:t xml:space="preserve">School type code 03; Title I=NO; Alternative/ESE=N; coordinates pending NCES/district GIS pull.</x:t>
        </x:is>
      </x:c>
    </x:row>
    <x:row r="44">
      <x:c r="A44" s="20" t="inlineStr">
        <x:is>
          <x:t xml:space="preserve">LAKE</x:t>
        </x:is>
      </x:c>
      <x:c r="B44" s="20" t="inlineStr">
        <x:is>
          <x:t xml:space="preserve">LAKE</x:t>
        </x:is>
      </x:c>
      <x:c r="C44" s="20" t="inlineStr">
        <x:is>
          <x:t xml:space="preserve">350901</x:t>
        </x:is>
      </x:c>
      <x:c r="D44" s="20" t="inlineStr">
        <x:is>
          <x:t xml:space="preserve"/>
        </x:is>
      </x:c>
      <x:c r="E44" s="20" t="inlineStr">
        <x:is>
          <x:t xml:space="preserve">LAKE MINNEOLA HIGH SCHOOL</x:t>
        </x:is>
      </x:c>
      <x:c r="F44" s="20" t="inlineStr">
        <x:is>
          <x:t xml:space="preserve">Senior High</x:t>
        </x:is>
      </x:c>
      <x:c r="G44" s="20" t="inlineStr">
        <x:is>
          <x:t xml:space="preserve">YES</x:t>
        </x:is>
      </x:c>
      <x:c r="H44" s="20" t="inlineStr">
        <x:is>
          <x:t xml:space="preserve">NO</x:t>
        </x:is>
      </x:c>
      <x:c r="I44" s="20" t="inlineStr">
        <x:is>
          <x:t xml:space="preserve"/>
        </x:is>
      </x:c>
      <x:c r="J44" s="20" t="inlineStr">
        <x:is>
          <x:t xml:space="preserve">NO</x:t>
        </x:is>
      </x:c>
      <x:c r="K44" s="20" t="inlineStr">
        <x:is>
          <x:t xml:space="preserve"/>
        </x:is>
      </x:c>
      <x:c r="L44" s="20" t="inlineStr">
        <x:is>
          <x:t xml:space="preserve"/>
        </x:is>
      </x:c>
      <x:c r="M44" s="20" t="inlineStr">
        <x:is>
          <x:t xml:space="preserve"/>
        </x:is>
      </x:c>
      <x:c r="N44" s="20" t="inlineStr">
        <x:is>
          <x:t xml:space="preserve"/>
        </x:is>
      </x:c>
      <x:c r="O44" s="20" t="inlineStr">
        <x:is>
          <x:t xml:space="preserve"/>
        </x:is>
      </x:c>
      <x:c r="P44" s="20" t="inlineStr">
        <x:is>
          <x:t xml:space="preserve"/>
        </x:is>
      </x:c>
      <x:c r="Q44" s="20" t="inlineStr">
        <x:is>
          <x:t xml:space="preserve">https://www.fldoe.org/file/18534/SchoolGrades25.xlsx</x:t>
        </x:is>
      </x:c>
      <x:c r="R44" s="20" t="inlineStr">
        <x:is>
          <x:t xml:space="preserve">School type code 03; Title I=NO; Alternative/ESE=N; coordinates pending NCES/district GIS pull.</x:t>
        </x:is>
      </x:c>
    </x:row>
    <x:row r="45">
      <x:c r="A45" s="20" t="inlineStr">
        <x:is>
          <x:t xml:space="preserve">LAKE</x:t>
        </x:is>
      </x:c>
      <x:c r="B45" s="20" t="inlineStr">
        <x:is>
          <x:t xml:space="preserve">LAKE</x:t>
        </x:is>
      </x:c>
      <x:c r="C45" s="20" t="inlineStr">
        <x:is>
          <x:t xml:space="preserve">357004</x:t>
        </x:is>
      </x:c>
      <x:c r="D45" s="20" t="inlineStr">
        <x:is>
          <x:t xml:space="preserve"/>
        </x:is>
      </x:c>
      <x:c r="E45" s="20" t="inlineStr">
        <x:is>
          <x:t xml:space="preserve">LAKE VIRTUAL FRANCHISE</x:t>
        </x:is>
      </x:c>
      <x:c r="F45" s="20" t="inlineStr">
        <x:is>
          <x:t xml:space="preserve">Combination</x:t>
        </x:is>
      </x:c>
      <x:c r="G45" s="20" t="inlineStr">
        <x:is>
          <x:t xml:space="preserve">YES</x:t>
        </x:is>
      </x:c>
      <x:c r="H45" s="20" t="inlineStr">
        <x:is>
          <x:t xml:space="preserve">NO</x:t>
        </x:is>
      </x:c>
      <x:c r="I45" s="20" t="inlineStr">
        <x:is>
          <x:t xml:space="preserve"/>
        </x:is>
      </x:c>
      <x:c r="J45" s="20" t="inlineStr">
        <x:is>
          <x:t xml:space="preserve">NO</x:t>
        </x:is>
      </x:c>
      <x:c r="K45" s="20" t="inlineStr">
        <x:is>
          <x:t xml:space="preserve"/>
        </x:is>
      </x:c>
      <x:c r="L45" s="20" t="inlineStr">
        <x:is>
          <x:t xml:space="preserve"/>
        </x:is>
      </x:c>
      <x:c r="M45" s="20" t="inlineStr">
        <x:is>
          <x:t xml:space="preserve"/>
        </x:is>
      </x:c>
      <x:c r="N45" s="20" t="inlineStr">
        <x:is>
          <x:t xml:space="preserve"/>
        </x:is>
      </x:c>
      <x:c r="O45" s="20" t="inlineStr">
        <x:is>
          <x:t xml:space="preserve"/>
        </x:is>
      </x:c>
      <x:c r="P45" s="20" t="inlineStr">
        <x:is>
          <x:t xml:space="preserve"/>
        </x:is>
      </x:c>
      <x:c r="Q45" s="20" t="inlineStr">
        <x:is>
          <x:t xml:space="preserve">https://www.fldoe.org/file/18534/SchoolGrades25.xlsx</x:t>
        </x:is>
      </x:c>
      <x:c r="R45" s="20" t="inlineStr">
        <x:is>
          <x:t xml:space="preserve">School type code 04; Title I=NO; Alternative/ESE=N; coordinates pending NCES/district GIS pull.</x:t>
        </x:is>
      </x:c>
    </x:row>
    <x:row r="46">
      <x:c r="A46" s="20" t="inlineStr">
        <x:is>
          <x:t xml:space="preserve">LAKE</x:t>
        </x:is>
      </x:c>
      <x:c r="B46" s="20" t="inlineStr">
        <x:is>
          <x:t xml:space="preserve">LAKE</x:t>
        </x:is>
      </x:c>
      <x:c r="C46" s="20" t="inlineStr">
        <x:is>
          <x:t xml:space="preserve">359027</x:t>
        </x:is>
      </x:c>
      <x:c r="D46" s="20" t="inlineStr">
        <x:is>
          <x:t xml:space="preserve"/>
        </x:is>
      </x:c>
      <x:c r="E46" s="20" t="inlineStr">
        <x:is>
          <x:t xml:space="preserve">PINECREST ACADEMY FOUR CORNERS</x:t>
        </x:is>
      </x:c>
      <x:c r="F46" s="20" t="inlineStr">
        <x:is>
          <x:t xml:space="preserve">Combination</x:t>
        </x:is>
      </x:c>
      <x:c r="G46" s="20" t="inlineStr">
        <x:is>
          <x:t xml:space="preserve">NO</x:t>
        </x:is>
      </x:c>
      <x:c r="H46" s="20" t="inlineStr">
        <x:is>
          <x:t xml:space="preserve">YES</x:t>
        </x:is>
      </x:c>
      <x:c r="I46" s="20" t="inlineStr">
        <x:is>
          <x:t xml:space="preserve"/>
        </x:is>
      </x:c>
      <x:c r="J46" s="20" t="inlineStr">
        <x:is>
          <x:t xml:space="preserve">NO</x:t>
        </x:is>
      </x:c>
      <x:c r="K46" s="20" t="inlineStr">
        <x:is>
          <x:t xml:space="preserve"/>
        </x:is>
      </x:c>
      <x:c r="L46" s="20" t="inlineStr">
        <x:is>
          <x:t xml:space="preserve"/>
        </x:is>
      </x:c>
      <x:c r="M46" s="20" t="inlineStr">
        <x:is>
          <x:t xml:space="preserve"/>
        </x:is>
      </x:c>
      <x:c r="N46" s="20" t="inlineStr">
        <x:is>
          <x:t xml:space="preserve"/>
        </x:is>
      </x:c>
      <x:c r="O46" s="20" t="inlineStr">
        <x:is>
          <x:t xml:space="preserve"/>
        </x:is>
      </x:c>
      <x:c r="P46" s="20" t="inlineStr">
        <x:is>
          <x:t xml:space="preserve"/>
        </x:is>
      </x:c>
      <x:c r="Q46" s="20" t="inlineStr">
        <x:is>
          <x:t xml:space="preserve">https://www.fldoe.org/file/18534/SchoolGrades25.xlsx</x:t>
        </x:is>
      </x:c>
      <x:c r="R46" s="20" t="inlineStr">
        <x:is>
          <x:t xml:space="preserve">School type code 04; Title I=NO; Alternative/ESE=N; coordinates pending NCES/district GIS pull.</x:t>
        </x:is>
      </x:c>
    </x:row>
    <x:row r="47">
      <x:c r="A47" s="20" t="inlineStr">
        <x:is>
          <x:t xml:space="preserve">LAKE</x:t>
        </x:is>
      </x:c>
      <x:c r="B47" s="20" t="inlineStr">
        <x:is>
          <x:t xml:space="preserve">LAKE</x:t>
        </x:is>
      </x:c>
      <x:c r="C47" s="20" t="inlineStr">
        <x:is>
          <x:t xml:space="preserve">359028</x:t>
        </x:is>
      </x:c>
      <x:c r="D47" s="20" t="inlineStr">
        <x:is>
          <x:t xml:space="preserve"/>
        </x:is>
      </x:c>
      <x:c r="E47" s="20" t="inlineStr">
        <x:is>
          <x:t xml:space="preserve">ALTOONA SCHOOL</x:t>
        </x:is>
      </x:c>
      <x:c r="F47" s="20" t="inlineStr">
        <x:is>
          <x:t xml:space="preserve">Elementary</x:t>
        </x:is>
      </x:c>
      <x:c r="G47" s="20" t="inlineStr">
        <x:is>
          <x:t xml:space="preserve">NO</x:t>
        </x:is>
      </x:c>
      <x:c r="H47" s="20" t="inlineStr">
        <x:is>
          <x:t xml:space="preserve">YES</x:t>
        </x:is>
      </x:c>
      <x:c r="I47" s="20" t="inlineStr">
        <x:is>
          <x:t xml:space="preserve"/>
        </x:is>
      </x:c>
      <x:c r="J47" s="20" t="inlineStr">
        <x:is>
          <x:t xml:space="preserve">NO</x:t>
        </x:is>
      </x:c>
      <x:c r="K47" s="20" t="inlineStr">
        <x:is>
          <x:t xml:space="preserve"/>
        </x:is>
      </x:c>
      <x:c r="L47" s="20" t="inlineStr">
        <x:is>
          <x:t xml:space="preserve"/>
        </x:is>
      </x:c>
      <x:c r="M47" s="20" t="inlineStr">
        <x:is>
          <x:t xml:space="preserve"/>
        </x:is>
      </x:c>
      <x:c r="N47" s="20" t="inlineStr">
        <x:is>
          <x:t xml:space="preserve"/>
        </x:is>
      </x:c>
      <x:c r="O47" s="20" t="inlineStr">
        <x:is>
          <x:t xml:space="preserve"/>
        </x:is>
      </x:c>
      <x:c r="P47" s="20" t="inlineStr">
        <x:is>
          <x:t xml:space="preserve"/>
        </x:is>
      </x:c>
      <x:c r="Q47" s="20" t="inlineStr">
        <x:is>
          <x:t xml:space="preserve">https://www.fldoe.org/file/18534/SchoolGrades25.xlsx</x:t>
        </x:is>
      </x:c>
      <x:c r="R47" s="20" t="inlineStr">
        <x:is>
          <x:t xml:space="preserve">School type code 01; Title I=YES; Alternative/ESE=N; coordinates pending NCES/district GIS pull.</x:t>
        </x:is>
      </x:c>
    </x:row>
    <x:row r="48">
      <x:c r="A48" s="20" t="inlineStr">
        <x:is>
          <x:t xml:space="preserve">LAKE</x:t>
        </x:is>
      </x:c>
      <x:c r="B48" s="20" t="inlineStr">
        <x:is>
          <x:t xml:space="preserve">LAKE</x:t>
        </x:is>
      </x:c>
      <x:c r="C48" s="20" t="inlineStr">
        <x:is>
          <x:t xml:space="preserve">359031</x:t>
        </x:is>
      </x:c>
      <x:c r="D48" s="20" t="inlineStr">
        <x:is>
          <x:t xml:space="preserve"/>
        </x:is>
      </x:c>
      <x:c r="E48" s="20" t="inlineStr">
        <x:is>
          <x:t xml:space="preserve">IMAGINE SCHOOLS AT SOUTH LAKE</x:t>
        </x:is>
      </x:c>
      <x:c r="F48" s="20" t="inlineStr">
        <x:is>
          <x:t xml:space="preserve">Combination</x:t>
        </x:is>
      </x:c>
      <x:c r="G48" s="20" t="inlineStr">
        <x:is>
          <x:t xml:space="preserve">NO</x:t>
        </x:is>
      </x:c>
      <x:c r="H48" s="20" t="inlineStr">
        <x:is>
          <x:t xml:space="preserve">YES</x:t>
        </x:is>
      </x:c>
      <x:c r="I48" s="20" t="inlineStr">
        <x:is>
          <x:t xml:space="preserve"/>
        </x:is>
      </x:c>
      <x:c r="J48" s="20" t="inlineStr">
        <x:is>
          <x:t xml:space="preserve">NO</x:t>
        </x:is>
      </x:c>
      <x:c r="K48" s="20" t="inlineStr">
        <x:is>
          <x:t xml:space="preserve"/>
        </x:is>
      </x:c>
      <x:c r="L48" s="20" t="inlineStr">
        <x:is>
          <x:t xml:space="preserve"/>
        </x:is>
      </x:c>
      <x:c r="M48" s="20" t="inlineStr">
        <x:is>
          <x:t xml:space="preserve"/>
        </x:is>
      </x:c>
      <x:c r="N48" s="20" t="inlineStr">
        <x:is>
          <x:t xml:space="preserve"/>
        </x:is>
      </x:c>
      <x:c r="O48" s="20" t="inlineStr">
        <x:is>
          <x:t xml:space="preserve"/>
        </x:is>
      </x:c>
      <x:c r="P48" s="20" t="inlineStr">
        <x:is>
          <x:t xml:space="preserve"/>
        </x:is>
      </x:c>
      <x:c r="Q48" s="20" t="inlineStr">
        <x:is>
          <x:t xml:space="preserve">https://www.fldoe.org/file/18534/SchoolGrades25.xlsx</x:t>
        </x:is>
      </x:c>
      <x:c r="R48" s="20" t="inlineStr">
        <x:is>
          <x:t xml:space="preserve">School type code 04; Title I=NO; Alternative/ESE=N; coordinates pending NCES/district GIS pull.</x:t>
        </x:is>
      </x:c>
    </x:row>
    <x:row r="49">
      <x:c r="A49" s="20" t="inlineStr">
        <x:is>
          <x:t xml:space="preserve">LAKE</x:t>
        </x:is>
      </x:c>
      <x:c r="B49" s="20" t="inlineStr">
        <x:is>
          <x:t xml:space="preserve">LAKE</x:t>
        </x:is>
      </x:c>
      <x:c r="C49" s="20" t="inlineStr">
        <x:is>
          <x:t xml:space="preserve">359039</x:t>
        </x:is>
      </x:c>
      <x:c r="D49" s="20" t="inlineStr">
        <x:is>
          <x:t xml:space="preserve"/>
        </x:is>
      </x:c>
      <x:c r="E49" s="20" t="inlineStr">
        <x:is>
          <x:t xml:space="preserve">PINECREST ACADEMY TAVARES</x:t>
        </x:is>
      </x:c>
      <x:c r="F49" s="20" t="inlineStr">
        <x:is>
          <x:t xml:space="preserve">Combination</x:t>
        </x:is>
      </x:c>
      <x:c r="G49" s="20" t="inlineStr">
        <x:is>
          <x:t xml:space="preserve">NO</x:t>
        </x:is>
      </x:c>
      <x:c r="H49" s="20" t="inlineStr">
        <x:is>
          <x:t xml:space="preserve">YES</x:t>
        </x:is>
      </x:c>
      <x:c r="I49" s="20" t="inlineStr">
        <x:is>
          <x:t xml:space="preserve"/>
        </x:is>
      </x:c>
      <x:c r="J49" s="20" t="inlineStr">
        <x:is>
          <x:t xml:space="preserve">NO</x:t>
        </x:is>
      </x:c>
      <x:c r="K49" s="20" t="inlineStr">
        <x:is>
          <x:t xml:space="preserve"/>
        </x:is>
      </x:c>
      <x:c r="L49" s="20" t="inlineStr">
        <x:is>
          <x:t xml:space="preserve"/>
        </x:is>
      </x:c>
      <x:c r="M49" s="20" t="inlineStr">
        <x:is>
          <x:t xml:space="preserve"/>
        </x:is>
      </x:c>
      <x:c r="N49" s="20" t="inlineStr">
        <x:is>
          <x:t xml:space="preserve"/>
        </x:is>
      </x:c>
      <x:c r="O49" s="20" t="inlineStr">
        <x:is>
          <x:t xml:space="preserve"/>
        </x:is>
      </x:c>
      <x:c r="P49" s="20" t="inlineStr">
        <x:is>
          <x:t xml:space="preserve"/>
        </x:is>
      </x:c>
      <x:c r="Q49" s="20" t="inlineStr">
        <x:is>
          <x:t xml:space="preserve">https://www.fldoe.org/file/18534/SchoolGrades25.xlsx</x:t>
        </x:is>
      </x:c>
      <x:c r="R49" s="20" t="inlineStr">
        <x:is>
          <x:t xml:space="preserve">School type code 04; Title I=NO; Alternative/ESE=N; coordinates pending NCES/district GIS pull.</x:t>
        </x:is>
      </x:c>
    </x:row>
    <x:row r="50">
      <x:c r="A50" s="20" t="inlineStr">
        <x:is>
          <x:t xml:space="preserve">LAKE</x:t>
        </x:is>
      </x:c>
      <x:c r="B50" s="20" t="inlineStr">
        <x:is>
          <x:t xml:space="preserve">LAKE</x:t>
        </x:is>
      </x:c>
      <x:c r="C50" s="20" t="inlineStr">
        <x:is>
          <x:t xml:space="preserve">359041</x:t>
        </x:is>
      </x:c>
      <x:c r="D50" s="20" t="inlineStr">
        <x:is>
          <x:t xml:space="preserve"/>
        </x:is>
      </x:c>
      <x:c r="E50" s="20" t="inlineStr">
        <x:is>
          <x:t xml:space="preserve">PINECREST LAKES ACADEMY</x:t>
        </x:is>
      </x:c>
      <x:c r="F50" s="20" t="inlineStr">
        <x:is>
          <x:t xml:space="preserve">Combination</x:t>
        </x:is>
      </x:c>
      <x:c r="G50" s="20" t="inlineStr">
        <x:is>
          <x:t xml:space="preserve">NO</x:t>
        </x:is>
      </x:c>
      <x:c r="H50" s="20" t="inlineStr">
        <x:is>
          <x:t xml:space="preserve">YES</x:t>
        </x:is>
      </x:c>
      <x:c r="I50" s="20" t="inlineStr">
        <x:is>
          <x:t xml:space="preserve"/>
        </x:is>
      </x:c>
      <x:c r="J50" s="20" t="inlineStr">
        <x:is>
          <x:t xml:space="preserve">NO</x:t>
        </x:is>
      </x:c>
      <x:c r="K50" s="20" t="inlineStr">
        <x:is>
          <x:t xml:space="preserve"/>
        </x:is>
      </x:c>
      <x:c r="L50" s="20" t="inlineStr">
        <x:is>
          <x:t xml:space="preserve"/>
        </x:is>
      </x:c>
      <x:c r="M50" s="20" t="inlineStr">
        <x:is>
          <x:t xml:space="preserve"/>
        </x:is>
      </x:c>
      <x:c r="N50" s="20" t="inlineStr">
        <x:is>
          <x:t xml:space="preserve"/>
        </x:is>
      </x:c>
      <x:c r="O50" s="20" t="inlineStr">
        <x:is>
          <x:t xml:space="preserve"/>
        </x:is>
      </x:c>
      <x:c r="P50" s="20" t="inlineStr">
        <x:is>
          <x:t xml:space="preserve"/>
        </x:is>
      </x:c>
      <x:c r="Q50" s="20" t="inlineStr">
        <x:is>
          <x:t xml:space="preserve">https://www.fldoe.org/file/18534/SchoolGrades25.xlsx</x:t>
        </x:is>
      </x:c>
      <x:c r="R50" s="20" t="inlineStr">
        <x:is>
          <x:t xml:space="preserve">School type code 04; Title I=NO; Alternative/ESE=N; coordinates pending NCES/district GIS pull.</x:t>
        </x:is>
      </x:c>
    </x:row>
    <x:row r="51">
      <x:c r="A51" s="20" t="inlineStr">
        <x:is>
          <x:t xml:space="preserve">LAKE</x:t>
        </x:is>
      </x:c>
      <x:c r="B51" s="20" t="inlineStr">
        <x:is>
          <x:t xml:space="preserve">LAKE</x:t>
        </x:is>
      </x:c>
      <x:c r="C51" s="20" t="inlineStr">
        <x:is>
          <x:t xml:space="preserve">359061</x:t>
        </x:is>
      </x:c>
      <x:c r="D51" s="20" t="inlineStr">
        <x:is>
          <x:t xml:space="preserve"/>
        </x:is>
      </x:c>
      <x:c r="E51" s="20" t="inlineStr">
        <x:is>
          <x:t xml:space="preserve">PINECREST LAKES MIDDLE/HIGH ACADEMY</x:t>
        </x:is>
      </x:c>
      <x:c r="F51" s="20" t="inlineStr">
        <x:is>
          <x:t xml:space="preserve">Senior High</x:t>
        </x:is>
      </x:c>
      <x:c r="G51" s="20" t="inlineStr">
        <x:is>
          <x:t xml:space="preserve">NO</x:t>
        </x:is>
      </x:c>
      <x:c r="H51" s="20" t="inlineStr">
        <x:is>
          <x:t xml:space="preserve">YES</x:t>
        </x:is>
      </x:c>
      <x:c r="I51" s="20" t="inlineStr">
        <x:is>
          <x:t xml:space="preserve"/>
        </x:is>
      </x:c>
      <x:c r="J51" s="20" t="inlineStr">
        <x:is>
          <x:t xml:space="preserve">NO</x:t>
        </x:is>
      </x:c>
      <x:c r="K51" s="20" t="inlineStr">
        <x:is>
          <x:t xml:space="preserve"/>
        </x:is>
      </x:c>
      <x:c r="L51" s="20" t="inlineStr">
        <x:is>
          <x:t xml:space="preserve"/>
        </x:is>
      </x:c>
      <x:c r="M51" s="20" t="inlineStr">
        <x:is>
          <x:t xml:space="preserve"/>
        </x:is>
      </x:c>
      <x:c r="N51" s="20" t="inlineStr">
        <x:is>
          <x:t xml:space="preserve"/>
        </x:is>
      </x:c>
      <x:c r="O51" s="20" t="inlineStr">
        <x:is>
          <x:t xml:space="preserve"/>
        </x:is>
      </x:c>
      <x:c r="P51" s="20" t="inlineStr">
        <x:is>
          <x:t xml:space="preserve"/>
        </x:is>
      </x:c>
      <x:c r="Q51" s="20" t="inlineStr">
        <x:is>
          <x:t xml:space="preserve">https://www.fldoe.org/file/18534/SchoolGrades25.xlsx</x:t>
        </x:is>
      </x:c>
      <x:c r="R51" s="20" t="inlineStr">
        <x:is>
          <x:t xml:space="preserve">School type code 03; Title I=NO; Alternative/ESE=N; coordinates pending NCES/district GIS pull.</x:t>
        </x:is>
      </x:c>
    </x:row>
    <x:row r="52">
      <x:c r="A52" s="20" t="inlineStr">
        <x:is>
          <x:t xml:space="preserve">OSCEOLA</x:t>
        </x:is>
      </x:c>
      <x:c r="B52" s="20" t="inlineStr">
        <x:is>
          <x:t xml:space="preserve">OSCEOLA</x:t>
        </x:is>
      </x:c>
      <x:c r="C52" s="20" t="inlineStr">
        <x:is>
          <x:t xml:space="preserve">490005</x:t>
        </x:is>
      </x:c>
      <x:c r="D52" s="20" t="inlineStr">
        <x:is>
          <x:t xml:space="preserve"/>
        </x:is>
      </x:c>
      <x:c r="E52" s="20" t="inlineStr">
        <x:is>
          <x:t xml:space="preserve">TOHOPEKALIGA HIGH SCHOOL</x:t>
        </x:is>
      </x:c>
      <x:c r="F52" s="20" t="inlineStr">
        <x:is>
          <x:t xml:space="preserve">Senior High</x:t>
        </x:is>
      </x:c>
      <x:c r="G52" s="20" t="inlineStr">
        <x:is>
          <x:t xml:space="preserve">YES</x:t>
        </x:is>
      </x:c>
      <x:c r="H52" s="20" t="inlineStr">
        <x:is>
          <x:t xml:space="preserve">NO</x:t>
        </x:is>
      </x:c>
      <x:c r="I52" s="20" t="inlineStr">
        <x:is>
          <x:t xml:space="preserve"/>
        </x:is>
      </x:c>
      <x:c r="J52" s="20" t="inlineStr">
        <x:is>
          <x:t xml:space="preserve">NO</x:t>
        </x:is>
      </x:c>
      <x:c r="K52" s="20" t="inlineStr">
        <x:is>
          <x:t xml:space="preserve"/>
        </x:is>
      </x:c>
      <x:c r="L52" s="20" t="inlineStr">
        <x:is>
          <x:t xml:space="preserve"/>
        </x:is>
      </x:c>
      <x:c r="M52" s="20" t="inlineStr">
        <x:is>
          <x:t xml:space="preserve"/>
        </x:is>
      </x:c>
      <x:c r="N52" s="20" t="inlineStr">
        <x:is>
          <x:t xml:space="preserve"/>
        </x:is>
      </x:c>
      <x:c r="O52" s="20" t="inlineStr">
        <x:is>
          <x:t xml:space="preserve"/>
        </x:is>
      </x:c>
      <x:c r="P52" s="20" t="inlineStr">
        <x:is>
          <x:t xml:space="preserve"/>
        </x:is>
      </x:c>
      <x:c r="Q52" s="20" t="inlineStr">
        <x:is>
          <x:t xml:space="preserve">https://www.fldoe.org/file/18534/SchoolGrades25.xlsx</x:t>
        </x:is>
      </x:c>
      <x:c r="R52" s="20" t="inlineStr">
        <x:is>
          <x:t xml:space="preserve">School type code 03; Title I=NO; Alternative/ESE=N; coordinates pending NCES/district GIS pull.</x:t>
        </x:is>
      </x:c>
    </x:row>
    <x:row r="53">
      <x:c r="A53" s="20" t="inlineStr">
        <x:is>
          <x:t xml:space="preserve">OSCEOLA</x:t>
        </x:is>
      </x:c>
      <x:c r="B53" s="20" t="inlineStr">
        <x:is>
          <x:t xml:space="preserve">OSCEOLA</x:t>
        </x:is>
      </x:c>
      <x:c r="C53" s="20" t="inlineStr">
        <x:is>
          <x:t xml:space="preserve">490011</x:t>
        </x:is>
      </x:c>
      <x:c r="D53" s="20" t="inlineStr">
        <x:is>
          <x:t xml:space="preserve"/>
        </x:is>
      </x:c>
      <x:c r="E53" s="20" t="inlineStr">
        <x:is>
          <x:t xml:space="preserve">HARMONY COMMUNITY SCHOOL</x:t>
        </x:is>
      </x:c>
      <x:c r="F53" s="20" t="inlineStr">
        <x:is>
          <x:t xml:space="preserve">Elementary</x:t>
        </x:is>
      </x:c>
      <x:c r="G53" s="20" t="inlineStr">
        <x:is>
          <x:t xml:space="preserve">YES</x:t>
        </x:is>
      </x:c>
      <x:c r="H53" s="20" t="inlineStr">
        <x:is>
          <x:t xml:space="preserve">NO</x:t>
        </x:is>
      </x:c>
      <x:c r="I53" s="20" t="inlineStr">
        <x:is>
          <x:t xml:space="preserve"/>
        </x:is>
      </x:c>
      <x:c r="J53" s="20" t="inlineStr">
        <x:is>
          <x:t xml:space="preserve">NO</x:t>
        </x:is>
      </x:c>
      <x:c r="K53" s="20" t="inlineStr">
        <x:is>
          <x:t xml:space="preserve"/>
        </x:is>
      </x:c>
      <x:c r="L53" s="20" t="inlineStr">
        <x:is>
          <x:t xml:space="preserve"/>
        </x:is>
      </x:c>
      <x:c r="M53" s="20" t="inlineStr">
        <x:is>
          <x:t xml:space="preserve"/>
        </x:is>
      </x:c>
      <x:c r="N53" s="20" t="inlineStr">
        <x:is>
          <x:t xml:space="preserve"/>
        </x:is>
      </x:c>
      <x:c r="O53" s="20" t="inlineStr">
        <x:is>
          <x:t xml:space="preserve"/>
        </x:is>
      </x:c>
      <x:c r="P53" s="20" t="inlineStr">
        <x:is>
          <x:t xml:space="preserve"/>
        </x:is>
      </x:c>
      <x:c r="Q53" s="20" t="inlineStr">
        <x:is>
          <x:t xml:space="preserve">https://www.fldoe.org/file/18534/SchoolGrades25.xlsx</x:t>
        </x:is>
      </x:c>
      <x:c r="R53" s="20" t="inlineStr">
        <x:is>
          <x:t xml:space="preserve">School type code 01; Title I=NO; Alternative/ESE=N; coordinates pending NCES/district GIS pull.</x:t>
        </x:is>
      </x:c>
    </x:row>
    <x:row r="54">
      <x:c r="A54" s="20" t="inlineStr">
        <x:is>
          <x:t xml:space="preserve">OSCEOLA</x:t>
        </x:is>
      </x:c>
      <x:c r="B54" s="20" t="inlineStr">
        <x:is>
          <x:t xml:space="preserve">OSCEOLA</x:t>
        </x:is>
      </x:c>
      <x:c r="C54" s="20" t="inlineStr">
        <x:is>
          <x:t xml:space="preserve">490040</x:t>
        </x:is>
      </x:c>
      <x:c r="D54" s="20" t="inlineStr">
        <x:is>
          <x:t xml:space="preserve"/>
        </x:is>
      </x:c>
      <x:c r="E54" s="20" t="inlineStr">
        <x:is>
          <x:t xml:space="preserve">NARCOOSSEE MIDDLE SCHOOL</x:t>
        </x:is>
      </x:c>
      <x:c r="F54" s="20" t="inlineStr">
        <x:is>
          <x:t xml:space="preserve">Middle/Junior</x:t>
        </x:is>
      </x:c>
      <x:c r="G54" s="20" t="inlineStr">
        <x:is>
          <x:t xml:space="preserve">YES</x:t>
        </x:is>
      </x:c>
      <x:c r="H54" s="20" t="inlineStr">
        <x:is>
          <x:t xml:space="preserve">NO</x:t>
        </x:is>
      </x:c>
      <x:c r="I54" s="20" t="inlineStr">
        <x:is>
          <x:t xml:space="preserve"/>
        </x:is>
      </x:c>
      <x:c r="J54" s="20" t="inlineStr">
        <x:is>
          <x:t xml:space="preserve">NO</x:t>
        </x:is>
      </x:c>
      <x:c r="K54" s="20" t="inlineStr">
        <x:is>
          <x:t xml:space="preserve"/>
        </x:is>
      </x:c>
      <x:c r="L54" s="20" t="inlineStr">
        <x:is>
          <x:t xml:space="preserve"/>
        </x:is>
      </x:c>
      <x:c r="M54" s="20" t="inlineStr">
        <x:is>
          <x:t xml:space="preserve"/>
        </x:is>
      </x:c>
      <x:c r="N54" s="20" t="inlineStr">
        <x:is>
          <x:t xml:space="preserve"/>
        </x:is>
      </x:c>
      <x:c r="O54" s="20" t="inlineStr">
        <x:is>
          <x:t xml:space="preserve"/>
        </x:is>
      </x:c>
      <x:c r="P54" s="20" t="inlineStr">
        <x:is>
          <x:t xml:space="preserve"/>
        </x:is>
      </x:c>
      <x:c r="Q54" s="20" t="inlineStr">
        <x:is>
          <x:t xml:space="preserve">https://www.fldoe.org/file/18534/SchoolGrades25.xlsx</x:t>
        </x:is>
      </x:c>
      <x:c r="R54" s="20" t="inlineStr">
        <x:is>
          <x:t xml:space="preserve">School type code 02; Title I=NO; Alternative/ESE=N; coordinates pending NCES/district GIS pull.</x:t>
        </x:is>
      </x:c>
    </x:row>
    <x:row r="55">
      <x:c r="A55" s="20" t="inlineStr">
        <x:is>
          <x:t xml:space="preserve">OSCEOLA</x:t>
        </x:is>
      </x:c>
      <x:c r="B55" s="20" t="inlineStr">
        <x:is>
          <x:t xml:space="preserve">OSCEOLA</x:t>
        </x:is>
      </x:c>
      <x:c r="C55" s="20" t="inlineStr">
        <x:is>
          <x:t xml:space="preserve">490041</x:t>
        </x:is>
      </x:c>
      <x:c r="D55" s="20" t="inlineStr">
        <x:is>
          <x:t xml:space="preserve"/>
        </x:is>
      </x:c>
      <x:c r="E55" s="20" t="inlineStr">
        <x:is>
          <x:t xml:space="preserve">DISCOVERY INTERMEDIATE SCHOOL</x:t>
        </x:is>
      </x:c>
      <x:c r="F55" s="20" t="inlineStr">
        <x:is>
          <x:t xml:space="preserve">Middle/Junior</x:t>
        </x:is>
      </x:c>
      <x:c r="G55" s="20" t="inlineStr">
        <x:is>
          <x:t xml:space="preserve">YES</x:t>
        </x:is>
      </x:c>
      <x:c r="H55" s="20" t="inlineStr">
        <x:is>
          <x:t xml:space="preserve">NO</x:t>
        </x:is>
      </x:c>
      <x:c r="I55" s="20" t="inlineStr">
        <x:is>
          <x:t xml:space="preserve"/>
        </x:is>
      </x:c>
      <x:c r="J55" s="20" t="inlineStr">
        <x:is>
          <x:t xml:space="preserve">NO</x:t>
        </x:is>
      </x:c>
      <x:c r="K55" s="20" t="inlineStr">
        <x:is>
          <x:t xml:space="preserve"/>
        </x:is>
      </x:c>
      <x:c r="L55" s="20" t="inlineStr">
        <x:is>
          <x:t xml:space="preserve"/>
        </x:is>
      </x:c>
      <x:c r="M55" s="20" t="inlineStr">
        <x:is>
          <x:t xml:space="preserve"/>
        </x:is>
      </x:c>
      <x:c r="N55" s="20" t="inlineStr">
        <x:is>
          <x:t xml:space="preserve"/>
        </x:is>
      </x:c>
      <x:c r="O55" s="20" t="inlineStr">
        <x:is>
          <x:t xml:space="preserve"/>
        </x:is>
      </x:c>
      <x:c r="P55" s="20" t="inlineStr">
        <x:is>
          <x:t xml:space="preserve"/>
        </x:is>
      </x:c>
      <x:c r="Q55" s="20" t="inlineStr">
        <x:is>
          <x:t xml:space="preserve">https://www.fldoe.org/file/18534/SchoolGrades25.xlsx</x:t>
        </x:is>
      </x:c>
      <x:c r="R55" s="20" t="inlineStr">
        <x:is>
          <x:t xml:space="preserve">School type code 02; Title I=YES; Alternative/ESE=N; coordinates pending NCES/district GIS pull.</x:t>
        </x:is>
      </x:c>
    </x:row>
    <x:row r="56">
      <x:c r="A56" s="20" t="inlineStr">
        <x:is>
          <x:t xml:space="preserve">OSCEOLA</x:t>
        </x:is>
      </x:c>
      <x:c r="B56" s="20" t="inlineStr">
        <x:is>
          <x:t xml:space="preserve">OSCEOLA</x:t>
        </x:is>
      </x:c>
      <x:c r="C56" s="20" t="inlineStr">
        <x:is>
          <x:t xml:space="preserve">490042</x:t>
        </x:is>
      </x:c>
      <x:c r="D56" s="20" t="inlineStr">
        <x:is>
          <x:t xml:space="preserve"/>
        </x:is>
      </x:c>
      <x:c r="E56" s="20" t="inlineStr">
        <x:is>
          <x:t xml:space="preserve">KISSIMMEE ELEMENTARY SCHOOL</x:t>
        </x:is>
      </x:c>
      <x:c r="F56" s="20" t="inlineStr">
        <x:is>
          <x:t xml:space="preserve">Elementary</x:t>
        </x:is>
      </x:c>
      <x:c r="G56" s="20" t="inlineStr">
        <x:is>
          <x:t xml:space="preserve">YES</x:t>
        </x:is>
      </x:c>
      <x:c r="H56" s="20" t="inlineStr">
        <x:is>
          <x:t xml:space="preserve">NO</x:t>
        </x:is>
      </x:c>
      <x:c r="I56" s="20" t="inlineStr">
        <x:is>
          <x:t xml:space="preserve"/>
        </x:is>
      </x:c>
      <x:c r="J56" s="20" t="inlineStr">
        <x:is>
          <x:t xml:space="preserve">NO</x:t>
        </x:is>
      </x:c>
      <x:c r="K56" s="20" t="inlineStr">
        <x:is>
          <x:t xml:space="preserve"/>
        </x:is>
      </x:c>
      <x:c r="L56" s="20" t="inlineStr">
        <x:is>
          <x:t xml:space="preserve"/>
        </x:is>
      </x:c>
      <x:c r="M56" s="20" t="inlineStr">
        <x:is>
          <x:t xml:space="preserve"/>
        </x:is>
      </x:c>
      <x:c r="N56" s="20" t="inlineStr">
        <x:is>
          <x:t xml:space="preserve"/>
        </x:is>
      </x:c>
      <x:c r="O56" s="20" t="inlineStr">
        <x:is>
          <x:t xml:space="preserve"/>
        </x:is>
      </x:c>
      <x:c r="P56" s="20" t="inlineStr">
        <x:is>
          <x:t xml:space="preserve"/>
        </x:is>
      </x:c>
      <x:c r="Q56" s="20" t="inlineStr">
        <x:is>
          <x:t xml:space="preserve">https://www.fldoe.org/file/18534/SchoolGrades25.xlsx</x:t>
        </x:is>
      </x:c>
      <x:c r="R56" s="20" t="inlineStr">
        <x:is>
          <x:t xml:space="preserve">School type code 01; Title I=YES; Alternative/ESE=N; coordinates pending NCES/district GIS pull.</x:t>
        </x:is>
      </x:c>
    </x:row>
    <x:row r="57">
      <x:c r="A57" s="20" t="inlineStr">
        <x:is>
          <x:t xml:space="preserve">OSCEOLA</x:t>
        </x:is>
      </x:c>
      <x:c r="B57" s="20" t="inlineStr">
        <x:is>
          <x:t xml:space="preserve">OSCEOLA</x:t>
        </x:is>
      </x:c>
      <x:c r="C57" s="20" t="inlineStr">
        <x:is>
          <x:t xml:space="preserve">490043</x:t>
        </x:is>
      </x:c>
      <x:c r="D57" s="20" t="inlineStr">
        <x:is>
          <x:t xml:space="preserve"/>
        </x:is>
      </x:c>
      <x:c r="E57" s="20" t="inlineStr">
        <x:is>
          <x:t xml:space="preserve">NARCOOSSEE ELEMENTARY SCHOOL</x:t>
        </x:is>
      </x:c>
      <x:c r="F57" s="20" t="inlineStr">
        <x:is>
          <x:t xml:space="preserve">Elementary</x:t>
        </x:is>
      </x:c>
      <x:c r="G57" s="20" t="inlineStr">
        <x:is>
          <x:t xml:space="preserve">YES</x:t>
        </x:is>
      </x:c>
      <x:c r="H57" s="20" t="inlineStr">
        <x:is>
          <x:t xml:space="preserve">NO</x:t>
        </x:is>
      </x:c>
      <x:c r="I57" s="20" t="inlineStr">
        <x:is>
          <x:t xml:space="preserve"/>
        </x:is>
      </x:c>
      <x:c r="J57" s="20" t="inlineStr">
        <x:is>
          <x:t xml:space="preserve">NO</x:t>
        </x:is>
      </x:c>
      <x:c r="K57" s="20" t="inlineStr">
        <x:is>
          <x:t xml:space="preserve"/>
        </x:is>
      </x:c>
      <x:c r="L57" s="20" t="inlineStr">
        <x:is>
          <x:t xml:space="preserve"/>
        </x:is>
      </x:c>
      <x:c r="M57" s="20" t="inlineStr">
        <x:is>
          <x:t xml:space="preserve"/>
        </x:is>
      </x:c>
      <x:c r="N57" s="20" t="inlineStr">
        <x:is>
          <x:t xml:space="preserve"/>
        </x:is>
      </x:c>
      <x:c r="O57" s="20" t="inlineStr">
        <x:is>
          <x:t xml:space="preserve"/>
        </x:is>
      </x:c>
      <x:c r="P57" s="20" t="inlineStr">
        <x:is>
          <x:t xml:space="preserve"/>
        </x:is>
      </x:c>
      <x:c r="Q57" s="20" t="inlineStr">
        <x:is>
          <x:t xml:space="preserve">https://www.fldoe.org/file/18534/SchoolGrades25.xlsx</x:t>
        </x:is>
      </x:c>
      <x:c r="R57" s="20" t="inlineStr">
        <x:is>
          <x:t xml:space="preserve">School type code 01; Title I=NO; Alternative/ESE=N; coordinates pending NCES/district GIS pull.</x:t>
        </x:is>
      </x:c>
    </x:row>
    <x:row r="58">
      <x:c r="A58" s="20" t="inlineStr">
        <x:is>
          <x:t xml:space="preserve">OSCEOLA</x:t>
        </x:is>
      </x:c>
      <x:c r="B58" s="20" t="inlineStr">
        <x:is>
          <x:t xml:space="preserve">OSCEOLA</x:t>
        </x:is>
      </x:c>
      <x:c r="C58" s="20" t="inlineStr">
        <x:is>
          <x:t xml:space="preserve">490061</x:t>
        </x:is>
      </x:c>
      <x:c r="D58" s="20" t="inlineStr">
        <x:is>
          <x:t xml:space="preserve"/>
        </x:is>
      </x:c>
      <x:c r="E58" s="20" t="inlineStr">
        <x:is>
          <x:t xml:space="preserve">CENTRAL AVENUE ELEMENTARY SCHOOL</x:t>
        </x:is>
      </x:c>
      <x:c r="F58" s="20" t="inlineStr">
        <x:is>
          <x:t xml:space="preserve">Elementary</x:t>
        </x:is>
      </x:c>
      <x:c r="G58" s="20" t="inlineStr">
        <x:is>
          <x:t xml:space="preserve">YES</x:t>
        </x:is>
      </x:c>
      <x:c r="H58" s="20" t="inlineStr">
        <x:is>
          <x:t xml:space="preserve">NO</x:t>
        </x:is>
      </x:c>
      <x:c r="I58" s="20" t="inlineStr">
        <x:is>
          <x:t xml:space="preserve"/>
        </x:is>
      </x:c>
      <x:c r="J58" s="20" t="inlineStr">
        <x:is>
          <x:t xml:space="preserve">NO</x:t>
        </x:is>
      </x:c>
      <x:c r="K58" s="20" t="inlineStr">
        <x:is>
          <x:t xml:space="preserve"/>
        </x:is>
      </x:c>
      <x:c r="L58" s="20" t="inlineStr">
        <x:is>
          <x:t xml:space="preserve"/>
        </x:is>
      </x:c>
      <x:c r="M58" s="20" t="inlineStr">
        <x:is>
          <x:t xml:space="preserve"/>
        </x:is>
      </x:c>
      <x:c r="N58" s="20" t="inlineStr">
        <x:is>
          <x:t xml:space="preserve"/>
        </x:is>
      </x:c>
      <x:c r="O58" s="20" t="inlineStr">
        <x:is>
          <x:t xml:space="preserve"/>
        </x:is>
      </x:c>
      <x:c r="P58" s="20" t="inlineStr">
        <x:is>
          <x:t xml:space="preserve"/>
        </x:is>
      </x:c>
      <x:c r="Q58" s="20" t="inlineStr">
        <x:is>
          <x:t xml:space="preserve">https://www.fldoe.org/file/18534/SchoolGrades25.xlsx</x:t>
        </x:is>
      </x:c>
      <x:c r="R58" s="20" t="inlineStr">
        <x:is>
          <x:t xml:space="preserve">School type code 01; Title I=YES; Alternative/ESE=N; coordinates pending NCES/district GIS pull.</x:t>
        </x:is>
      </x:c>
    </x:row>
    <x:row r="59">
      <x:c r="A59" s="20" t="inlineStr">
        <x:is>
          <x:t xml:space="preserve">OSCEOLA</x:t>
        </x:is>
      </x:c>
      <x:c r="B59" s="20" t="inlineStr">
        <x:is>
          <x:t xml:space="preserve">OSCEOLA</x:t>
        </x:is>
      </x:c>
      <x:c r="C59" s="20" t="inlineStr">
        <x:is>
          <x:t xml:space="preserve">490071</x:t>
        </x:is>
      </x:c>
      <x:c r="D59" s="20" t="inlineStr">
        <x:is>
          <x:t xml:space="preserve"/>
        </x:is>
      </x:c>
      <x:c r="E59" s="20" t="inlineStr">
        <x:is>
          <x:t xml:space="preserve">HIGHLANDS ELEMENTARY SCHOOL</x:t>
        </x:is>
      </x:c>
      <x:c r="F59" s="20" t="inlineStr">
        <x:is>
          <x:t xml:space="preserve">Elementary</x:t>
        </x:is>
      </x:c>
      <x:c r="G59" s="20" t="inlineStr">
        <x:is>
          <x:t xml:space="preserve">YES</x:t>
        </x:is>
      </x:c>
      <x:c r="H59" s="20" t="inlineStr">
        <x:is>
          <x:t xml:space="preserve">NO</x:t>
        </x:is>
      </x:c>
      <x:c r="I59" s="20" t="inlineStr">
        <x:is>
          <x:t xml:space="preserve"/>
        </x:is>
      </x:c>
      <x:c r="J59" s="20" t="inlineStr">
        <x:is>
          <x:t xml:space="preserve">NO</x:t>
        </x:is>
      </x:c>
      <x:c r="K59" s="20" t="inlineStr">
        <x:is>
          <x:t xml:space="preserve"/>
        </x:is>
      </x:c>
      <x:c r="L59" s="20" t="inlineStr">
        <x:is>
          <x:t xml:space="preserve"/>
        </x:is>
      </x:c>
      <x:c r="M59" s="20" t="inlineStr">
        <x:is>
          <x:t xml:space="preserve"/>
        </x:is>
      </x:c>
      <x:c r="N59" s="20" t="inlineStr">
        <x:is>
          <x:t xml:space="preserve"/>
        </x:is>
      </x:c>
      <x:c r="O59" s="20" t="inlineStr">
        <x:is>
          <x:t xml:space="preserve"/>
        </x:is>
      </x:c>
      <x:c r="P59" s="20" t="inlineStr">
        <x:is>
          <x:t xml:space="preserve"/>
        </x:is>
      </x:c>
      <x:c r="Q59" s="20" t="inlineStr">
        <x:is>
          <x:t xml:space="preserve">https://www.fldoe.org/file/18534/SchoolGrades25.xlsx</x:t>
        </x:is>
      </x:c>
      <x:c r="R59" s="20" t="inlineStr">
        <x:is>
          <x:t xml:space="preserve">School type code 01; Title I=YES; Alternative/ESE=N; coordinates pending NCES/district GIS pull.</x:t>
        </x:is>
      </x:c>
    </x:row>
    <x:row r="60">
      <x:c r="A60" s="20" t="inlineStr">
        <x:is>
          <x:t xml:space="preserve">OSCEOLA</x:t>
        </x:is>
      </x:c>
      <x:c r="B60" s="20" t="inlineStr">
        <x:is>
          <x:t xml:space="preserve">OSCEOLA</x:t>
        </x:is>
      </x:c>
      <x:c r="C60" s="20" t="inlineStr">
        <x:is>
          <x:t xml:space="preserve">490081</x:t>
        </x:is>
      </x:c>
      <x:c r="D60" s="20" t="inlineStr">
        <x:is>
          <x:t xml:space="preserve"/>
        </x:is>
      </x:c>
      <x:c r="E60" s="20" t="inlineStr">
        <x:is>
          <x:t xml:space="preserve">OSCEOLA HIGH SCHOOL</x:t>
        </x:is>
      </x:c>
      <x:c r="F60" s="20" t="inlineStr">
        <x:is>
          <x:t xml:space="preserve">Senior High</x:t>
        </x:is>
      </x:c>
      <x:c r="G60" s="20" t="inlineStr">
        <x:is>
          <x:t xml:space="preserve">YES</x:t>
        </x:is>
      </x:c>
      <x:c r="H60" s="20" t="inlineStr">
        <x:is>
          <x:t xml:space="preserve">NO</x:t>
        </x:is>
      </x:c>
      <x:c r="I60" s="20" t="inlineStr">
        <x:is>
          <x:t xml:space="preserve"/>
        </x:is>
      </x:c>
      <x:c r="J60" s="20" t="inlineStr">
        <x:is>
          <x:t xml:space="preserve">NO</x:t>
        </x:is>
      </x:c>
      <x:c r="K60" s="20" t="inlineStr">
        <x:is>
          <x:t xml:space="preserve"/>
        </x:is>
      </x:c>
      <x:c r="L60" s="20" t="inlineStr">
        <x:is>
          <x:t xml:space="preserve"/>
        </x:is>
      </x:c>
      <x:c r="M60" s="20" t="inlineStr">
        <x:is>
          <x:t xml:space="preserve"/>
        </x:is>
      </x:c>
      <x:c r="N60" s="20" t="inlineStr">
        <x:is>
          <x:t xml:space="preserve"/>
        </x:is>
      </x:c>
      <x:c r="O60" s="20" t="inlineStr">
        <x:is>
          <x:t xml:space="preserve"/>
        </x:is>
      </x:c>
      <x:c r="P60" s="20" t="inlineStr">
        <x:is>
          <x:t xml:space="preserve"/>
        </x:is>
      </x:c>
      <x:c r="Q60" s="20" t="inlineStr">
        <x:is>
          <x:t xml:space="preserve">https://www.fldoe.org/file/18534/SchoolGrades25.xlsx</x:t>
        </x:is>
      </x:c>
      <x:c r="R60" s="20" t="inlineStr">
        <x:is>
          <x:t xml:space="preserve">School type code 03; Title I=YES; Alternative/ESE=N; coordinates pending NCES/district GIS pull.</x:t>
        </x:is>
      </x:c>
    </x:row>
    <x:row r="61">
      <x:c r="A61" s="20" t="inlineStr">
        <x:is>
          <x:t xml:space="preserve">OSCEOLA</x:t>
        </x:is>
      </x:c>
      <x:c r="B61" s="20" t="inlineStr">
        <x:is>
          <x:t xml:space="preserve">OSCEOLA</x:t>
        </x:is>
      </x:c>
      <x:c r="C61" s="20" t="inlineStr">
        <x:is>
          <x:t xml:space="preserve">490091</x:t>
        </x:is>
      </x:c>
      <x:c r="D61" s="20" t="inlineStr">
        <x:is>
          <x:t xml:space="preserve"/>
        </x:is>
      </x:c>
      <x:c r="E61" s="20" t="inlineStr">
        <x:is>
          <x:t xml:space="preserve">DENN JOHN MIDDLE SCHOOL</x:t>
        </x:is>
      </x:c>
      <x:c r="F61" s="20" t="inlineStr">
        <x:is>
          <x:t xml:space="preserve">Middle/Junior</x:t>
        </x:is>
      </x:c>
      <x:c r="G61" s="20" t="inlineStr">
        <x:is>
          <x:t xml:space="preserve">YES</x:t>
        </x:is>
      </x:c>
      <x:c r="H61" s="20" t="inlineStr">
        <x:is>
          <x:t xml:space="preserve">NO</x:t>
        </x:is>
      </x:c>
      <x:c r="I61" s="20" t="inlineStr">
        <x:is>
          <x:t xml:space="preserve"/>
        </x:is>
      </x:c>
      <x:c r="J61" s="20" t="inlineStr">
        <x:is>
          <x:t xml:space="preserve">NO</x:t>
        </x:is>
      </x:c>
      <x:c r="K61" s="20" t="inlineStr">
        <x:is>
          <x:t xml:space="preserve"/>
        </x:is>
      </x:c>
      <x:c r="L61" s="20" t="inlineStr">
        <x:is>
          <x:t xml:space="preserve"/>
        </x:is>
      </x:c>
      <x:c r="M61" s="20" t="inlineStr">
        <x:is>
          <x:t xml:space="preserve"/>
        </x:is>
      </x:c>
      <x:c r="N61" s="20" t="inlineStr">
        <x:is>
          <x:t xml:space="preserve"/>
        </x:is>
      </x:c>
      <x:c r="O61" s="20" t="inlineStr">
        <x:is>
          <x:t xml:space="preserve"/>
        </x:is>
      </x:c>
      <x:c r="P61" s="20" t="inlineStr">
        <x:is>
          <x:t xml:space="preserve"/>
        </x:is>
      </x:c>
      <x:c r="Q61" s="20" t="inlineStr">
        <x:is>
          <x:t xml:space="preserve">https://www.fldoe.org/file/18534/SchoolGrades25.xlsx</x:t>
        </x:is>
      </x:c>
      <x:c r="R61" s="20" t="inlineStr">
        <x:is>
          <x:t xml:space="preserve">School type code 02; Title I=YES; Alternative/ESE=N; coordinates pending NCES/district GIS pull.</x:t>
        </x:is>
      </x:c>
    </x:row>
    <x:row r="62">
      <x:c r="A62" s="20" t="inlineStr">
        <x:is>
          <x:t xml:space="preserve">OSCEOLA</x:t>
        </x:is>
      </x:c>
      <x:c r="B62" s="20" t="inlineStr">
        <x:is>
          <x:t xml:space="preserve">OSCEOLA</x:t>
        </x:is>
      </x:c>
      <x:c r="C62" s="20" t="inlineStr">
        <x:is>
          <x:t xml:space="preserve">490101</x:t>
        </x:is>
      </x:c>
      <x:c r="D62" s="20" t="inlineStr">
        <x:is>
          <x:t xml:space="preserve"/>
        </x:is>
      </x:c>
      <x:c r="E62" s="20" t="inlineStr">
        <x:is>
          <x:t xml:space="preserve">THACKER AVENUE ELEMENTARY FOR INTERNATIONAL STUDIES</x:t>
        </x:is>
      </x:c>
      <x:c r="F62" s="20" t="inlineStr">
        <x:is>
          <x:t xml:space="preserve">Elementary</x:t>
        </x:is>
      </x:c>
      <x:c r="G62" s="20" t="inlineStr">
        <x:is>
          <x:t xml:space="preserve">YES</x:t>
        </x:is>
      </x:c>
      <x:c r="H62" s="20" t="inlineStr">
        <x:is>
          <x:t xml:space="preserve">NO</x:t>
        </x:is>
      </x:c>
      <x:c r="I62" s="20" t="inlineStr">
        <x:is>
          <x:t xml:space="preserve"/>
        </x:is>
      </x:c>
      <x:c r="J62" s="20" t="inlineStr">
        <x:is>
          <x:t xml:space="preserve">NO</x:t>
        </x:is>
      </x:c>
      <x:c r="K62" s="20" t="inlineStr">
        <x:is>
          <x:t xml:space="preserve"/>
        </x:is>
      </x:c>
      <x:c r="L62" s="20" t="inlineStr">
        <x:is>
          <x:t xml:space="preserve"/>
        </x:is>
      </x:c>
      <x:c r="M62" s="20" t="inlineStr">
        <x:is>
          <x:t xml:space="preserve"/>
        </x:is>
      </x:c>
      <x:c r="N62" s="20" t="inlineStr">
        <x:is>
          <x:t xml:space="preserve"/>
        </x:is>
      </x:c>
      <x:c r="O62" s="20" t="inlineStr">
        <x:is>
          <x:t xml:space="preserve"/>
        </x:is>
      </x:c>
      <x:c r="P62" s="20" t="inlineStr">
        <x:is>
          <x:t xml:space="preserve"/>
        </x:is>
      </x:c>
      <x:c r="Q62" s="20" t="inlineStr">
        <x:is>
          <x:t xml:space="preserve">https://www.fldoe.org/file/18534/SchoolGrades25.xlsx</x:t>
        </x:is>
      </x:c>
      <x:c r="R62" s="20" t="inlineStr">
        <x:is>
          <x:t xml:space="preserve">School type code 01; Title I=YES; Alternative/ESE=N; coordinates pending NCES/district GIS pull.</x:t>
        </x:is>
      </x:c>
    </x:row>
    <x:row r="63">
      <x:c r="A63" s="20" t="inlineStr">
        <x:is>
          <x:t xml:space="preserve">OSCEOLA</x:t>
        </x:is>
      </x:c>
      <x:c r="B63" s="20" t="inlineStr">
        <x:is>
          <x:t xml:space="preserve">OSCEOLA</x:t>
        </x:is>
      </x:c>
      <x:c r="C63" s="20" t="inlineStr">
        <x:is>
          <x:t xml:space="preserve">490111</x:t>
        </x:is>
      </x:c>
      <x:c r="D63" s="20" t="inlineStr">
        <x:is>
          <x:t xml:space="preserve"/>
        </x:is>
      </x:c>
      <x:c r="E63" s="20" t="inlineStr">
        <x:is>
          <x:t xml:space="preserve">ST. CLOUD ELEMENTARY SCHOOL</x:t>
        </x:is>
      </x:c>
      <x:c r="F63" s="20" t="inlineStr">
        <x:is>
          <x:t xml:space="preserve">Elementary</x:t>
        </x:is>
      </x:c>
      <x:c r="G63" s="20" t="inlineStr">
        <x:is>
          <x:t xml:space="preserve">YES</x:t>
        </x:is>
      </x:c>
      <x:c r="H63" s="20" t="inlineStr">
        <x:is>
          <x:t xml:space="preserve">NO</x:t>
        </x:is>
      </x:c>
      <x:c r="I63" s="20" t="inlineStr">
        <x:is>
          <x:t xml:space="preserve"/>
        </x:is>
      </x:c>
      <x:c r="J63" s="20" t="inlineStr">
        <x:is>
          <x:t xml:space="preserve">NO</x:t>
        </x:is>
      </x:c>
      <x:c r="K63" s="20" t="inlineStr">
        <x:is>
          <x:t xml:space="preserve"/>
        </x:is>
      </x:c>
      <x:c r="L63" s="20" t="inlineStr">
        <x:is>
          <x:t xml:space="preserve"/>
        </x:is>
      </x:c>
      <x:c r="M63" s="20" t="inlineStr">
        <x:is>
          <x:t xml:space="preserve"/>
        </x:is>
      </x:c>
      <x:c r="N63" s="20" t="inlineStr">
        <x:is>
          <x:t xml:space="preserve"/>
        </x:is>
      </x:c>
      <x:c r="O63" s="20" t="inlineStr">
        <x:is>
          <x:t xml:space="preserve"/>
        </x:is>
      </x:c>
      <x:c r="P63" s="20" t="inlineStr">
        <x:is>
          <x:t xml:space="preserve"/>
        </x:is>
      </x:c>
      <x:c r="Q63" s="20" t="inlineStr">
        <x:is>
          <x:t xml:space="preserve">https://www.fldoe.org/file/18534/SchoolGrades25.xlsx</x:t>
        </x:is>
      </x:c>
      <x:c r="R63" s="20" t="inlineStr">
        <x:is>
          <x:t xml:space="preserve">School type code 01; Title I=NO; Alternative/ESE=N; coordinates pending NCES/district GIS pull.</x:t>
        </x:is>
      </x:c>
    </x:row>
    <x:row r="64">
      <x:c r="A64" s="20" t="inlineStr">
        <x:is>
          <x:t xml:space="preserve">OSCEOLA</x:t>
        </x:is>
      </x:c>
      <x:c r="B64" s="20" t="inlineStr">
        <x:is>
          <x:t xml:space="preserve">OSCEOLA</x:t>
        </x:is>
      </x:c>
      <x:c r="C64" s="20" t="inlineStr">
        <x:is>
          <x:t xml:space="preserve">490131</x:t>
        </x:is>
      </x:c>
      <x:c r="D64" s="20" t="inlineStr">
        <x:is>
          <x:t xml:space="preserve"/>
        </x:is>
      </x:c>
      <x:c r="E64" s="20" t="inlineStr">
        <x:is>
          <x:t xml:space="preserve">BRIDGEPREP ACADEMY OF ST.CLOUD</x:t>
        </x:is>
      </x:c>
      <x:c r="F64" s="20" t="inlineStr">
        <x:is>
          <x:t xml:space="preserve">Combination</x:t>
        </x:is>
      </x:c>
      <x:c r="G64" s="20" t="inlineStr">
        <x:is>
          <x:t xml:space="preserve">NO</x:t>
        </x:is>
      </x:c>
      <x:c r="H64" s="20" t="inlineStr">
        <x:is>
          <x:t xml:space="preserve">YES</x:t>
        </x:is>
      </x:c>
      <x:c r="I64" s="20" t="inlineStr">
        <x:is>
          <x:t xml:space="preserve"/>
        </x:is>
      </x:c>
      <x:c r="J64" s="20" t="inlineStr">
        <x:is>
          <x:t xml:space="preserve">NO</x:t>
        </x:is>
      </x:c>
      <x:c r="K64" s="20" t="inlineStr">
        <x:is>
          <x:t xml:space="preserve"/>
        </x:is>
      </x:c>
      <x:c r="L64" s="20" t="inlineStr">
        <x:is>
          <x:t xml:space="preserve"/>
        </x:is>
      </x:c>
      <x:c r="M64" s="20" t="inlineStr">
        <x:is>
          <x:t xml:space="preserve"/>
        </x:is>
      </x:c>
      <x:c r="N64" s="20" t="inlineStr">
        <x:is>
          <x:t xml:space="preserve"/>
        </x:is>
      </x:c>
      <x:c r="O64" s="20" t="inlineStr">
        <x:is>
          <x:t xml:space="preserve"/>
        </x:is>
      </x:c>
      <x:c r="P64" s="20" t="inlineStr">
        <x:is>
          <x:t xml:space="preserve"/>
        </x:is>
      </x:c>
      <x:c r="Q64" s="20" t="inlineStr">
        <x:is>
          <x:t xml:space="preserve">https://www.fldoe.org/file/18534/SchoolGrades25.xlsx</x:t>
        </x:is>
      </x:c>
      <x:c r="R64" s="20" t="inlineStr">
        <x:is>
          <x:t xml:space="preserve">School type code 04; Title I=NO; Alternative/ESE=N; coordinates pending NCES/district GIS pull.</x:t>
        </x:is>
      </x:c>
    </x:row>
    <x:row r="65">
      <x:c r="A65" s="20" t="inlineStr">
        <x:is>
          <x:t xml:space="preserve">OSCEOLA</x:t>
        </x:is>
      </x:c>
      <x:c r="B65" s="20" t="inlineStr">
        <x:is>
          <x:t xml:space="preserve">OSCEOLA</x:t>
        </x:is>
      </x:c>
      <x:c r="C65" s="20" t="inlineStr">
        <x:is>
          <x:t xml:space="preserve">490149</x:t>
        </x:is>
      </x:c>
      <x:c r="D65" s="20" t="inlineStr">
        <x:is>
          <x:t xml:space="preserve"/>
        </x:is>
      </x:c>
      <x:c r="E65" s="20" t="inlineStr">
        <x:is>
          <x:t xml:space="preserve">RENAISSANCE CHARTER SCHOOL AT POINCIANA</x:t>
        </x:is>
      </x:c>
      <x:c r="F65" s="20" t="inlineStr">
        <x:is>
          <x:t xml:space="preserve">Combination</x:t>
        </x:is>
      </x:c>
      <x:c r="G65" s="20" t="inlineStr">
        <x:is>
          <x:t xml:space="preserve">NO</x:t>
        </x:is>
      </x:c>
      <x:c r="H65" s="20" t="inlineStr">
        <x:is>
          <x:t xml:space="preserve">YES</x:t>
        </x:is>
      </x:c>
      <x:c r="I65" s="20" t="inlineStr">
        <x:is>
          <x:t xml:space="preserve"/>
        </x:is>
      </x:c>
      <x:c r="J65" s="20" t="inlineStr">
        <x:is>
          <x:t xml:space="preserve">NO</x:t>
        </x:is>
      </x:c>
      <x:c r="K65" s="20" t="inlineStr">
        <x:is>
          <x:t xml:space="preserve"/>
        </x:is>
      </x:c>
      <x:c r="L65" s="20" t="inlineStr">
        <x:is>
          <x:t xml:space="preserve"/>
        </x:is>
      </x:c>
      <x:c r="M65" s="20" t="inlineStr">
        <x:is>
          <x:t xml:space="preserve"/>
        </x:is>
      </x:c>
      <x:c r="N65" s="20" t="inlineStr">
        <x:is>
          <x:t xml:space="preserve"/>
        </x:is>
      </x:c>
      <x:c r="O65" s="20" t="inlineStr">
        <x:is>
          <x:t xml:space="preserve"/>
        </x:is>
      </x:c>
      <x:c r="P65" s="20" t="inlineStr">
        <x:is>
          <x:t xml:space="preserve"/>
        </x:is>
      </x:c>
      <x:c r="Q65" s="20" t="inlineStr">
        <x:is>
          <x:t xml:space="preserve">https://www.fldoe.org/file/18534/SchoolGrades25.xlsx</x:t>
        </x:is>
      </x:c>
      <x:c r="R65" s="20" t="inlineStr">
        <x:is>
          <x:t xml:space="preserve">School type code 04; Title I=YES; Alternative/ESE=N; coordinates pending NCES/district GIS pull.</x:t>
        </x:is>
      </x:c>
    </x:row>
    <x:row r="66">
      <x:c r="A66" s="20" t="inlineStr">
        <x:is>
          <x:t xml:space="preserve">OSCEOLA</x:t>
        </x:is>
      </x:c>
      <x:c r="B66" s="20" t="inlineStr">
        <x:is>
          <x:t xml:space="preserve">OSCEOLA</x:t>
        </x:is>
      </x:c>
      <x:c r="C66" s="20" t="inlineStr">
        <x:is>
          <x:t xml:space="preserve">490152</x:t>
        </x:is>
      </x:c>
      <x:c r="D66" s="20" t="inlineStr">
        <x:is>
          <x:t xml:space="preserve"/>
        </x:is>
      </x:c>
      <x:c r="E66" s="20" t="inlineStr">
        <x:is>
          <x:t xml:space="preserve">FOUR CORNERS UPPER SCHOOL</x:t>
        </x:is>
      </x:c>
      <x:c r="F66" s="20" t="inlineStr">
        <x:is>
          <x:t xml:space="preserve">Combination</x:t>
        </x:is>
      </x:c>
      <x:c r="G66" s="20" t="inlineStr">
        <x:is>
          <x:t xml:space="preserve">NO</x:t>
        </x:is>
      </x:c>
      <x:c r="H66" s="20" t="inlineStr">
        <x:is>
          <x:t xml:space="preserve">YES</x:t>
        </x:is>
      </x:c>
      <x:c r="I66" s="20" t="inlineStr">
        <x:is>
          <x:t xml:space="preserve"/>
        </x:is>
      </x:c>
      <x:c r="J66" s="20" t="inlineStr">
        <x:is>
          <x:t xml:space="preserve">NO</x:t>
        </x:is>
      </x:c>
      <x:c r="K66" s="20" t="inlineStr">
        <x:is>
          <x:t xml:space="preserve"/>
        </x:is>
      </x:c>
      <x:c r="L66" s="20" t="inlineStr">
        <x:is>
          <x:t xml:space="preserve"/>
        </x:is>
      </x:c>
      <x:c r="M66" s="20" t="inlineStr">
        <x:is>
          <x:t xml:space="preserve"/>
        </x:is>
      </x:c>
      <x:c r="N66" s="20" t="inlineStr">
        <x:is>
          <x:t xml:space="preserve"/>
        </x:is>
      </x:c>
      <x:c r="O66" s="20" t="inlineStr">
        <x:is>
          <x:t xml:space="preserve"/>
        </x:is>
      </x:c>
      <x:c r="P66" s="20" t="inlineStr">
        <x:is>
          <x:t xml:space="preserve"/>
        </x:is>
      </x:c>
      <x:c r="Q66" s="20" t="inlineStr">
        <x:is>
          <x:t xml:space="preserve">https://www.fldoe.org/file/18534/SchoolGrades25.xlsx</x:t>
        </x:is>
      </x:c>
      <x:c r="R66" s="20" t="inlineStr">
        <x:is>
          <x:t xml:space="preserve">School type code 04; Title I=NO; Alternative/ESE=N; coordinates pending NCES/district GIS pull.</x:t>
        </x:is>
      </x:c>
    </x:row>
    <x:row r="67">
      <x:c r="A67" s="20" t="inlineStr">
        <x:is>
          <x:t xml:space="preserve">OSCEOLA</x:t>
        </x:is>
      </x:c>
      <x:c r="B67" s="20" t="inlineStr">
        <x:is>
          <x:t xml:space="preserve">OSCEOLA</x:t>
        </x:is>
      </x:c>
      <x:c r="C67" s="20" t="inlineStr">
        <x:is>
          <x:t xml:space="preserve">490153</x:t>
        </x:is>
      </x:c>
      <x:c r="D67" s="20" t="inlineStr">
        <x:is>
          <x:t xml:space="preserve"/>
        </x:is>
      </x:c>
      <x:c r="E67" s="20" t="inlineStr">
        <x:is>
          <x:t xml:space="preserve">FLORIDA CYBER CHARTER ACADEMY AT OSCEOLA</x:t>
        </x:is>
      </x:c>
      <x:c r="F67" s="20" t="inlineStr">
        <x:is>
          <x:t xml:space="preserve">Combination</x:t>
        </x:is>
      </x:c>
      <x:c r="G67" s="20" t="inlineStr">
        <x:is>
          <x:t xml:space="preserve">NO</x:t>
        </x:is>
      </x:c>
      <x:c r="H67" s="20" t="inlineStr">
        <x:is>
          <x:t xml:space="preserve">YES</x:t>
        </x:is>
      </x:c>
      <x:c r="I67" s="20" t="inlineStr">
        <x:is>
          <x:t xml:space="preserve"/>
        </x:is>
      </x:c>
      <x:c r="J67" s="20" t="inlineStr">
        <x:is>
          <x:t xml:space="preserve">NO</x:t>
        </x:is>
      </x:c>
      <x:c r="K67" s="20" t="inlineStr">
        <x:is>
          <x:t xml:space="preserve"/>
        </x:is>
      </x:c>
      <x:c r="L67" s="20" t="inlineStr">
        <x:is>
          <x:t xml:space="preserve"/>
        </x:is>
      </x:c>
      <x:c r="M67" s="20" t="inlineStr">
        <x:is>
          <x:t xml:space="preserve"/>
        </x:is>
      </x:c>
      <x:c r="N67" s="20" t="inlineStr">
        <x:is>
          <x:t xml:space="preserve"/>
        </x:is>
      </x:c>
      <x:c r="O67" s="20" t="inlineStr">
        <x:is>
          <x:t xml:space="preserve"/>
        </x:is>
      </x:c>
      <x:c r="P67" s="20" t="inlineStr">
        <x:is>
          <x:t xml:space="preserve"/>
        </x:is>
      </x:c>
      <x:c r="Q67" s="20" t="inlineStr">
        <x:is>
          <x:t xml:space="preserve">https://www.fldoe.org/file/18534/SchoolGrades25.xlsx</x:t>
        </x:is>
      </x:c>
      <x:c r="R67" s="20" t="inlineStr">
        <x:is>
          <x:t xml:space="preserve">School type code 04; Title I=NO; Alternative/ESE=N; coordinates pending NCES/district GIS pull.</x:t>
        </x:is>
      </x:c>
    </x:row>
    <x:row r="68">
      <x:c r="A68" s="20" t="inlineStr">
        <x:is>
          <x:t xml:space="preserve">OSCEOLA</x:t>
        </x:is>
      </x:c>
      <x:c r="B68" s="20" t="inlineStr">
        <x:is>
          <x:t xml:space="preserve">OSCEOLA</x:t>
        </x:is>
      </x:c>
      <x:c r="C68" s="20" t="inlineStr">
        <x:is>
          <x:t xml:space="preserve">490155</x:t>
        </x:is>
      </x:c>
      <x:c r="D68" s="20" t="inlineStr">
        <x:is>
          <x:t xml:space="preserve"/>
        </x:is>
      </x:c>
      <x:c r="E68" s="20" t="inlineStr">
        <x:is>
          <x:t xml:space="preserve">VICTORY CHARTER SCHOOL</x:t>
        </x:is>
      </x:c>
      <x:c r="F68" s="20" t="inlineStr">
        <x:is>
          <x:t xml:space="preserve">Combination</x:t>
        </x:is>
      </x:c>
      <x:c r="G68" s="20" t="inlineStr">
        <x:is>
          <x:t xml:space="preserve">NO</x:t>
        </x:is>
      </x:c>
      <x:c r="H68" s="20" t="inlineStr">
        <x:is>
          <x:t xml:space="preserve">YES</x:t>
        </x:is>
      </x:c>
      <x:c r="I68" s="20" t="inlineStr">
        <x:is>
          <x:t xml:space="preserve"/>
        </x:is>
      </x:c>
      <x:c r="J68" s="20" t="inlineStr">
        <x:is>
          <x:t xml:space="preserve">NO</x:t>
        </x:is>
      </x:c>
      <x:c r="K68" s="20" t="inlineStr">
        <x:is>
          <x:t xml:space="preserve"/>
        </x:is>
      </x:c>
      <x:c r="L68" s="20" t="inlineStr">
        <x:is>
          <x:t xml:space="preserve"/>
        </x:is>
      </x:c>
      <x:c r="M68" s="20" t="inlineStr">
        <x:is>
          <x:t xml:space="preserve"/>
        </x:is>
      </x:c>
      <x:c r="N68" s="20" t="inlineStr">
        <x:is>
          <x:t xml:space="preserve"/>
        </x:is>
      </x:c>
      <x:c r="O68" s="20" t="inlineStr">
        <x:is>
          <x:t xml:space="preserve"/>
        </x:is>
      </x:c>
      <x:c r="P68" s="20" t="inlineStr">
        <x:is>
          <x:t xml:space="preserve"/>
        </x:is>
      </x:c>
      <x:c r="Q68" s="20" t="inlineStr">
        <x:is>
          <x:t xml:space="preserve">https://www.fldoe.org/file/18534/SchoolGrades25.xlsx</x:t>
        </x:is>
      </x:c>
      <x:c r="R68" s="20" t="inlineStr">
        <x:is>
          <x:t xml:space="preserve">School type code 04; Title I=YES; Alternative/ESE=N; coordinates pending NCES/district GIS pull.</x:t>
        </x:is>
      </x:c>
    </x:row>
    <x:row r="69">
      <x:c r="A69" s="20" t="inlineStr">
        <x:is>
          <x:t xml:space="preserve">OSCEOLA</x:t>
        </x:is>
      </x:c>
      <x:c r="B69" s="20" t="inlineStr">
        <x:is>
          <x:t xml:space="preserve">OSCEOLA</x:t>
        </x:is>
      </x:c>
      <x:c r="C69" s="20" t="inlineStr">
        <x:is>
          <x:t xml:space="preserve">490163</x:t>
        </x:is>
      </x:c>
      <x:c r="D69" s="20" t="inlineStr">
        <x:is>
          <x:t xml:space="preserve"/>
        </x:is>
      </x:c>
      <x:c r="E69" s="20" t="inlineStr">
        <x:is>
          <x:t xml:space="preserve">MATER BRIGHTON LAKES</x:t>
        </x:is>
      </x:c>
      <x:c r="F69" s="20" t="inlineStr">
        <x:is>
          <x:t xml:space="preserve">Combination</x:t>
        </x:is>
      </x:c>
      <x:c r="G69" s="20" t="inlineStr">
        <x:is>
          <x:t xml:space="preserve">NO</x:t>
        </x:is>
      </x:c>
      <x:c r="H69" s="20" t="inlineStr">
        <x:is>
          <x:t xml:space="preserve">YES</x:t>
        </x:is>
      </x:c>
      <x:c r="I69" s="20" t="inlineStr">
        <x:is>
          <x:t xml:space="preserve"/>
        </x:is>
      </x:c>
      <x:c r="J69" s="20" t="inlineStr">
        <x:is>
          <x:t xml:space="preserve">NO</x:t>
        </x:is>
      </x:c>
      <x:c r="K69" s="20" t="inlineStr">
        <x:is>
          <x:t xml:space="preserve"/>
        </x:is>
      </x:c>
      <x:c r="L69" s="20" t="inlineStr">
        <x:is>
          <x:t xml:space="preserve"/>
        </x:is>
      </x:c>
      <x:c r="M69" s="20" t="inlineStr">
        <x:is>
          <x:t xml:space="preserve"/>
        </x:is>
      </x:c>
      <x:c r="N69" s="20" t="inlineStr">
        <x:is>
          <x:t xml:space="preserve"/>
        </x:is>
      </x:c>
      <x:c r="O69" s="20" t="inlineStr">
        <x:is>
          <x:t xml:space="preserve"/>
        </x:is>
      </x:c>
      <x:c r="P69" s="20" t="inlineStr">
        <x:is>
          <x:t xml:space="preserve"/>
        </x:is>
      </x:c>
      <x:c r="Q69" s="20" t="inlineStr">
        <x:is>
          <x:t xml:space="preserve">https://www.fldoe.org/file/18534/SchoolGrades25.xlsx</x:t>
        </x:is>
      </x:c>
      <x:c r="R69" s="20" t="inlineStr">
        <x:is>
          <x:t xml:space="preserve">School type code 04; Title I=YES; Alternative/ESE=N; coordinates pending NCES/district GIS pull.</x:t>
        </x:is>
      </x:c>
    </x:row>
    <x:row r="70">
      <x:c r="A70" s="20" t="inlineStr">
        <x:is>
          <x:t xml:space="preserve">OSCEOLA</x:t>
        </x:is>
      </x:c>
      <x:c r="B70" s="20" t="inlineStr">
        <x:is>
          <x:t xml:space="preserve">OSCEOLA</x:t>
        </x:is>
      </x:c>
      <x:c r="C70" s="20" t="inlineStr">
        <x:is>
          <x:t xml:space="preserve">490171</x:t>
        </x:is>
      </x:c>
      <x:c r="D70" s="20" t="inlineStr">
        <x:is>
          <x:t xml:space="preserve"/>
        </x:is>
      </x:c>
      <x:c r="E70" s="20" t="inlineStr">
        <x:is>
          <x:t xml:space="preserve">RENAISSANCE CHARTER SCHOOL AT TAPESTRY</x:t>
        </x:is>
      </x:c>
      <x:c r="F70" s="20" t="inlineStr">
        <x:is>
          <x:t xml:space="preserve">Combination</x:t>
        </x:is>
      </x:c>
      <x:c r="G70" s="20" t="inlineStr">
        <x:is>
          <x:t xml:space="preserve">NO</x:t>
        </x:is>
      </x:c>
      <x:c r="H70" s="20" t="inlineStr">
        <x:is>
          <x:t xml:space="preserve">YES</x:t>
        </x:is>
      </x:c>
      <x:c r="I70" s="20" t="inlineStr">
        <x:is>
          <x:t xml:space="preserve"/>
        </x:is>
      </x:c>
      <x:c r="J70" s="20" t="inlineStr">
        <x:is>
          <x:t xml:space="preserve">NO</x:t>
        </x:is>
      </x:c>
      <x:c r="K70" s="20" t="inlineStr">
        <x:is>
          <x:t xml:space="preserve"/>
        </x:is>
      </x:c>
      <x:c r="L70" s="20" t="inlineStr">
        <x:is>
          <x:t xml:space="preserve"/>
        </x:is>
      </x:c>
      <x:c r="M70" s="20" t="inlineStr">
        <x:is>
          <x:t xml:space="preserve"/>
        </x:is>
      </x:c>
      <x:c r="N70" s="20" t="inlineStr">
        <x:is>
          <x:t xml:space="preserve"/>
        </x:is>
      </x:c>
      <x:c r="O70" s="20" t="inlineStr">
        <x:is>
          <x:t xml:space="preserve"/>
        </x:is>
      </x:c>
      <x:c r="P70" s="20" t="inlineStr">
        <x:is>
          <x:t xml:space="preserve"/>
        </x:is>
      </x:c>
      <x:c r="Q70" s="20" t="inlineStr">
        <x:is>
          <x:t xml:space="preserve">https://www.fldoe.org/file/18534/SchoolGrades25.xlsx</x:t>
        </x:is>
      </x:c>
      <x:c r="R70" s="20" t="inlineStr">
        <x:is>
          <x:t xml:space="preserve">School type code 04; Title I=YES; Alternative/ESE=N; coordinates pending NCES/district GIS pull.</x:t>
        </x:is>
      </x:c>
    </x:row>
    <x:row r="71">
      <x:c r="A71" s="20" t="inlineStr">
        <x:is>
          <x:t xml:space="preserve">OSCEOLA</x:t>
        </x:is>
      </x:c>
      <x:c r="B71" s="20" t="inlineStr">
        <x:is>
          <x:t xml:space="preserve">OSCEOLA</x:t>
        </x:is>
      </x:c>
      <x:c r="C71" s="20" t="inlineStr">
        <x:is>
          <x:t xml:space="preserve">490181</x:t>
        </x:is>
      </x:c>
      <x:c r="D71" s="20" t="inlineStr">
        <x:is>
          <x:t xml:space="preserve"/>
        </x:is>
      </x:c>
      <x:c r="E71" s="20" t="inlineStr">
        <x:is>
          <x:t xml:space="preserve">OSCEOLA SCIENCE CHARTER SCHOOL</x:t>
        </x:is>
      </x:c>
      <x:c r="F71" s="20" t="inlineStr">
        <x:is>
          <x:t xml:space="preserve">Combination</x:t>
        </x:is>
      </x:c>
      <x:c r="G71" s="20" t="inlineStr">
        <x:is>
          <x:t xml:space="preserve">NO</x:t>
        </x:is>
      </x:c>
      <x:c r="H71" s="20" t="inlineStr">
        <x:is>
          <x:t xml:space="preserve">YES</x:t>
        </x:is>
      </x:c>
      <x:c r="I71" s="20" t="inlineStr">
        <x:is>
          <x:t xml:space="preserve"/>
        </x:is>
      </x:c>
      <x:c r="J71" s="20" t="inlineStr">
        <x:is>
          <x:t xml:space="preserve">NO</x:t>
        </x:is>
      </x:c>
      <x:c r="K71" s="20" t="inlineStr">
        <x:is>
          <x:t xml:space="preserve"/>
        </x:is>
      </x:c>
      <x:c r="L71" s="20" t="inlineStr">
        <x:is>
          <x:t xml:space="preserve"/>
        </x:is>
      </x:c>
      <x:c r="M71" s="20" t="inlineStr">
        <x:is>
          <x:t xml:space="preserve"/>
        </x:is>
      </x:c>
      <x:c r="N71" s="20" t="inlineStr">
        <x:is>
          <x:t xml:space="preserve"/>
        </x:is>
      </x:c>
      <x:c r="O71" s="20" t="inlineStr">
        <x:is>
          <x:t xml:space="preserve"/>
        </x:is>
      </x:c>
      <x:c r="P71" s="20" t="inlineStr">
        <x:is>
          <x:t xml:space="preserve"/>
        </x:is>
      </x:c>
      <x:c r="Q71" s="20" t="inlineStr">
        <x:is>
          <x:t xml:space="preserve">https://www.fldoe.org/file/18534/SchoolGrades25.xlsx</x:t>
        </x:is>
      </x:c>
      <x:c r="R71" s="20" t="inlineStr">
        <x:is>
          <x:t xml:space="preserve">School type code 04; Title I=NO; Alternative/ESE=N; coordinates pending NCES/district GIS pull.</x:t>
        </x:is>
      </x:c>
    </x:row>
    <x:row r="72">
      <x:c r="A72" s="20" t="inlineStr">
        <x:is>
          <x:t xml:space="preserve">OSCEOLA</x:t>
        </x:is>
      </x:c>
      <x:c r="B72" s="20" t="inlineStr">
        <x:is>
          <x:t xml:space="preserve">OSCEOLA</x:t>
        </x:is>
      </x:c>
      <x:c r="C72" s="20" t="inlineStr">
        <x:is>
          <x:t xml:space="preserve">490182</x:t>
        </x:is>
      </x:c>
      <x:c r="D72" s="20" t="inlineStr">
        <x:is>
          <x:t xml:space="preserve"/>
        </x:is>
      </x:c>
      <x:c r="E72" s="20" t="inlineStr">
        <x:is>
          <x:t xml:space="preserve">LINCOLN-MARTI CHARTER SCHOOLS(OSCEOLA CAMPUS)</x:t>
        </x:is>
      </x:c>
      <x:c r="F72" s="20" t="inlineStr">
        <x:is>
          <x:t xml:space="preserve">Elementary</x:t>
        </x:is>
      </x:c>
      <x:c r="G72" s="20" t="inlineStr">
        <x:is>
          <x:t xml:space="preserve">NO</x:t>
        </x:is>
      </x:c>
      <x:c r="H72" s="20" t="inlineStr">
        <x:is>
          <x:t xml:space="preserve">YES</x:t>
        </x:is>
      </x:c>
      <x:c r="I72" s="20" t="inlineStr">
        <x:is>
          <x:t xml:space="preserve"/>
        </x:is>
      </x:c>
      <x:c r="J72" s="20" t="inlineStr">
        <x:is>
          <x:t xml:space="preserve">NO</x:t>
        </x:is>
      </x:c>
      <x:c r="K72" s="20" t="inlineStr">
        <x:is>
          <x:t xml:space="preserve"/>
        </x:is>
      </x:c>
      <x:c r="L72" s="20" t="inlineStr">
        <x:is>
          <x:t xml:space="preserve"/>
        </x:is>
      </x:c>
      <x:c r="M72" s="20" t="inlineStr">
        <x:is>
          <x:t xml:space="preserve"/>
        </x:is>
      </x:c>
      <x:c r="N72" s="20" t="inlineStr">
        <x:is>
          <x:t xml:space="preserve"/>
        </x:is>
      </x:c>
      <x:c r="O72" s="20" t="inlineStr">
        <x:is>
          <x:t xml:space="preserve"/>
        </x:is>
      </x:c>
      <x:c r="P72" s="20" t="inlineStr">
        <x:is>
          <x:t xml:space="preserve"/>
        </x:is>
      </x:c>
      <x:c r="Q72" s="20" t="inlineStr">
        <x:is>
          <x:t xml:space="preserve">https://www.fldoe.org/file/18534/SchoolGrades25.xlsx</x:t>
        </x:is>
      </x:c>
      <x:c r="R72" s="20" t="inlineStr">
        <x:is>
          <x:t xml:space="preserve">School type code 01; Title I=YES; Alternative/ESE=N; coordinates pending NCES/district GIS pull.</x:t>
        </x:is>
      </x:c>
    </x:row>
    <x:row r="73">
      <x:c r="A73" s="20" t="inlineStr">
        <x:is>
          <x:t xml:space="preserve">OSCEOLA</x:t>
        </x:is>
      </x:c>
      <x:c r="B73" s="20" t="inlineStr">
        <x:is>
          <x:t xml:space="preserve">OSCEOLA</x:t>
        </x:is>
      </x:c>
      <x:c r="C73" s="20" t="inlineStr">
        <x:is>
          <x:t xml:space="preserve">490183</x:t>
        </x:is>
      </x:c>
      <x:c r="D73" s="20" t="inlineStr">
        <x:is>
          <x:t xml:space="preserve"/>
        </x:is>
      </x:c>
      <x:c r="E73" s="20" t="inlineStr">
        <x:is>
          <x:t xml:space="preserve">SPORTS LEADERSHIP ARTS MANAGEMENT (SLAM)</x:t>
        </x:is>
      </x:c>
      <x:c r="F73" s="20" t="inlineStr">
        <x:is>
          <x:t xml:space="preserve">Middle/Junior</x:t>
        </x:is>
      </x:c>
      <x:c r="G73" s="20" t="inlineStr">
        <x:is>
          <x:t xml:space="preserve">NO</x:t>
        </x:is>
      </x:c>
      <x:c r="H73" s="20" t="inlineStr">
        <x:is>
          <x:t xml:space="preserve">YES</x:t>
        </x:is>
      </x:c>
      <x:c r="I73" s="20" t="inlineStr">
        <x:is>
          <x:t xml:space="preserve"/>
        </x:is>
      </x:c>
      <x:c r="J73" s="20" t="inlineStr">
        <x:is>
          <x:t xml:space="preserve">NO</x:t>
        </x:is>
      </x:c>
      <x:c r="K73" s="20" t="inlineStr">
        <x:is>
          <x:t xml:space="preserve"/>
        </x:is>
      </x:c>
      <x:c r="L73" s="20" t="inlineStr">
        <x:is>
          <x:t xml:space="preserve"/>
        </x:is>
      </x:c>
      <x:c r="M73" s="20" t="inlineStr">
        <x:is>
          <x:t xml:space="preserve"/>
        </x:is>
      </x:c>
      <x:c r="N73" s="20" t="inlineStr">
        <x:is>
          <x:t xml:space="preserve"/>
        </x:is>
      </x:c>
      <x:c r="O73" s="20" t="inlineStr">
        <x:is>
          <x:t xml:space="preserve"/>
        </x:is>
      </x:c>
      <x:c r="P73" s="20" t="inlineStr">
        <x:is>
          <x:t xml:space="preserve"/>
        </x:is>
      </x:c>
      <x:c r="Q73" s="20" t="inlineStr">
        <x:is>
          <x:t xml:space="preserve">https://www.fldoe.org/file/18534/SchoolGrades25.xlsx</x:t>
        </x:is>
      </x:c>
      <x:c r="R73" s="20" t="inlineStr">
        <x:is>
          <x:t xml:space="preserve">School type code 02; Title I=YES; Alternative/ESE=N; coordinates pending NCES/district GIS pull.</x:t>
        </x:is>
      </x:c>
    </x:row>
    <x:row r="74">
      <x:c r="A74" s="20" t="inlineStr">
        <x:is>
          <x:t xml:space="preserve">OSCEOLA</x:t>
        </x:is>
      </x:c>
      <x:c r="B74" s="20" t="inlineStr">
        <x:is>
          <x:t xml:space="preserve">OSCEOLA</x:t>
        </x:is>
      </x:c>
      <x:c r="C74" s="20" t="inlineStr">
        <x:is>
          <x:t xml:space="preserve">490184</x:t>
        </x:is>
      </x:c>
      <x:c r="D74" s="20" t="inlineStr">
        <x:is>
          <x:t xml:space="preserve"/>
        </x:is>
      </x:c>
      <x:c r="E74" s="20" t="inlineStr">
        <x:is>
          <x:t xml:space="preserve">BRIDGEPREP ACADEMY OSCEOLA COUNTY</x:t>
        </x:is>
      </x:c>
      <x:c r="F74" s="20" t="inlineStr">
        <x:is>
          <x:t xml:space="preserve">Combination</x:t>
        </x:is>
      </x:c>
      <x:c r="G74" s="20" t="inlineStr">
        <x:is>
          <x:t xml:space="preserve">NO</x:t>
        </x:is>
      </x:c>
      <x:c r="H74" s="20" t="inlineStr">
        <x:is>
          <x:t xml:space="preserve">YES</x:t>
        </x:is>
      </x:c>
      <x:c r="I74" s="20" t="inlineStr">
        <x:is>
          <x:t xml:space="preserve"/>
        </x:is>
      </x:c>
      <x:c r="J74" s="20" t="inlineStr">
        <x:is>
          <x:t xml:space="preserve">NO</x:t>
        </x:is>
      </x:c>
      <x:c r="K74" s="20" t="inlineStr">
        <x:is>
          <x:t xml:space="preserve"/>
        </x:is>
      </x:c>
      <x:c r="L74" s="20" t="inlineStr">
        <x:is>
          <x:t xml:space="preserve"/>
        </x:is>
      </x:c>
      <x:c r="M74" s="20" t="inlineStr">
        <x:is>
          <x:t xml:space="preserve"/>
        </x:is>
      </x:c>
      <x:c r="N74" s="20" t="inlineStr">
        <x:is>
          <x:t xml:space="preserve"/>
        </x:is>
      </x:c>
      <x:c r="O74" s="20" t="inlineStr">
        <x:is>
          <x:t xml:space="preserve"/>
        </x:is>
      </x:c>
      <x:c r="P74" s="20" t="inlineStr">
        <x:is>
          <x:t xml:space="preserve"/>
        </x:is>
      </x:c>
      <x:c r="Q74" s="20" t="inlineStr">
        <x:is>
          <x:t xml:space="preserve">https://www.fldoe.org/file/18534/SchoolGrades25.xlsx</x:t>
        </x:is>
      </x:c>
      <x:c r="R74" s="20" t="inlineStr">
        <x:is>
          <x:t xml:space="preserve">School type code 04; Title I=YES; Alternative/ESE=N; coordinates pending NCES/district GIS pull.</x:t>
        </x:is>
      </x:c>
    </x:row>
    <x:row r="75">
      <x:c r="A75" s="20" t="inlineStr">
        <x:is>
          <x:t xml:space="preserve">OSCEOLA</x:t>
        </x:is>
      </x:c>
      <x:c r="B75" s="20" t="inlineStr">
        <x:is>
          <x:t xml:space="preserve">OSCEOLA</x:t>
        </x:is>
      </x:c>
      <x:c r="C75" s="20" t="inlineStr">
        <x:is>
          <x:t xml:space="preserve">490185</x:t>
        </x:is>
      </x:c>
      <x:c r="D75" s="20" t="inlineStr">
        <x:is>
          <x:t xml:space="preserve"/>
        </x:is>
      </x:c>
      <x:c r="E75" s="20" t="inlineStr">
        <x:is>
          <x:t xml:space="preserve">MATER PALMS ACADEMY</x:t>
        </x:is>
      </x:c>
      <x:c r="F75" s="20" t="inlineStr">
        <x:is>
          <x:t xml:space="preserve">Combination</x:t>
        </x:is>
      </x:c>
      <x:c r="G75" s="20" t="inlineStr">
        <x:is>
          <x:t xml:space="preserve">NO</x:t>
        </x:is>
      </x:c>
      <x:c r="H75" s="20" t="inlineStr">
        <x:is>
          <x:t xml:space="preserve">YES</x:t>
        </x:is>
      </x:c>
      <x:c r="I75" s="20" t="inlineStr">
        <x:is>
          <x:t xml:space="preserve"/>
        </x:is>
      </x:c>
      <x:c r="J75" s="20" t="inlineStr">
        <x:is>
          <x:t xml:space="preserve">NO</x:t>
        </x:is>
      </x:c>
      <x:c r="K75" s="20" t="inlineStr">
        <x:is>
          <x:t xml:space="preserve"/>
        </x:is>
      </x:c>
      <x:c r="L75" s="20" t="inlineStr">
        <x:is>
          <x:t xml:space="preserve"/>
        </x:is>
      </x:c>
      <x:c r="M75" s="20" t="inlineStr">
        <x:is>
          <x:t xml:space="preserve"/>
        </x:is>
      </x:c>
      <x:c r="N75" s="20" t="inlineStr">
        <x:is>
          <x:t xml:space="preserve"/>
        </x:is>
      </x:c>
      <x:c r="O75" s="20" t="inlineStr">
        <x:is>
          <x:t xml:space="preserve"/>
        </x:is>
      </x:c>
      <x:c r="P75" s="20" t="inlineStr">
        <x:is>
          <x:t xml:space="preserve"/>
        </x:is>
      </x:c>
      <x:c r="Q75" s="20" t="inlineStr">
        <x:is>
          <x:t xml:space="preserve">https://www.fldoe.org/file/18534/SchoolGrades25.xlsx</x:t>
        </x:is>
      </x:c>
      <x:c r="R75" s="20" t="inlineStr">
        <x:is>
          <x:t xml:space="preserve">School type code 04; Title I=YES; Alternative/ESE=N; coordinates pending NCES/district GIS pull.</x:t>
        </x:is>
      </x:c>
    </x:row>
    <x:row r="76">
      <x:c r="A76" s="20" t="inlineStr">
        <x:is>
          <x:t xml:space="preserve">OSCEOLA</x:t>
        </x:is>
      </x:c>
      <x:c r="B76" s="20" t="inlineStr">
        <x:is>
          <x:t xml:space="preserve">OSCEOLA</x:t>
        </x:is>
      </x:c>
      <x:c r="C76" s="20" t="inlineStr">
        <x:is>
          <x:t xml:space="preserve">490191</x:t>
        </x:is>
      </x:c>
      <x:c r="D76" s="20" t="inlineStr">
        <x:is>
          <x:t xml:space="preserve"/>
        </x:is>
      </x:c>
      <x:c r="E76" s="20" t="inlineStr">
        <x:is>
          <x:t xml:space="preserve">RENAISSANCE ACADEMY OF ARTS AND SCIENCES</x:t>
        </x:is>
      </x:c>
      <x:c r="F76" s="20" t="inlineStr">
        <x:is>
          <x:t xml:space="preserve">Combination</x:t>
        </x:is>
      </x:c>
      <x:c r="G76" s="20" t="inlineStr">
        <x:is>
          <x:t xml:space="preserve">NO</x:t>
        </x:is>
      </x:c>
      <x:c r="H76" s="20" t="inlineStr">
        <x:is>
          <x:t xml:space="preserve">YES</x:t>
        </x:is>
      </x:c>
      <x:c r="I76" s="20" t="inlineStr">
        <x:is>
          <x:t xml:space="preserve"/>
        </x:is>
      </x:c>
      <x:c r="J76" s="20" t="inlineStr">
        <x:is>
          <x:t xml:space="preserve">NO</x:t>
        </x:is>
      </x:c>
      <x:c r="K76" s="20" t="inlineStr">
        <x:is>
          <x:t xml:space="preserve"/>
        </x:is>
      </x:c>
      <x:c r="L76" s="20" t="inlineStr">
        <x:is>
          <x:t xml:space="preserve"/>
        </x:is>
      </x:c>
      <x:c r="M76" s="20" t="inlineStr">
        <x:is>
          <x:t xml:space="preserve"/>
        </x:is>
      </x:c>
      <x:c r="N76" s="20" t="inlineStr">
        <x:is>
          <x:t xml:space="preserve"/>
        </x:is>
      </x:c>
      <x:c r="O76" s="20" t="inlineStr">
        <x:is>
          <x:t xml:space="preserve"/>
        </x:is>
      </x:c>
      <x:c r="P76" s="20" t="inlineStr">
        <x:is>
          <x:t xml:space="preserve"/>
        </x:is>
      </x:c>
      <x:c r="Q76" s="20" t="inlineStr">
        <x:is>
          <x:t xml:space="preserve">https://www.fldoe.org/file/18534/SchoolGrades25.xlsx</x:t>
        </x:is>
      </x:c>
      <x:c r="R76" s="20" t="inlineStr">
        <x:is>
          <x:t xml:space="preserve">School type code 04; Title I=NO; Alternative/ESE=N; coordinates pending NCES/district GIS pull.</x:t>
        </x:is>
      </x:c>
    </x:row>
    <x:row r="77">
      <x:c r="A77" s="20" t="inlineStr">
        <x:is>
          <x:t xml:space="preserve">OSCEOLA</x:t>
        </x:is>
      </x:c>
      <x:c r="B77" s="20" t="inlineStr">
        <x:is>
          <x:t xml:space="preserve">OSCEOLA</x:t>
        </x:is>
      </x:c>
      <x:c r="C77" s="20" t="inlineStr">
        <x:is>
          <x:t xml:space="preserve">490192</x:t>
        </x:is>
      </x:c>
      <x:c r="D77" s="20" t="inlineStr">
        <x:is>
          <x:t xml:space="preserve"/>
        </x:is>
      </x:c>
      <x:c r="E77" s="20" t="inlineStr">
        <x:is>
          <x:t xml:space="preserve">CREATIVE INSPIRATION JOURNEY SCHOOL OF ST CLOUD</x:t>
        </x:is>
      </x:c>
      <x:c r="F77" s="20" t="inlineStr">
        <x:is>
          <x:t xml:space="preserve">Combination</x:t>
        </x:is>
      </x:c>
      <x:c r="G77" s="20" t="inlineStr">
        <x:is>
          <x:t xml:space="preserve">NO</x:t>
        </x:is>
      </x:c>
      <x:c r="H77" s="20" t="inlineStr">
        <x:is>
          <x:t xml:space="preserve">YES</x:t>
        </x:is>
      </x:c>
      <x:c r="I77" s="20" t="inlineStr">
        <x:is>
          <x:t xml:space="preserve"/>
        </x:is>
      </x:c>
      <x:c r="J77" s="20" t="inlineStr">
        <x:is>
          <x:t xml:space="preserve">NO</x:t>
        </x:is>
      </x:c>
      <x:c r="K77" s="20" t="inlineStr">
        <x:is>
          <x:t xml:space="preserve"/>
        </x:is>
      </x:c>
      <x:c r="L77" s="20" t="inlineStr">
        <x:is>
          <x:t xml:space="preserve"/>
        </x:is>
      </x:c>
      <x:c r="M77" s="20" t="inlineStr">
        <x:is>
          <x:t xml:space="preserve"/>
        </x:is>
      </x:c>
      <x:c r="N77" s="20" t="inlineStr">
        <x:is>
          <x:t xml:space="preserve"/>
        </x:is>
      </x:c>
      <x:c r="O77" s="20" t="inlineStr">
        <x:is>
          <x:t xml:space="preserve"/>
        </x:is>
      </x:c>
      <x:c r="P77" s="20" t="inlineStr">
        <x:is>
          <x:t xml:space="preserve"/>
        </x:is>
      </x:c>
      <x:c r="Q77" s="20" t="inlineStr">
        <x:is>
          <x:t xml:space="preserve">https://www.fldoe.org/file/18534/SchoolGrades25.xlsx</x:t>
        </x:is>
      </x:c>
      <x:c r="R77" s="20" t="inlineStr">
        <x:is>
          <x:t xml:space="preserve">School type code 04; Title I=NO; Alternative/ESE=N; coordinates pending NCES/district GIS pull.</x:t>
        </x:is>
      </x:c>
    </x:row>
    <x:row r="78">
      <x:c r="A78" s="20" t="inlineStr">
        <x:is>
          <x:t xml:space="preserve">OSCEOLA</x:t>
        </x:is>
      </x:c>
      <x:c r="B78" s="20" t="inlineStr">
        <x:is>
          <x:t xml:space="preserve">OSCEOLA</x:t>
        </x:is>
      </x:c>
      <x:c r="C78" s="20" t="inlineStr">
        <x:is>
          <x:t xml:space="preserve">490201</x:t>
        </x:is>
      </x:c>
      <x:c r="D78" s="20" t="inlineStr">
        <x:is>
          <x:t xml:space="preserve"/>
        </x:is>
      </x:c>
      <x:c r="E78" s="20" t="inlineStr">
        <x:is>
          <x:t xml:space="preserve">ST. CLOUD HIGH SCHOOL</x:t>
        </x:is>
      </x:c>
      <x:c r="F78" s="20" t="inlineStr">
        <x:is>
          <x:t xml:space="preserve">Senior High</x:t>
        </x:is>
      </x:c>
      <x:c r="G78" s="20" t="inlineStr">
        <x:is>
          <x:t xml:space="preserve">YES</x:t>
        </x:is>
      </x:c>
      <x:c r="H78" s="20" t="inlineStr">
        <x:is>
          <x:t xml:space="preserve">NO</x:t>
        </x:is>
      </x:c>
      <x:c r="I78" s="20" t="inlineStr">
        <x:is>
          <x:t xml:space="preserve"/>
        </x:is>
      </x:c>
      <x:c r="J78" s="20" t="inlineStr">
        <x:is>
          <x:t xml:space="preserve">NO</x:t>
        </x:is>
      </x:c>
      <x:c r="K78" s="20" t="inlineStr">
        <x:is>
          <x:t xml:space="preserve"/>
        </x:is>
      </x:c>
      <x:c r="L78" s="20" t="inlineStr">
        <x:is>
          <x:t xml:space="preserve"/>
        </x:is>
      </x:c>
      <x:c r="M78" s="20" t="inlineStr">
        <x:is>
          <x:t xml:space="preserve"/>
        </x:is>
      </x:c>
      <x:c r="N78" s="20" t="inlineStr">
        <x:is>
          <x:t xml:space="preserve"/>
        </x:is>
      </x:c>
      <x:c r="O78" s="20" t="inlineStr">
        <x:is>
          <x:t xml:space="preserve"/>
        </x:is>
      </x:c>
      <x:c r="P78" s="20" t="inlineStr">
        <x:is>
          <x:t xml:space="preserve"/>
        </x:is>
      </x:c>
      <x:c r="Q78" s="20" t="inlineStr">
        <x:is>
          <x:t xml:space="preserve">https://www.fldoe.org/file/18534/SchoolGrades25.xlsx</x:t>
        </x:is>
      </x:c>
      <x:c r="R78" s="20" t="inlineStr">
        <x:is>
          <x:t xml:space="preserve">School type code 03; Title I=NO; Alternative/ESE=N; coordinates pending NCES/district GIS pull.</x:t>
        </x:is>
      </x:c>
    </x:row>
    <x:row r="79">
      <x:c r="A79" s="20" t="inlineStr">
        <x:is>
          <x:t xml:space="preserve">OSCEOLA</x:t>
        </x:is>
      </x:c>
      <x:c r="B79" s="20" t="inlineStr">
        <x:is>
          <x:t xml:space="preserve">OSCEOLA</x:t>
        </x:is>
      </x:c>
      <x:c r="C79" s="20" t="inlineStr">
        <x:is>
          <x:t xml:space="preserve">490202</x:t>
        </x:is>
      </x:c>
      <x:c r="D79" s="20" t="inlineStr">
        <x:is>
          <x:t xml:space="preserve"/>
        </x:is>
      </x:c>
      <x:c r="E79" s="20" t="inlineStr">
        <x:is>
          <x:t xml:space="preserve">MATER ACADEMY AT ST CLOUD</x:t>
        </x:is>
      </x:c>
      <x:c r="F79" s="20" t="inlineStr">
        <x:is>
          <x:t xml:space="preserve">Combination</x:t>
        </x:is>
      </x:c>
      <x:c r="G79" s="20" t="inlineStr">
        <x:is>
          <x:t xml:space="preserve">NO</x:t>
        </x:is>
      </x:c>
      <x:c r="H79" s="20" t="inlineStr">
        <x:is>
          <x:t xml:space="preserve">YES</x:t>
        </x:is>
      </x:c>
      <x:c r="I79" s="20" t="inlineStr">
        <x:is>
          <x:t xml:space="preserve"/>
        </x:is>
      </x:c>
      <x:c r="J79" s="20" t="inlineStr">
        <x:is>
          <x:t xml:space="preserve">NO</x:t>
        </x:is>
      </x:c>
      <x:c r="K79" s="20" t="inlineStr">
        <x:is>
          <x:t xml:space="preserve"/>
        </x:is>
      </x:c>
      <x:c r="L79" s="20" t="inlineStr">
        <x:is>
          <x:t xml:space="preserve"/>
        </x:is>
      </x:c>
      <x:c r="M79" s="20" t="inlineStr">
        <x:is>
          <x:t xml:space="preserve"/>
        </x:is>
      </x:c>
      <x:c r="N79" s="20" t="inlineStr">
        <x:is>
          <x:t xml:space="preserve"/>
        </x:is>
      </x:c>
      <x:c r="O79" s="20" t="inlineStr">
        <x:is>
          <x:t xml:space="preserve"/>
        </x:is>
      </x:c>
      <x:c r="P79" s="20" t="inlineStr">
        <x:is>
          <x:t xml:space="preserve"/>
        </x:is>
      </x:c>
      <x:c r="Q79" s="20" t="inlineStr">
        <x:is>
          <x:t xml:space="preserve">https://www.fldoe.org/file/18534/SchoolGrades25.xlsx</x:t>
        </x:is>
      </x:c>
      <x:c r="R79" s="20" t="inlineStr">
        <x:is>
          <x:t xml:space="preserve">School type code 04; Title I=YES; Alternative/ESE=N; coordinates pending NCES/district GIS pull.</x:t>
        </x:is>
      </x:c>
    </x:row>
    <x:row r="80">
      <x:c r="A80" s="20" t="inlineStr">
        <x:is>
          <x:t xml:space="preserve">OSCEOLA</x:t>
        </x:is>
      </x:c>
      <x:c r="B80" s="20" t="inlineStr">
        <x:is>
          <x:t xml:space="preserve">OSCEOLA</x:t>
        </x:is>
      </x:c>
      <x:c r="C80" s="20" t="inlineStr">
        <x:is>
          <x:t xml:space="preserve">490203</x:t>
        </x:is>
      </x:c>
      <x:c r="D80" s="20" t="inlineStr">
        <x:is>
          <x:t xml:space="preserve"/>
        </x:is>
      </x:c>
      <x:c r="E80" s="20" t="inlineStr">
        <x:is>
          <x:t xml:space="preserve">VICTORY CHARTER SCHOOL K-5</x:t>
        </x:is>
      </x:c>
      <x:c r="F80" s="20" t="inlineStr">
        <x:is>
          <x:t xml:space="preserve">Elementary</x:t>
        </x:is>
      </x:c>
      <x:c r="G80" s="20" t="inlineStr">
        <x:is>
          <x:t xml:space="preserve">NO</x:t>
        </x:is>
      </x:c>
      <x:c r="H80" s="20" t="inlineStr">
        <x:is>
          <x:t xml:space="preserve">YES</x:t>
        </x:is>
      </x:c>
      <x:c r="I80" s="20" t="inlineStr">
        <x:is>
          <x:t xml:space="preserve"/>
        </x:is>
      </x:c>
      <x:c r="J80" s="20" t="inlineStr">
        <x:is>
          <x:t xml:space="preserve">NO</x:t>
        </x:is>
      </x:c>
      <x:c r="K80" s="20" t="inlineStr">
        <x:is>
          <x:t xml:space="preserve"/>
        </x:is>
      </x:c>
      <x:c r="L80" s="20" t="inlineStr">
        <x:is>
          <x:t xml:space="preserve"/>
        </x:is>
      </x:c>
      <x:c r="M80" s="20" t="inlineStr">
        <x:is>
          <x:t xml:space="preserve"/>
        </x:is>
      </x:c>
      <x:c r="N80" s="20" t="inlineStr">
        <x:is>
          <x:t xml:space="preserve"/>
        </x:is>
      </x:c>
      <x:c r="O80" s="20" t="inlineStr">
        <x:is>
          <x:t xml:space="preserve"/>
        </x:is>
      </x:c>
      <x:c r="P80" s="20" t="inlineStr">
        <x:is>
          <x:t xml:space="preserve"/>
        </x:is>
      </x:c>
      <x:c r="Q80" s="20" t="inlineStr">
        <x:is>
          <x:t xml:space="preserve">https://www.fldoe.org/file/18534/SchoolGrades25.xlsx</x:t>
        </x:is>
      </x:c>
      <x:c r="R80" s="20" t="inlineStr">
        <x:is>
          <x:t xml:space="preserve">School type code 01; Title I=NO; Alternative/ESE=N; coordinates pending NCES/district GIS pull.</x:t>
        </x:is>
      </x:c>
    </x:row>
    <x:row r="81">
      <x:c r="A81" s="20" t="inlineStr">
        <x:is>
          <x:t xml:space="preserve">OSCEOLA</x:t>
        </x:is>
      </x:c>
      <x:c r="B81" s="20" t="inlineStr">
        <x:is>
          <x:t xml:space="preserve">OSCEOLA</x:t>
        </x:is>
      </x:c>
      <x:c r="C81" s="20" t="inlineStr">
        <x:is>
          <x:t xml:space="preserve">490251</x:t>
        </x:is>
      </x:c>
      <x:c r="D81" s="20" t="inlineStr">
        <x:is>
          <x:t xml:space="preserve"/>
        </x:is>
      </x:c>
      <x:c r="E81" s="20" t="inlineStr">
        <x:is>
          <x:t xml:space="preserve">KISSIMMEE MIDDLE SCHOOL</x:t>
        </x:is>
      </x:c>
      <x:c r="F81" s="20" t="inlineStr">
        <x:is>
          <x:t xml:space="preserve">Middle/Junior</x:t>
        </x:is>
      </x:c>
      <x:c r="G81" s="20" t="inlineStr">
        <x:is>
          <x:t xml:space="preserve">YES</x:t>
        </x:is>
      </x:c>
      <x:c r="H81" s="20" t="inlineStr">
        <x:is>
          <x:t xml:space="preserve">NO</x:t>
        </x:is>
      </x:c>
      <x:c r="I81" s="20" t="inlineStr">
        <x:is>
          <x:t xml:space="preserve"/>
        </x:is>
      </x:c>
      <x:c r="J81" s="20" t="inlineStr">
        <x:is>
          <x:t xml:space="preserve">NO</x:t>
        </x:is>
      </x:c>
      <x:c r="K81" s="20" t="inlineStr">
        <x:is>
          <x:t xml:space="preserve"/>
        </x:is>
      </x:c>
      <x:c r="L81" s="20" t="inlineStr">
        <x:is>
          <x:t xml:space="preserve"/>
        </x:is>
      </x:c>
      <x:c r="M81" s="20" t="inlineStr">
        <x:is>
          <x:t xml:space="preserve"/>
        </x:is>
      </x:c>
      <x:c r="N81" s="20" t="inlineStr">
        <x:is>
          <x:t xml:space="preserve"/>
        </x:is>
      </x:c>
      <x:c r="O81" s="20" t="inlineStr">
        <x:is>
          <x:t xml:space="preserve"/>
        </x:is>
      </x:c>
      <x:c r="P81" s="20" t="inlineStr">
        <x:is>
          <x:t xml:space="preserve"/>
        </x:is>
      </x:c>
      <x:c r="Q81" s="20" t="inlineStr">
        <x:is>
          <x:t xml:space="preserve">https://www.fldoe.org/file/18534/SchoolGrades25.xlsx</x:t>
        </x:is>
      </x:c>
      <x:c r="R81" s="20" t="inlineStr">
        <x:is>
          <x:t xml:space="preserve">School type code 02; Title I=YES; Alternative/ESE=N; coordinates pending NCES/district GIS pull.</x:t>
        </x:is>
      </x:c>
    </x:row>
    <x:row r="82">
      <x:c r="A82" s="20" t="inlineStr">
        <x:is>
          <x:t xml:space="preserve">OSCEOLA</x:t>
        </x:is>
      </x:c>
      <x:c r="B82" s="20" t="inlineStr">
        <x:is>
          <x:t xml:space="preserve">OSCEOLA</x:t>
        </x:is>
      </x:c>
      <x:c r="C82" s="20" t="inlineStr">
        <x:is>
          <x:t xml:space="preserve">490252</x:t>
        </x:is>
      </x:c>
      <x:c r="D82" s="20" t="inlineStr">
        <x:is>
          <x:t xml:space="preserve"/>
        </x:is>
      </x:c>
      <x:c r="E82" s="20" t="inlineStr">
        <x:is>
          <x:t xml:space="preserve">HARMONY MIDDLE SCHOOL</x:t>
        </x:is>
      </x:c>
      <x:c r="F82" s="20" t="inlineStr">
        <x:is>
          <x:t xml:space="preserve">Middle/Junior</x:t>
        </x:is>
      </x:c>
      <x:c r="G82" s="20" t="inlineStr">
        <x:is>
          <x:t xml:space="preserve">YES</x:t>
        </x:is>
      </x:c>
      <x:c r="H82" s="20" t="inlineStr">
        <x:is>
          <x:t xml:space="preserve">NO</x:t>
        </x:is>
      </x:c>
      <x:c r="I82" s="20" t="inlineStr">
        <x:is>
          <x:t xml:space="preserve"/>
        </x:is>
      </x:c>
      <x:c r="J82" s="20" t="inlineStr">
        <x:is>
          <x:t xml:space="preserve">NO</x:t>
        </x:is>
      </x:c>
      <x:c r="K82" s="20" t="inlineStr">
        <x:is>
          <x:t xml:space="preserve"/>
        </x:is>
      </x:c>
      <x:c r="L82" s="20" t="inlineStr">
        <x:is>
          <x:t xml:space="preserve"/>
        </x:is>
      </x:c>
      <x:c r="M82" s="20" t="inlineStr">
        <x:is>
          <x:t xml:space="preserve"/>
        </x:is>
      </x:c>
      <x:c r="N82" s="20" t="inlineStr">
        <x:is>
          <x:t xml:space="preserve"/>
        </x:is>
      </x:c>
      <x:c r="O82" s="20" t="inlineStr">
        <x:is>
          <x:t xml:space="preserve"/>
        </x:is>
      </x:c>
      <x:c r="P82" s="20" t="inlineStr">
        <x:is>
          <x:t xml:space="preserve"/>
        </x:is>
      </x:c>
      <x:c r="Q82" s="20" t="inlineStr">
        <x:is>
          <x:t xml:space="preserve">https://www.fldoe.org/file/18534/SchoolGrades25.xlsx</x:t>
        </x:is>
      </x:c>
      <x:c r="R82" s="20" t="inlineStr">
        <x:is>
          <x:t xml:space="preserve">School type code 02; Title I=NO; Alternative/ESE=N; coordinates pending NCES/district GIS pull.</x:t>
        </x:is>
      </x:c>
    </x:row>
    <x:row r="83">
      <x:c r="A83" s="20" t="inlineStr">
        <x:is>
          <x:t xml:space="preserve">OSCEOLA</x:t>
        </x:is>
      </x:c>
      <x:c r="B83" s="20" t="inlineStr">
        <x:is>
          <x:t xml:space="preserve">OSCEOLA</x:t>
        </x:is>
      </x:c>
      <x:c r="C83" s="20" t="inlineStr">
        <x:is>
          <x:t xml:space="preserve">490271</x:t>
        </x:is>
      </x:c>
      <x:c r="D83" s="20" t="inlineStr">
        <x:is>
          <x:t xml:space="preserve"/>
        </x:is>
      </x:c>
      <x:c r="E83" s="20" t="inlineStr">
        <x:is>
          <x:t xml:space="preserve">MICHIGAN AVENUE ELEMENTARY SCHOOL</x:t>
        </x:is>
      </x:c>
      <x:c r="F83" s="20" t="inlineStr">
        <x:is>
          <x:t xml:space="preserve">Elementary</x:t>
        </x:is>
      </x:c>
      <x:c r="G83" s="20" t="inlineStr">
        <x:is>
          <x:t xml:space="preserve">YES</x:t>
        </x:is>
      </x:c>
      <x:c r="H83" s="20" t="inlineStr">
        <x:is>
          <x:t xml:space="preserve">NO</x:t>
        </x:is>
      </x:c>
      <x:c r="I83" s="20" t="inlineStr">
        <x:is>
          <x:t xml:space="preserve"/>
        </x:is>
      </x:c>
      <x:c r="J83" s="20" t="inlineStr">
        <x:is>
          <x:t xml:space="preserve">NO</x:t>
        </x:is>
      </x:c>
      <x:c r="K83" s="20" t="inlineStr">
        <x:is>
          <x:t xml:space="preserve"/>
        </x:is>
      </x:c>
      <x:c r="L83" s="20" t="inlineStr">
        <x:is>
          <x:t xml:space="preserve"/>
        </x:is>
      </x:c>
      <x:c r="M83" s="20" t="inlineStr">
        <x:is>
          <x:t xml:space="preserve"/>
        </x:is>
      </x:c>
      <x:c r="N83" s="20" t="inlineStr">
        <x:is>
          <x:t xml:space="preserve"/>
        </x:is>
      </x:c>
      <x:c r="O83" s="20" t="inlineStr">
        <x:is>
          <x:t xml:space="preserve"/>
        </x:is>
      </x:c>
      <x:c r="P83" s="20" t="inlineStr">
        <x:is>
          <x:t xml:space="preserve"/>
        </x:is>
      </x:c>
      <x:c r="Q83" s="20" t="inlineStr">
        <x:is>
          <x:t xml:space="preserve">https://www.fldoe.org/file/18534/SchoolGrades25.xlsx</x:t>
        </x:is>
      </x:c>
      <x:c r="R83" s="20" t="inlineStr">
        <x:is>
          <x:t xml:space="preserve">School type code 01; Title I=YES; Alternative/ESE=N; coordinates pending NCES/district GIS pull.</x:t>
        </x:is>
      </x:c>
    </x:row>
    <x:row r="84">
      <x:c r="A84" s="20" t="inlineStr">
        <x:is>
          <x:t xml:space="preserve">OSCEOLA</x:t>
        </x:is>
      </x:c>
      <x:c r="B84" s="20" t="inlineStr">
        <x:is>
          <x:t xml:space="preserve">OSCEOLA</x:t>
        </x:is>
      </x:c>
      <x:c r="C84" s="20" t="inlineStr">
        <x:is>
          <x:t xml:space="preserve">490272</x:t>
        </x:is>
      </x:c>
      <x:c r="D84" s="20" t="inlineStr">
        <x:is>
          <x:t xml:space="preserve"/>
        </x:is>
      </x:c>
      <x:c r="E84" s="20" t="inlineStr">
        <x:is>
          <x:t xml:space="preserve">ST. CLOUD MIDDLE SCHOOL</x:t>
        </x:is>
      </x:c>
      <x:c r="F84" s="20" t="inlineStr">
        <x:is>
          <x:t xml:space="preserve">Middle/Junior</x:t>
        </x:is>
      </x:c>
      <x:c r="G84" s="20" t="inlineStr">
        <x:is>
          <x:t xml:space="preserve">YES</x:t>
        </x:is>
      </x:c>
      <x:c r="H84" s="20" t="inlineStr">
        <x:is>
          <x:t xml:space="preserve">NO</x:t>
        </x:is>
      </x:c>
      <x:c r="I84" s="20" t="inlineStr">
        <x:is>
          <x:t xml:space="preserve"/>
        </x:is>
      </x:c>
      <x:c r="J84" s="20" t="inlineStr">
        <x:is>
          <x:t xml:space="preserve">NO</x:t>
        </x:is>
      </x:c>
      <x:c r="K84" s="20" t="inlineStr">
        <x:is>
          <x:t xml:space="preserve"/>
        </x:is>
      </x:c>
      <x:c r="L84" s="20" t="inlineStr">
        <x:is>
          <x:t xml:space="preserve"/>
        </x:is>
      </x:c>
      <x:c r="M84" s="20" t="inlineStr">
        <x:is>
          <x:t xml:space="preserve"/>
        </x:is>
      </x:c>
      <x:c r="N84" s="20" t="inlineStr">
        <x:is>
          <x:t xml:space="preserve"/>
        </x:is>
      </x:c>
      <x:c r="O84" s="20" t="inlineStr">
        <x:is>
          <x:t xml:space="preserve"/>
        </x:is>
      </x:c>
      <x:c r="P84" s="20" t="inlineStr">
        <x:is>
          <x:t xml:space="preserve"/>
        </x:is>
      </x:c>
      <x:c r="Q84" s="20" t="inlineStr">
        <x:is>
          <x:t xml:space="preserve">https://www.fldoe.org/file/18534/SchoolGrades25.xlsx</x:t>
        </x:is>
      </x:c>
      <x:c r="R84" s="20" t="inlineStr">
        <x:is>
          <x:t xml:space="preserve">School type code 02; Title I=NO; Alternative/ESE=N; coordinates pending NCES/district GIS pull.</x:t>
        </x:is>
      </x:c>
    </x:row>
    <x:row r="85">
      <x:c r="A85" s="20" t="inlineStr">
        <x:is>
          <x:t xml:space="preserve">OSCEOLA</x:t>
        </x:is>
      </x:c>
      <x:c r="B85" s="20" t="inlineStr">
        <x:is>
          <x:t xml:space="preserve">OSCEOLA</x:t>
        </x:is>
      </x:c>
      <x:c r="C85" s="20" t="inlineStr">
        <x:is>
          <x:t xml:space="preserve">490300</x:t>
        </x:is>
      </x:c>
      <x:c r="D85" s="20" t="inlineStr">
        <x:is>
          <x:t xml:space="preserve"/>
        </x:is>
      </x:c>
      <x:c r="E85" s="20" t="inlineStr">
        <x:is>
          <x:t xml:space="preserve">KOA ELEMENTARY SCHOOL</x:t>
        </x:is>
      </x:c>
      <x:c r="F85" s="20" t="inlineStr">
        <x:is>
          <x:t xml:space="preserve">Elementary</x:t>
        </x:is>
      </x:c>
      <x:c r="G85" s="20" t="inlineStr">
        <x:is>
          <x:t xml:space="preserve">YES</x:t>
        </x:is>
      </x:c>
      <x:c r="H85" s="20" t="inlineStr">
        <x:is>
          <x:t xml:space="preserve">NO</x:t>
        </x:is>
      </x:c>
      <x:c r="I85" s="20" t="inlineStr">
        <x:is>
          <x:t xml:space="preserve"/>
        </x:is>
      </x:c>
      <x:c r="J85" s="20" t="inlineStr">
        <x:is>
          <x:t xml:space="preserve">NO</x:t>
        </x:is>
      </x:c>
      <x:c r="K85" s="20" t="inlineStr">
        <x:is>
          <x:t xml:space="preserve"/>
        </x:is>
      </x:c>
      <x:c r="L85" s="20" t="inlineStr">
        <x:is>
          <x:t xml:space="preserve"/>
        </x:is>
      </x:c>
      <x:c r="M85" s="20" t="inlineStr">
        <x:is>
          <x:t xml:space="preserve"/>
        </x:is>
      </x:c>
      <x:c r="N85" s="20" t="inlineStr">
        <x:is>
          <x:t xml:space="preserve"/>
        </x:is>
      </x:c>
      <x:c r="O85" s="20" t="inlineStr">
        <x:is>
          <x:t xml:space="preserve"/>
        </x:is>
      </x:c>
      <x:c r="P85" s="20" t="inlineStr">
        <x:is>
          <x:t xml:space="preserve"/>
        </x:is>
      </x:c>
      <x:c r="Q85" s="20" t="inlineStr">
        <x:is>
          <x:t xml:space="preserve">https://www.fldoe.org/file/18534/SchoolGrades25.xlsx</x:t>
        </x:is>
      </x:c>
      <x:c r="R85" s="20" t="inlineStr">
        <x:is>
          <x:t xml:space="preserve">School type code 01; Title I=YES; Alternative/ESE=N; coordinates pending NCES/district GIS pull.</x:t>
        </x:is>
      </x:c>
    </x:row>
    <x:row r="86">
      <x:c r="A86" s="20" t="inlineStr">
        <x:is>
          <x:t xml:space="preserve">OSCEOLA</x:t>
        </x:is>
      </x:c>
      <x:c r="B86" s="20" t="inlineStr">
        <x:is>
          <x:t xml:space="preserve">OSCEOLA</x:t>
        </x:is>
      </x:c>
      <x:c r="C86" s="20" t="inlineStr">
        <x:is>
          <x:t xml:space="preserve">490301</x:t>
        </x:is>
      </x:c>
      <x:c r="D86" s="20" t="inlineStr">
        <x:is>
          <x:t xml:space="preserve"/>
        </x:is>
      </x:c>
      <x:c r="E86" s="20" t="inlineStr">
        <x:is>
          <x:t xml:space="preserve">REEDY CREEK ELEMENTARY SCHOOL</x:t>
        </x:is>
      </x:c>
      <x:c r="F86" s="20" t="inlineStr">
        <x:is>
          <x:t xml:space="preserve">Elementary</x:t>
        </x:is>
      </x:c>
      <x:c r="G86" s="20" t="inlineStr">
        <x:is>
          <x:t xml:space="preserve">YES</x:t>
        </x:is>
      </x:c>
      <x:c r="H86" s="20" t="inlineStr">
        <x:is>
          <x:t xml:space="preserve">NO</x:t>
        </x:is>
      </x:c>
      <x:c r="I86" s="20" t="inlineStr">
        <x:is>
          <x:t xml:space="preserve"/>
        </x:is>
      </x:c>
      <x:c r="J86" s="20" t="inlineStr">
        <x:is>
          <x:t xml:space="preserve">NO</x:t>
        </x:is>
      </x:c>
      <x:c r="K86" s="20" t="inlineStr">
        <x:is>
          <x:t xml:space="preserve"/>
        </x:is>
      </x:c>
      <x:c r="L86" s="20" t="inlineStr">
        <x:is>
          <x:t xml:space="preserve"/>
        </x:is>
      </x:c>
      <x:c r="M86" s="20" t="inlineStr">
        <x:is>
          <x:t xml:space="preserve"/>
        </x:is>
      </x:c>
      <x:c r="N86" s="20" t="inlineStr">
        <x:is>
          <x:t xml:space="preserve"/>
        </x:is>
      </x:c>
      <x:c r="O86" s="20" t="inlineStr">
        <x:is>
          <x:t xml:space="preserve"/>
        </x:is>
      </x:c>
      <x:c r="P86" s="20" t="inlineStr">
        <x:is>
          <x:t xml:space="preserve"/>
        </x:is>
      </x:c>
      <x:c r="Q86" s="20" t="inlineStr">
        <x:is>
          <x:t xml:space="preserve">https://www.fldoe.org/file/18534/SchoolGrades25.xlsx</x:t>
        </x:is>
      </x:c>
      <x:c r="R86" s="20" t="inlineStr">
        <x:is>
          <x:t xml:space="preserve">School type code 01; Title I=YES; Alternative/ESE=N; coordinates pending NCES/district GIS pull.</x:t>
        </x:is>
      </x:c>
    </x:row>
    <x:row r="87">
      <x:c r="A87" s="20" t="inlineStr">
        <x:is>
          <x:t xml:space="preserve">OSCEOLA</x:t>
        </x:is>
      </x:c>
      <x:c r="B87" s="20" t="inlineStr">
        <x:is>
          <x:t xml:space="preserve">OSCEOLA</x:t>
        </x:is>
      </x:c>
      <x:c r="C87" s="20" t="inlineStr">
        <x:is>
          <x:t xml:space="preserve">490302</x:t>
        </x:is>
      </x:c>
      <x:c r="D87" s="20" t="inlineStr">
        <x:is>
          <x:t xml:space="preserve"/>
        </x:is>
      </x:c>
      <x:c r="E87" s="20" t="inlineStr">
        <x:is>
          <x:t xml:space="preserve">WESTSIDE K-8 SCHOOL</x:t>
        </x:is>
      </x:c>
      <x:c r="F87" s="20" t="inlineStr">
        <x:is>
          <x:t xml:space="preserve">Combination</x:t>
        </x:is>
      </x:c>
      <x:c r="G87" s="20" t="inlineStr">
        <x:is>
          <x:t xml:space="preserve">YES</x:t>
        </x:is>
      </x:c>
      <x:c r="H87" s="20" t="inlineStr">
        <x:is>
          <x:t xml:space="preserve">NO</x:t>
        </x:is>
      </x:c>
      <x:c r="I87" s="20" t="inlineStr">
        <x:is>
          <x:t xml:space="preserve"/>
        </x:is>
      </x:c>
      <x:c r="J87" s="20" t="inlineStr">
        <x:is>
          <x:t xml:space="preserve">NO</x:t>
        </x:is>
      </x:c>
      <x:c r="K87" s="20" t="inlineStr">
        <x:is>
          <x:t xml:space="preserve"/>
        </x:is>
      </x:c>
      <x:c r="L87" s="20" t="inlineStr">
        <x:is>
          <x:t xml:space="preserve"/>
        </x:is>
      </x:c>
      <x:c r="M87" s="20" t="inlineStr">
        <x:is>
          <x:t xml:space="preserve"/>
        </x:is>
      </x:c>
      <x:c r="N87" s="20" t="inlineStr">
        <x:is>
          <x:t xml:space="preserve"/>
        </x:is>
      </x:c>
      <x:c r="O87" s="20" t="inlineStr">
        <x:is>
          <x:t xml:space="preserve"/>
        </x:is>
      </x:c>
      <x:c r="P87" s="20" t="inlineStr">
        <x:is>
          <x:t xml:space="preserve"/>
        </x:is>
      </x:c>
      <x:c r="Q87" s="20" t="inlineStr">
        <x:is>
          <x:t xml:space="preserve">https://www.fldoe.org/file/18534/SchoolGrades25.xlsx</x:t>
        </x:is>
      </x:c>
      <x:c r="R87" s="20" t="inlineStr">
        <x:is>
          <x:t xml:space="preserve">School type code 04; Title I=YES; Alternative/ESE=N; coordinates pending NCES/district GIS pull.</x:t>
        </x:is>
      </x:c>
    </x:row>
    <x:row r="88">
      <x:c r="A88" s="20" t="inlineStr">
        <x:is>
          <x:t xml:space="preserve">OSCEOLA</x:t>
        </x:is>
      </x:c>
      <x:c r="B88" s="20" t="inlineStr">
        <x:is>
          <x:t xml:space="preserve">OSCEOLA</x:t>
        </x:is>
      </x:c>
      <x:c r="C88" s="20" t="inlineStr">
        <x:is>
          <x:t xml:space="preserve">490311</x:t>
        </x:is>
      </x:c>
      <x:c r="D88" s="20" t="inlineStr">
        <x:is>
          <x:t xml:space="preserve"/>
        </x:is>
      </x:c>
      <x:c r="E88" s="20" t="inlineStr">
        <x:is>
          <x:t xml:space="preserve">NEPTUNE MIDDLE SCHOOL</x:t>
        </x:is>
      </x:c>
      <x:c r="F88" s="20" t="inlineStr">
        <x:is>
          <x:t xml:space="preserve">Middle/Junior</x:t>
        </x:is>
      </x:c>
      <x:c r="G88" s="20" t="inlineStr">
        <x:is>
          <x:t xml:space="preserve">YES</x:t>
        </x:is>
      </x:c>
      <x:c r="H88" s="20" t="inlineStr">
        <x:is>
          <x:t xml:space="preserve">NO</x:t>
        </x:is>
      </x:c>
      <x:c r="I88" s="20" t="inlineStr">
        <x:is>
          <x:t xml:space="preserve"/>
        </x:is>
      </x:c>
      <x:c r="J88" s="20" t="inlineStr">
        <x:is>
          <x:t xml:space="preserve">NO</x:t>
        </x:is>
      </x:c>
      <x:c r="K88" s="20" t="inlineStr">
        <x:is>
          <x:t xml:space="preserve"/>
        </x:is>
      </x:c>
      <x:c r="L88" s="20" t="inlineStr">
        <x:is>
          <x:t xml:space="preserve"/>
        </x:is>
      </x:c>
      <x:c r="M88" s="20" t="inlineStr">
        <x:is>
          <x:t xml:space="preserve"/>
        </x:is>
      </x:c>
      <x:c r="N88" s="20" t="inlineStr">
        <x:is>
          <x:t xml:space="preserve"/>
        </x:is>
      </x:c>
      <x:c r="O88" s="20" t="inlineStr">
        <x:is>
          <x:t xml:space="preserve"/>
        </x:is>
      </x:c>
      <x:c r="P88" s="20" t="inlineStr">
        <x:is>
          <x:t xml:space="preserve"/>
        </x:is>
      </x:c>
      <x:c r="Q88" s="20" t="inlineStr">
        <x:is>
          <x:t xml:space="preserve">https://www.fldoe.org/file/18534/SchoolGrades25.xlsx</x:t>
        </x:is>
      </x:c>
      <x:c r="R88" s="20" t="inlineStr">
        <x:is>
          <x:t xml:space="preserve">School type code 02; Title I=YES; Alternative/ESE=N; coordinates pending NCES/district GIS pull.</x:t>
        </x:is>
      </x:c>
    </x:row>
    <x:row r="89">
      <x:c r="A89" s="20" t="inlineStr">
        <x:is>
          <x:t xml:space="preserve">OSCEOLA</x:t>
        </x:is>
      </x:c>
      <x:c r="B89" s="20" t="inlineStr">
        <x:is>
          <x:t xml:space="preserve">OSCEOLA</x:t>
        </x:is>
      </x:c>
      <x:c r="C89" s="20" t="inlineStr">
        <x:is>
          <x:t xml:space="preserve">490321</x:t>
        </x:is>
      </x:c>
      <x:c r="D89" s="20" t="inlineStr">
        <x:is>
          <x:t xml:space="preserve"/>
        </x:is>
      </x:c>
      <x:c r="E89" s="20" t="inlineStr">
        <x:is>
          <x:t xml:space="preserve">VENTURA ELEMENTARY SCHOOL</x:t>
        </x:is>
      </x:c>
      <x:c r="F89" s="20" t="inlineStr">
        <x:is>
          <x:t xml:space="preserve">Elementary</x:t>
        </x:is>
      </x:c>
      <x:c r="G89" s="20" t="inlineStr">
        <x:is>
          <x:t xml:space="preserve">YES</x:t>
        </x:is>
      </x:c>
      <x:c r="H89" s="20" t="inlineStr">
        <x:is>
          <x:t xml:space="preserve">NO</x:t>
        </x:is>
      </x:c>
      <x:c r="I89" s="20" t="inlineStr">
        <x:is>
          <x:t xml:space="preserve"/>
        </x:is>
      </x:c>
      <x:c r="J89" s="20" t="inlineStr">
        <x:is>
          <x:t xml:space="preserve">NO</x:t>
        </x:is>
      </x:c>
      <x:c r="K89" s="20" t="inlineStr">
        <x:is>
          <x:t xml:space="preserve"/>
        </x:is>
      </x:c>
      <x:c r="L89" s="20" t="inlineStr">
        <x:is>
          <x:t xml:space="preserve"/>
        </x:is>
      </x:c>
      <x:c r="M89" s="20" t="inlineStr">
        <x:is>
          <x:t xml:space="preserve"/>
        </x:is>
      </x:c>
      <x:c r="N89" s="20" t="inlineStr">
        <x:is>
          <x:t xml:space="preserve"/>
        </x:is>
      </x:c>
      <x:c r="O89" s="20" t="inlineStr">
        <x:is>
          <x:t xml:space="preserve"/>
        </x:is>
      </x:c>
      <x:c r="P89" s="20" t="inlineStr">
        <x:is>
          <x:t xml:space="preserve"/>
        </x:is>
      </x:c>
      <x:c r="Q89" s="20" t="inlineStr">
        <x:is>
          <x:t xml:space="preserve">https://www.fldoe.org/file/18534/SchoolGrades25.xlsx</x:t>
        </x:is>
      </x:c>
      <x:c r="R89" s="20" t="inlineStr">
        <x:is>
          <x:t xml:space="preserve">School type code 01; Title I=YES; Alternative/ESE=N; coordinates pending NCES/district GIS pull.</x:t>
        </x:is>
      </x:c>
    </x:row>
    <x:row r="90">
      <x:c r="A90" s="20" t="inlineStr">
        <x:is>
          <x:t xml:space="preserve">OSCEOLA</x:t>
        </x:is>
      </x:c>
      <x:c r="B90" s="20" t="inlineStr">
        <x:is>
          <x:t xml:space="preserve">OSCEOLA</x:t>
        </x:is>
      </x:c>
      <x:c r="C90" s="20" t="inlineStr">
        <x:is>
          <x:t xml:space="preserve">490341</x:t>
        </x:is>
      </x:c>
      <x:c r="D90" s="20" t="inlineStr">
        <x:is>
          <x:t xml:space="preserve"/>
        </x:is>
      </x:c>
      <x:c r="E90" s="20" t="inlineStr">
        <x:is>
          <x:t xml:space="preserve">HORIZON MIDDLE SCHOOL</x:t>
        </x:is>
      </x:c>
      <x:c r="F90" s="20" t="inlineStr">
        <x:is>
          <x:t xml:space="preserve">Middle/Junior</x:t>
        </x:is>
      </x:c>
      <x:c r="G90" s="20" t="inlineStr">
        <x:is>
          <x:t xml:space="preserve">YES</x:t>
        </x:is>
      </x:c>
      <x:c r="H90" s="20" t="inlineStr">
        <x:is>
          <x:t xml:space="preserve">NO</x:t>
        </x:is>
      </x:c>
      <x:c r="I90" s="20" t="inlineStr">
        <x:is>
          <x:t xml:space="preserve"/>
        </x:is>
      </x:c>
      <x:c r="J90" s="20" t="inlineStr">
        <x:is>
          <x:t xml:space="preserve">NO</x:t>
        </x:is>
      </x:c>
      <x:c r="K90" s="20" t="inlineStr">
        <x:is>
          <x:t xml:space="preserve"/>
        </x:is>
      </x:c>
      <x:c r="L90" s="20" t="inlineStr">
        <x:is>
          <x:t xml:space="preserve"/>
        </x:is>
      </x:c>
      <x:c r="M90" s="20" t="inlineStr">
        <x:is>
          <x:t xml:space="preserve"/>
        </x:is>
      </x:c>
      <x:c r="N90" s="20" t="inlineStr">
        <x:is>
          <x:t xml:space="preserve"/>
        </x:is>
      </x:c>
      <x:c r="O90" s="20" t="inlineStr">
        <x:is>
          <x:t xml:space="preserve"/>
        </x:is>
      </x:c>
      <x:c r="P90" s="20" t="inlineStr">
        <x:is>
          <x:t xml:space="preserve"/>
        </x:is>
      </x:c>
      <x:c r="Q90" s="20" t="inlineStr">
        <x:is>
          <x:t xml:space="preserve">https://www.fldoe.org/file/18534/SchoolGrades25.xlsx</x:t>
        </x:is>
      </x:c>
      <x:c r="R90" s="20" t="inlineStr">
        <x:is>
          <x:t xml:space="preserve">School type code 02; Title I=YES; Alternative/ESE=N; coordinates pending NCES/district GIS pull.</x:t>
        </x:is>
      </x:c>
    </x:row>
    <x:row r="91">
      <x:c r="A91" s="20" t="inlineStr">
        <x:is>
          <x:t xml:space="preserve">OSCEOLA</x:t>
        </x:is>
      </x:c>
      <x:c r="B91" s="20" t="inlineStr">
        <x:is>
          <x:t xml:space="preserve">OSCEOLA</x:t>
        </x:is>
      </x:c>
      <x:c r="C91" s="20" t="inlineStr">
        <x:is>
          <x:t xml:space="preserve">490401</x:t>
        </x:is>
      </x:c>
      <x:c r="D91" s="20" t="inlineStr">
        <x:is>
          <x:t xml:space="preserve"/>
        </x:is>
      </x:c>
      <x:c r="E91" s="20" t="inlineStr">
        <x:is>
          <x:t xml:space="preserve">BOGGY CREEK ELEMENTARY SCHOOL</x:t>
        </x:is>
      </x:c>
      <x:c r="F91" s="20" t="inlineStr">
        <x:is>
          <x:t xml:space="preserve">Elementary</x:t>
        </x:is>
      </x:c>
      <x:c r="G91" s="20" t="inlineStr">
        <x:is>
          <x:t xml:space="preserve">YES</x:t>
        </x:is>
      </x:c>
      <x:c r="H91" s="20" t="inlineStr">
        <x:is>
          <x:t xml:space="preserve">NO</x:t>
        </x:is>
      </x:c>
      <x:c r="I91" s="20" t="inlineStr">
        <x:is>
          <x:t xml:space="preserve"/>
        </x:is>
      </x:c>
      <x:c r="J91" s="20" t="inlineStr">
        <x:is>
          <x:t xml:space="preserve">NO</x:t>
        </x:is>
      </x:c>
      <x:c r="K91" s="20" t="inlineStr">
        <x:is>
          <x:t xml:space="preserve"/>
        </x:is>
      </x:c>
      <x:c r="L91" s="20" t="inlineStr">
        <x:is>
          <x:t xml:space="preserve"/>
        </x:is>
      </x:c>
      <x:c r="M91" s="20" t="inlineStr">
        <x:is>
          <x:t xml:space="preserve"/>
        </x:is>
      </x:c>
      <x:c r="N91" s="20" t="inlineStr">
        <x:is>
          <x:t xml:space="preserve"/>
        </x:is>
      </x:c>
      <x:c r="O91" s="20" t="inlineStr">
        <x:is>
          <x:t xml:space="preserve"/>
        </x:is>
      </x:c>
      <x:c r="P91" s="20" t="inlineStr">
        <x:is>
          <x:t xml:space="preserve"/>
        </x:is>
      </x:c>
      <x:c r="Q91" s="20" t="inlineStr">
        <x:is>
          <x:t xml:space="preserve">https://www.fldoe.org/file/18534/SchoolGrades25.xlsx</x:t>
        </x:is>
      </x:c>
      <x:c r="R91" s="20" t="inlineStr">
        <x:is>
          <x:t xml:space="preserve">School type code 01; Title I=YES; Alternative/ESE=N; coordinates pending NCES/district GIS pull.</x:t>
        </x:is>
      </x:c>
    </x:row>
    <x:row r="92">
      <x:c r="A92" s="20" t="inlineStr">
        <x:is>
          <x:t xml:space="preserve">OSCEOLA</x:t>
        </x:is>
      </x:c>
      <x:c r="B92" s="20" t="inlineStr">
        <x:is>
          <x:t xml:space="preserve">OSCEOLA</x:t>
        </x:is>
      </x:c>
      <x:c r="C92" s="20" t="inlineStr">
        <x:is>
          <x:t xml:space="preserve">490501</x:t>
        </x:is>
      </x:c>
      <x:c r="D92" s="20" t="inlineStr">
        <x:is>
          <x:t xml:space="preserve"/>
        </x:is>
      </x:c>
      <x:c r="E92" s="20" t="inlineStr">
        <x:is>
          <x:t xml:space="preserve">HICKORY TREE ELEMENTARY SCHOOL</x:t>
        </x:is>
      </x:c>
      <x:c r="F92" s="20" t="inlineStr">
        <x:is>
          <x:t xml:space="preserve">Elementary</x:t>
        </x:is>
      </x:c>
      <x:c r="G92" s="20" t="inlineStr">
        <x:is>
          <x:t xml:space="preserve">YES</x:t>
        </x:is>
      </x:c>
      <x:c r="H92" s="20" t="inlineStr">
        <x:is>
          <x:t xml:space="preserve">NO</x:t>
        </x:is>
      </x:c>
      <x:c r="I92" s="20" t="inlineStr">
        <x:is>
          <x:t xml:space="preserve"/>
        </x:is>
      </x:c>
      <x:c r="J92" s="20" t="inlineStr">
        <x:is>
          <x:t xml:space="preserve">NO</x:t>
        </x:is>
      </x:c>
      <x:c r="K92" s="20" t="inlineStr">
        <x:is>
          <x:t xml:space="preserve"/>
        </x:is>
      </x:c>
      <x:c r="L92" s="20" t="inlineStr">
        <x:is>
          <x:t xml:space="preserve"/>
        </x:is>
      </x:c>
      <x:c r="M92" s="20" t="inlineStr">
        <x:is>
          <x:t xml:space="preserve"/>
        </x:is>
      </x:c>
      <x:c r="N92" s="20" t="inlineStr">
        <x:is>
          <x:t xml:space="preserve"/>
        </x:is>
      </x:c>
      <x:c r="O92" s="20" t="inlineStr">
        <x:is>
          <x:t xml:space="preserve"/>
        </x:is>
      </x:c>
      <x:c r="P92" s="20" t="inlineStr">
        <x:is>
          <x:t xml:space="preserve"/>
        </x:is>
      </x:c>
      <x:c r="Q92" s="20" t="inlineStr">
        <x:is>
          <x:t xml:space="preserve">https://www.fldoe.org/file/18534/SchoolGrades25.xlsx</x:t>
        </x:is>
      </x:c>
      <x:c r="R92" s="20" t="inlineStr">
        <x:is>
          <x:t xml:space="preserve">School type code 01; Title I=NO; Alternative/ESE=N; coordinates pending NCES/district GIS pull.</x:t>
        </x:is>
      </x:c>
    </x:row>
    <x:row r="93">
      <x:c r="A93" s="20" t="inlineStr">
        <x:is>
          <x:t xml:space="preserve">OSCEOLA</x:t>
        </x:is>
      </x:c>
      <x:c r="B93" s="20" t="inlineStr">
        <x:is>
          <x:t xml:space="preserve">OSCEOLA</x:t>
        </x:is>
      </x:c>
      <x:c r="C93" s="20" t="inlineStr">
        <x:is>
          <x:t xml:space="preserve">490601</x:t>
        </x:is>
      </x:c>
      <x:c r="D93" s="20" t="inlineStr">
        <x:is>
          <x:t xml:space="preserve"/>
        </x:is>
      </x:c>
      <x:c r="E93" s="20" t="inlineStr">
        <x:is>
          <x:t xml:space="preserve">GATEWAY HIGH SCHOOL</x:t>
        </x:is>
      </x:c>
      <x:c r="F93" s="20" t="inlineStr">
        <x:is>
          <x:t xml:space="preserve">Senior High</x:t>
        </x:is>
      </x:c>
      <x:c r="G93" s="20" t="inlineStr">
        <x:is>
          <x:t xml:space="preserve">YES</x:t>
        </x:is>
      </x:c>
      <x:c r="H93" s="20" t="inlineStr">
        <x:is>
          <x:t xml:space="preserve">NO</x:t>
        </x:is>
      </x:c>
      <x:c r="I93" s="20" t="inlineStr">
        <x:is>
          <x:t xml:space="preserve"/>
        </x:is>
      </x:c>
      <x:c r="J93" s="20" t="inlineStr">
        <x:is>
          <x:t xml:space="preserve">NO</x:t>
        </x:is>
      </x:c>
      <x:c r="K93" s="20" t="inlineStr">
        <x:is>
          <x:t xml:space="preserve"/>
        </x:is>
      </x:c>
      <x:c r="L93" s="20" t="inlineStr">
        <x:is>
          <x:t xml:space="preserve"/>
        </x:is>
      </x:c>
      <x:c r="M93" s="20" t="inlineStr">
        <x:is>
          <x:t xml:space="preserve"/>
        </x:is>
      </x:c>
      <x:c r="N93" s="20" t="inlineStr">
        <x:is>
          <x:t xml:space="preserve"/>
        </x:is>
      </x:c>
      <x:c r="O93" s="20" t="inlineStr">
        <x:is>
          <x:t xml:space="preserve"/>
        </x:is>
      </x:c>
      <x:c r="P93" s="20" t="inlineStr">
        <x:is>
          <x:t xml:space="preserve"/>
        </x:is>
      </x:c>
      <x:c r="Q93" s="20" t="inlineStr">
        <x:is>
          <x:t xml:space="preserve">https://www.fldoe.org/file/18534/SchoolGrades25.xlsx</x:t>
        </x:is>
      </x:c>
      <x:c r="R93" s="20" t="inlineStr">
        <x:is>
          <x:t xml:space="preserve">School type code 03; Title I=YES; Alternative/ESE=N; coordinates pending NCES/district GIS pull.</x:t>
        </x:is>
      </x:c>
    </x:row>
    <x:row r="94">
      <x:c r="A94" s="20" t="inlineStr">
        <x:is>
          <x:t xml:space="preserve">OSCEOLA</x:t>
        </x:is>
      </x:c>
      <x:c r="B94" s="20" t="inlineStr">
        <x:is>
          <x:t xml:space="preserve">OSCEOLA</x:t>
        </x:is>
      </x:c>
      <x:c r="C94" s="20" t="inlineStr">
        <x:is>
          <x:t xml:space="preserve">490701</x:t>
        </x:is>
      </x:c>
      <x:c r="D94" s="20" t="inlineStr">
        <x:is>
          <x:t xml:space="preserve"/>
        </x:is>
      </x:c>
      <x:c r="E94" s="20" t="inlineStr">
        <x:is>
          <x:t xml:space="preserve">MILL CREEK ELEMENTARY SCHOOL</x:t>
        </x:is>
      </x:c>
      <x:c r="F94" s="20" t="inlineStr">
        <x:is>
          <x:t xml:space="preserve">Elementary</x:t>
        </x:is>
      </x:c>
      <x:c r="G94" s="20" t="inlineStr">
        <x:is>
          <x:t xml:space="preserve">YES</x:t>
        </x:is>
      </x:c>
      <x:c r="H94" s="20" t="inlineStr">
        <x:is>
          <x:t xml:space="preserve">NO</x:t>
        </x:is>
      </x:c>
      <x:c r="I94" s="20" t="inlineStr">
        <x:is>
          <x:t xml:space="preserve"/>
        </x:is>
      </x:c>
      <x:c r="J94" s="20" t="inlineStr">
        <x:is>
          <x:t xml:space="preserve">NO</x:t>
        </x:is>
      </x:c>
      <x:c r="K94" s="20" t="inlineStr">
        <x:is>
          <x:t xml:space="preserve"/>
        </x:is>
      </x:c>
      <x:c r="L94" s="20" t="inlineStr">
        <x:is>
          <x:t xml:space="preserve"/>
        </x:is>
      </x:c>
      <x:c r="M94" s="20" t="inlineStr">
        <x:is>
          <x:t xml:space="preserve"/>
        </x:is>
      </x:c>
      <x:c r="N94" s="20" t="inlineStr">
        <x:is>
          <x:t xml:space="preserve"/>
        </x:is>
      </x:c>
      <x:c r="O94" s="20" t="inlineStr">
        <x:is>
          <x:t xml:space="preserve"/>
        </x:is>
      </x:c>
      <x:c r="P94" s="20" t="inlineStr">
        <x:is>
          <x:t xml:space="preserve"/>
        </x:is>
      </x:c>
      <x:c r="Q94" s="20" t="inlineStr">
        <x:is>
          <x:t xml:space="preserve">https://www.fldoe.org/file/18534/SchoolGrades25.xlsx</x:t>
        </x:is>
      </x:c>
      <x:c r="R94" s="20" t="inlineStr">
        <x:is>
          <x:t xml:space="preserve">School type code 01; Title I=YES; Alternative/ESE=N; coordinates pending NCES/district GIS pull.</x:t>
        </x:is>
      </x:c>
    </x:row>
    <x:row r="95">
      <x:c r="A95" s="20" t="inlineStr">
        <x:is>
          <x:t xml:space="preserve">OSCEOLA</x:t>
        </x:is>
      </x:c>
      <x:c r="B95" s="20" t="inlineStr">
        <x:is>
          <x:t xml:space="preserve">OSCEOLA</x:t>
        </x:is>
      </x:c>
      <x:c r="C95" s="20" t="inlineStr">
        <x:is>
          <x:t xml:space="preserve">490711</x:t>
        </x:is>
      </x:c>
      <x:c r="D95" s="20" t="inlineStr">
        <x:is>
          <x:t xml:space="preserve"/>
        </x:is>
      </x:c>
      <x:c r="E95" s="20" t="inlineStr">
        <x:is>
          <x:t xml:space="preserve">CELEBRATION K-8</x:t>
        </x:is>
      </x:c>
      <x:c r="F95" s="20" t="inlineStr">
        <x:is>
          <x:t xml:space="preserve">Combination</x:t>
        </x:is>
      </x:c>
      <x:c r="G95" s="20" t="inlineStr">
        <x:is>
          <x:t xml:space="preserve">YES</x:t>
        </x:is>
      </x:c>
      <x:c r="H95" s="20" t="inlineStr">
        <x:is>
          <x:t xml:space="preserve">NO</x:t>
        </x:is>
      </x:c>
      <x:c r="I95" s="20" t="inlineStr">
        <x:is>
          <x:t xml:space="preserve"/>
        </x:is>
      </x:c>
      <x:c r="J95" s="20" t="inlineStr">
        <x:is>
          <x:t xml:space="preserve">NO</x:t>
        </x:is>
      </x:c>
      <x:c r="K95" s="20" t="inlineStr">
        <x:is>
          <x:t xml:space="preserve"/>
        </x:is>
      </x:c>
      <x:c r="L95" s="20" t="inlineStr">
        <x:is>
          <x:t xml:space="preserve"/>
        </x:is>
      </x:c>
      <x:c r="M95" s="20" t="inlineStr">
        <x:is>
          <x:t xml:space="preserve"/>
        </x:is>
      </x:c>
      <x:c r="N95" s="20" t="inlineStr">
        <x:is>
          <x:t xml:space="preserve"/>
        </x:is>
      </x:c>
      <x:c r="O95" s="20" t="inlineStr">
        <x:is>
          <x:t xml:space="preserve"/>
        </x:is>
      </x:c>
      <x:c r="P95" s="20" t="inlineStr">
        <x:is>
          <x:t xml:space="preserve"/>
        </x:is>
      </x:c>
      <x:c r="Q95" s="20" t="inlineStr">
        <x:is>
          <x:t xml:space="preserve">https://www.fldoe.org/file/18534/SchoolGrades25.xlsx</x:t>
        </x:is>
      </x:c>
      <x:c r="R95" s="20" t="inlineStr">
        <x:is>
          <x:t xml:space="preserve">School type code 04; Title I=NO; Alternative/ESE=N; coordinates pending NCES/district GIS pull.</x:t>
        </x:is>
      </x:c>
    </x:row>
    <x:row r="96">
      <x:c r="A96" s="20" t="inlineStr">
        <x:is>
          <x:t xml:space="preserve">OSCEOLA</x:t>
        </x:is>
      </x:c>
      <x:c r="B96" s="20" t="inlineStr">
        <x:is>
          <x:t xml:space="preserve">OSCEOLA</x:t>
        </x:is>
      </x:c>
      <x:c r="C96" s="20" t="inlineStr">
        <x:is>
          <x:t xml:space="preserve">490801</x:t>
        </x:is>
      </x:c>
      <x:c r="D96" s="20" t="inlineStr">
        <x:is>
          <x:t xml:space="preserve"/>
        </x:is>
      </x:c>
      <x:c r="E96" s="20" t="inlineStr">
        <x:is>
          <x:t xml:space="preserve">LAKEVIEW ELEMENTARY SCHOOL</x:t>
        </x:is>
      </x:c>
      <x:c r="F96" s="20" t="inlineStr">
        <x:is>
          <x:t xml:space="preserve">Elementary</x:t>
        </x:is>
      </x:c>
      <x:c r="G96" s="20" t="inlineStr">
        <x:is>
          <x:t xml:space="preserve">YES</x:t>
        </x:is>
      </x:c>
      <x:c r="H96" s="20" t="inlineStr">
        <x:is>
          <x:t xml:space="preserve">NO</x:t>
        </x:is>
      </x:c>
      <x:c r="I96" s="20" t="inlineStr">
        <x:is>
          <x:t xml:space="preserve"/>
        </x:is>
      </x:c>
      <x:c r="J96" s="20" t="inlineStr">
        <x:is>
          <x:t xml:space="preserve">NO</x:t>
        </x:is>
      </x:c>
      <x:c r="K96" s="20" t="inlineStr">
        <x:is>
          <x:t xml:space="preserve"/>
        </x:is>
      </x:c>
      <x:c r="L96" s="20" t="inlineStr">
        <x:is>
          <x:t xml:space="preserve"/>
        </x:is>
      </x:c>
      <x:c r="M96" s="20" t="inlineStr">
        <x:is>
          <x:t xml:space="preserve"/>
        </x:is>
      </x:c>
      <x:c r="N96" s="20" t="inlineStr">
        <x:is>
          <x:t xml:space="preserve"/>
        </x:is>
      </x:c>
      <x:c r="O96" s="20" t="inlineStr">
        <x:is>
          <x:t xml:space="preserve"/>
        </x:is>
      </x:c>
      <x:c r="P96" s="20" t="inlineStr">
        <x:is>
          <x:t xml:space="preserve"/>
        </x:is>
      </x:c>
      <x:c r="Q96" s="20" t="inlineStr">
        <x:is>
          <x:t xml:space="preserve">https://www.fldoe.org/file/18534/SchoolGrades25.xlsx</x:t>
        </x:is>
      </x:c>
      <x:c r="R96" s="20" t="inlineStr">
        <x:is>
          <x:t xml:space="preserve">School type code 01; Title I=YES; Alternative/ESE=N; coordinates pending NCES/district GIS pull.</x:t>
        </x:is>
      </x:c>
    </x:row>
    <x:row r="97">
      <x:c r="A97" s="20" t="inlineStr">
        <x:is>
          <x:t xml:space="preserve">OSCEOLA</x:t>
        </x:is>
      </x:c>
      <x:c r="B97" s="20" t="inlineStr">
        <x:is>
          <x:t xml:space="preserve">OSCEOLA</x:t>
        </x:is>
      </x:c>
      <x:c r="C97" s="20" t="inlineStr">
        <x:is>
          <x:t xml:space="preserve">490811</x:t>
        </x:is>
      </x:c>
      <x:c r="D97" s="20" t="inlineStr">
        <x:is>
          <x:t xml:space="preserve"/>
        </x:is>
      </x:c>
      <x:c r="E97" s="20" t="inlineStr">
        <x:is>
          <x:t xml:space="preserve">PLEASANT HILL ELEMENTARY SCHOOL</x:t>
        </x:is>
      </x:c>
      <x:c r="F97" s="20" t="inlineStr">
        <x:is>
          <x:t xml:space="preserve">Elementary</x:t>
        </x:is>
      </x:c>
      <x:c r="G97" s="20" t="inlineStr">
        <x:is>
          <x:t xml:space="preserve">YES</x:t>
        </x:is>
      </x:c>
      <x:c r="H97" s="20" t="inlineStr">
        <x:is>
          <x:t xml:space="preserve">NO</x:t>
        </x:is>
      </x:c>
      <x:c r="I97" s="20" t="inlineStr">
        <x:is>
          <x:t xml:space="preserve"/>
        </x:is>
      </x:c>
      <x:c r="J97" s="20" t="inlineStr">
        <x:is>
          <x:t xml:space="preserve">NO</x:t>
        </x:is>
      </x:c>
      <x:c r="K97" s="20" t="inlineStr">
        <x:is>
          <x:t xml:space="preserve"/>
        </x:is>
      </x:c>
      <x:c r="L97" s="20" t="inlineStr">
        <x:is>
          <x:t xml:space="preserve"/>
        </x:is>
      </x:c>
      <x:c r="M97" s="20" t="inlineStr">
        <x:is>
          <x:t xml:space="preserve"/>
        </x:is>
      </x:c>
      <x:c r="N97" s="20" t="inlineStr">
        <x:is>
          <x:t xml:space="preserve"/>
        </x:is>
      </x:c>
      <x:c r="O97" s="20" t="inlineStr">
        <x:is>
          <x:t xml:space="preserve"/>
        </x:is>
      </x:c>
      <x:c r="P97" s="20" t="inlineStr">
        <x:is>
          <x:t xml:space="preserve"/>
        </x:is>
      </x:c>
      <x:c r="Q97" s="20" t="inlineStr">
        <x:is>
          <x:t xml:space="preserve">https://www.fldoe.org/file/18534/SchoolGrades25.xlsx</x:t>
        </x:is>
      </x:c>
      <x:c r="R97" s="20" t="inlineStr">
        <x:is>
          <x:t xml:space="preserve">School type code 01; Title I=YES; Alternative/ESE=N; coordinates pending NCES/district GIS pull.</x:t>
        </x:is>
      </x:c>
    </x:row>
    <x:row r="98">
      <x:c r="A98" s="20" t="inlineStr">
        <x:is>
          <x:t xml:space="preserve">OSCEOLA</x:t>
        </x:is>
      </x:c>
      <x:c r="B98" s="20" t="inlineStr">
        <x:is>
          <x:t xml:space="preserve">OSCEOLA</x:t>
        </x:is>
      </x:c>
      <x:c r="C98" s="20" t="inlineStr">
        <x:is>
          <x:t xml:space="preserve">490821</x:t>
        </x:is>
      </x:c>
      <x:c r="D98" s="20" t="inlineStr">
        <x:is>
          <x:t xml:space="preserve"/>
        </x:is>
      </x:c>
      <x:c r="E98" s="20" t="inlineStr">
        <x:is>
          <x:t xml:space="preserve">PARKWAY MIDDLE SCHOOL</x:t>
        </x:is>
      </x:c>
      <x:c r="F98" s="20" t="inlineStr">
        <x:is>
          <x:t xml:space="preserve">Middle/Junior</x:t>
        </x:is>
      </x:c>
      <x:c r="G98" s="20" t="inlineStr">
        <x:is>
          <x:t xml:space="preserve">YES</x:t>
        </x:is>
      </x:c>
      <x:c r="H98" s="20" t="inlineStr">
        <x:is>
          <x:t xml:space="preserve">NO</x:t>
        </x:is>
      </x:c>
      <x:c r="I98" s="20" t="inlineStr">
        <x:is>
          <x:t xml:space="preserve"/>
        </x:is>
      </x:c>
      <x:c r="J98" s="20" t="inlineStr">
        <x:is>
          <x:t xml:space="preserve">NO</x:t>
        </x:is>
      </x:c>
      <x:c r="K98" s="20" t="inlineStr">
        <x:is>
          <x:t xml:space="preserve"/>
        </x:is>
      </x:c>
      <x:c r="L98" s="20" t="inlineStr">
        <x:is>
          <x:t xml:space="preserve"/>
        </x:is>
      </x:c>
      <x:c r="M98" s="20" t="inlineStr">
        <x:is>
          <x:t xml:space="preserve"/>
        </x:is>
      </x:c>
      <x:c r="N98" s="20" t="inlineStr">
        <x:is>
          <x:t xml:space="preserve"/>
        </x:is>
      </x:c>
      <x:c r="O98" s="20" t="inlineStr">
        <x:is>
          <x:t xml:space="preserve"/>
        </x:is>
      </x:c>
      <x:c r="P98" s="20" t="inlineStr">
        <x:is>
          <x:t xml:space="preserve"/>
        </x:is>
      </x:c>
      <x:c r="Q98" s="20" t="inlineStr">
        <x:is>
          <x:t xml:space="preserve">https://www.fldoe.org/file/18534/SchoolGrades25.xlsx</x:t>
        </x:is>
      </x:c>
      <x:c r="R98" s="20" t="inlineStr">
        <x:is>
          <x:t xml:space="preserve">School type code 02; Title I=YES; Alternative/ESE=N; coordinates pending NCES/district GIS pull.</x:t>
        </x:is>
      </x:c>
    </x:row>
    <x:row r="99">
      <x:c r="A99" s="20" t="inlineStr">
        <x:is>
          <x:t xml:space="preserve">OSCEOLA</x:t>
        </x:is>
      </x:c>
      <x:c r="B99" s="20" t="inlineStr">
        <x:is>
          <x:t xml:space="preserve">OSCEOLA</x:t>
        </x:is>
      </x:c>
      <x:c r="C99" s="20" t="inlineStr">
        <x:is>
          <x:t xml:space="preserve">490831</x:t>
        </x:is>
      </x:c>
      <x:c r="D99" s="20" t="inlineStr">
        <x:is>
          <x:t xml:space="preserve"/>
        </x:is>
      </x:c>
      <x:c r="E99" s="20" t="inlineStr">
        <x:is>
          <x:t xml:space="preserve">DEERWOOD ELEMENTARY SCHOOL</x:t>
        </x:is>
      </x:c>
      <x:c r="F99" s="20" t="inlineStr">
        <x:is>
          <x:t xml:space="preserve">Elementary</x:t>
        </x:is>
      </x:c>
      <x:c r="G99" s="20" t="inlineStr">
        <x:is>
          <x:t xml:space="preserve">YES</x:t>
        </x:is>
      </x:c>
      <x:c r="H99" s="20" t="inlineStr">
        <x:is>
          <x:t xml:space="preserve">NO</x:t>
        </x:is>
      </x:c>
      <x:c r="I99" s="20" t="inlineStr">
        <x:is>
          <x:t xml:space="preserve"/>
        </x:is>
      </x:c>
      <x:c r="J99" s="20" t="inlineStr">
        <x:is>
          <x:t xml:space="preserve">NO</x:t>
        </x:is>
      </x:c>
      <x:c r="K99" s="20" t="inlineStr">
        <x:is>
          <x:t xml:space="preserve"/>
        </x:is>
      </x:c>
      <x:c r="L99" s="20" t="inlineStr">
        <x:is>
          <x:t xml:space="preserve"/>
        </x:is>
      </x:c>
      <x:c r="M99" s="20" t="inlineStr">
        <x:is>
          <x:t xml:space="preserve"/>
        </x:is>
      </x:c>
      <x:c r="N99" s="20" t="inlineStr">
        <x:is>
          <x:t xml:space="preserve"/>
        </x:is>
      </x:c>
      <x:c r="O99" s="20" t="inlineStr">
        <x:is>
          <x:t xml:space="preserve"/>
        </x:is>
      </x:c>
      <x:c r="P99" s="20" t="inlineStr">
        <x:is>
          <x:t xml:space="preserve"/>
        </x:is>
      </x:c>
      <x:c r="Q99" s="20" t="inlineStr">
        <x:is>
          <x:t xml:space="preserve">https://www.fldoe.org/file/18534/SchoolGrades25.xlsx</x:t>
        </x:is>
      </x:c>
      <x:c r="R99" s="20" t="inlineStr">
        <x:is>
          <x:t xml:space="preserve">School type code 01; Title I=YES; Alternative/ESE=N; coordinates pending NCES/district GIS pull.</x:t>
        </x:is>
      </x:c>
    </x:row>
    <x:row r="100">
      <x:c r="A100" s="20" t="inlineStr">
        <x:is>
          <x:t xml:space="preserve">OSCEOLA</x:t>
        </x:is>
      </x:c>
      <x:c r="B100" s="20" t="inlineStr">
        <x:is>
          <x:t xml:space="preserve">OSCEOLA</x:t>
        </x:is>
      </x:c>
      <x:c r="C100" s="20" t="inlineStr">
        <x:is>
          <x:t xml:space="preserve">490841</x:t>
        </x:is>
      </x:c>
      <x:c r="D100" s="20" t="inlineStr">
        <x:is>
          <x:t xml:space="preserve"/>
        </x:is>
      </x:c>
      <x:c r="E100" s="20" t="inlineStr">
        <x:is>
          <x:t xml:space="preserve">POINCIANA HIGH SCHOOL</x:t>
        </x:is>
      </x:c>
      <x:c r="F100" s="20" t="inlineStr">
        <x:is>
          <x:t xml:space="preserve">Senior High</x:t>
        </x:is>
      </x:c>
      <x:c r="G100" s="20" t="inlineStr">
        <x:is>
          <x:t xml:space="preserve">YES</x:t>
        </x:is>
      </x:c>
      <x:c r="H100" s="20" t="inlineStr">
        <x:is>
          <x:t xml:space="preserve">NO</x:t>
        </x:is>
      </x:c>
      <x:c r="I100" s="20" t="inlineStr">
        <x:is>
          <x:t xml:space="preserve"/>
        </x:is>
      </x:c>
      <x:c r="J100" s="20" t="inlineStr">
        <x:is>
          <x:t xml:space="preserve">NO</x:t>
        </x:is>
      </x:c>
      <x:c r="K100" s="20" t="inlineStr">
        <x:is>
          <x:t xml:space="preserve"/>
        </x:is>
      </x:c>
      <x:c r="L100" s="20" t="inlineStr">
        <x:is>
          <x:t xml:space="preserve"/>
        </x:is>
      </x:c>
      <x:c r="M100" s="20" t="inlineStr">
        <x:is>
          <x:t xml:space="preserve"/>
        </x:is>
      </x:c>
      <x:c r="N100" s="20" t="inlineStr">
        <x:is>
          <x:t xml:space="preserve"/>
        </x:is>
      </x:c>
      <x:c r="O100" s="20" t="inlineStr">
        <x:is>
          <x:t xml:space="preserve"/>
        </x:is>
      </x:c>
      <x:c r="P100" s="20" t="inlineStr">
        <x:is>
          <x:t xml:space="preserve"/>
        </x:is>
      </x:c>
      <x:c r="Q100" s="20" t="inlineStr">
        <x:is>
          <x:t xml:space="preserve">https://www.fldoe.org/file/18534/SchoolGrades25.xlsx</x:t>
        </x:is>
      </x:c>
      <x:c r="R100" s="20" t="inlineStr">
        <x:is>
          <x:t xml:space="preserve">School type code 03; Title I=YES; Alternative/ESE=N; coordinates pending NCES/district GIS pull.</x:t>
        </x:is>
      </x:c>
    </x:row>
    <x:row r="101">
      <x:c r="A101" s="20" t="inlineStr">
        <x:is>
          <x:t xml:space="preserve">OSCEOLA</x:t>
        </x:is>
      </x:c>
      <x:c r="B101" s="20" t="inlineStr">
        <x:is>
          <x:t xml:space="preserve">OSCEOLA</x:t>
        </x:is>
      </x:c>
      <x:c r="C101" s="20" t="inlineStr">
        <x:is>
          <x:t xml:space="preserve">490842</x:t>
        </x:is>
      </x:c>
      <x:c r="D101" s="20" t="inlineStr">
        <x:is>
          <x:t xml:space="preserve"/>
        </x:is>
      </x:c>
      <x:c r="E101" s="20" t="inlineStr">
        <x:is>
          <x:t xml:space="preserve">LIBERTY HIGH SCHOOL</x:t>
        </x:is>
      </x:c>
      <x:c r="F101" s="20" t="inlineStr">
        <x:is>
          <x:t xml:space="preserve">Senior High</x:t>
        </x:is>
      </x:c>
      <x:c r="G101" s="20" t="inlineStr">
        <x:is>
          <x:t xml:space="preserve">YES</x:t>
        </x:is>
      </x:c>
      <x:c r="H101" s="20" t="inlineStr">
        <x:is>
          <x:t xml:space="preserve">NO</x:t>
        </x:is>
      </x:c>
      <x:c r="I101" s="20" t="inlineStr">
        <x:is>
          <x:t xml:space="preserve"/>
        </x:is>
      </x:c>
      <x:c r="J101" s="20" t="inlineStr">
        <x:is>
          <x:t xml:space="preserve">NO</x:t>
        </x:is>
      </x:c>
      <x:c r="K101" s="20" t="inlineStr">
        <x:is>
          <x:t xml:space="preserve"/>
        </x:is>
      </x:c>
      <x:c r="L101" s="20" t="inlineStr">
        <x:is>
          <x:t xml:space="preserve"/>
        </x:is>
      </x:c>
      <x:c r="M101" s="20" t="inlineStr">
        <x:is>
          <x:t xml:space="preserve"/>
        </x:is>
      </x:c>
      <x:c r="N101" s="20" t="inlineStr">
        <x:is>
          <x:t xml:space="preserve"/>
        </x:is>
      </x:c>
      <x:c r="O101" s="20" t="inlineStr">
        <x:is>
          <x:t xml:space="preserve"/>
        </x:is>
      </x:c>
      <x:c r="P101" s="20" t="inlineStr">
        <x:is>
          <x:t xml:space="preserve"/>
        </x:is>
      </x:c>
      <x:c r="Q101" s="20" t="inlineStr">
        <x:is>
          <x:t xml:space="preserve">https://www.fldoe.org/file/18534/SchoolGrades25.xlsx</x:t>
        </x:is>
      </x:c>
      <x:c r="R101" s="20" t="inlineStr">
        <x:is>
          <x:t xml:space="preserve">School type code 03; Title I=YES; Alternative/ESE=N; coordinates pending NCES/district GIS pull.</x:t>
        </x:is>
      </x:c>
    </x:row>
    <x:row r="102">
      <x:c r="A102" s="20" t="inlineStr">
        <x:is>
          <x:t xml:space="preserve">OSCEOLA</x:t>
        </x:is>
      </x:c>
      <x:c r="B102" s="20" t="inlineStr">
        <x:is>
          <x:t xml:space="preserve">OSCEOLA</x:t>
        </x:is>
      </x:c>
      <x:c r="C102" s="20" t="inlineStr">
        <x:is>
          <x:t xml:space="preserve">490851</x:t>
        </x:is>
      </x:c>
      <x:c r="D102" s="20" t="inlineStr">
        <x:is>
          <x:t xml:space="preserve"/>
        </x:is>
      </x:c>
      <x:c r="E102" s="20" t="inlineStr">
        <x:is>
          <x:t xml:space="preserve">CYPRESS ELEMENTARY SCHOOL</x:t>
        </x:is>
      </x:c>
      <x:c r="F102" s="20" t="inlineStr">
        <x:is>
          <x:t xml:space="preserve">Elementary</x:t>
        </x:is>
      </x:c>
      <x:c r="G102" s="20" t="inlineStr">
        <x:is>
          <x:t xml:space="preserve">YES</x:t>
        </x:is>
      </x:c>
      <x:c r="H102" s="20" t="inlineStr">
        <x:is>
          <x:t xml:space="preserve">NO</x:t>
        </x:is>
      </x:c>
      <x:c r="I102" s="20" t="inlineStr">
        <x:is>
          <x:t xml:space="preserve"/>
        </x:is>
      </x:c>
      <x:c r="J102" s="20" t="inlineStr">
        <x:is>
          <x:t xml:space="preserve">NO</x:t>
        </x:is>
      </x:c>
      <x:c r="K102" s="20" t="inlineStr">
        <x:is>
          <x:t xml:space="preserve"/>
        </x:is>
      </x:c>
      <x:c r="L102" s="20" t="inlineStr">
        <x:is>
          <x:t xml:space="preserve"/>
        </x:is>
      </x:c>
      <x:c r="M102" s="20" t="inlineStr">
        <x:is>
          <x:t xml:space="preserve"/>
        </x:is>
      </x:c>
      <x:c r="N102" s="20" t="inlineStr">
        <x:is>
          <x:t xml:space="preserve"/>
        </x:is>
      </x:c>
      <x:c r="O102" s="20" t="inlineStr">
        <x:is>
          <x:t xml:space="preserve"/>
        </x:is>
      </x:c>
      <x:c r="P102" s="20" t="inlineStr">
        <x:is>
          <x:t xml:space="preserve"/>
        </x:is>
      </x:c>
      <x:c r="Q102" s="20" t="inlineStr">
        <x:is>
          <x:t xml:space="preserve">https://www.fldoe.org/file/18534/SchoolGrades25.xlsx</x:t>
        </x:is>
      </x:c>
      <x:c r="R102" s="20" t="inlineStr">
        <x:is>
          <x:t xml:space="preserve">School type code 01; Title I=YES; Alternative/ESE=N; coordinates pending NCES/district GIS pull.</x:t>
        </x:is>
      </x:c>
    </x:row>
    <x:row r="103">
      <x:c r="A103" s="20" t="inlineStr">
        <x:is>
          <x:t xml:space="preserve">OSCEOLA</x:t>
        </x:is>
      </x:c>
      <x:c r="B103" s="20" t="inlineStr">
        <x:is>
          <x:t xml:space="preserve">OSCEOLA</x:t>
        </x:is>
      </x:c>
      <x:c r="C103" s="20" t="inlineStr">
        <x:is>
          <x:t xml:space="preserve">490852</x:t>
        </x:is>
      </x:c>
      <x:c r="D103" s="20" t="inlineStr">
        <x:is>
          <x:t xml:space="preserve"/>
        </x:is>
      </x:c>
      <x:c r="E103" s="20" t="inlineStr">
        <x:is>
          <x:t xml:space="preserve">ACADEMIR PREPARATORY OF CHAMPIONSGATE</x:t>
        </x:is>
      </x:c>
      <x:c r="F103" s="20" t="inlineStr">
        <x:is>
          <x:t xml:space="preserve">Elementary</x:t>
        </x:is>
      </x:c>
      <x:c r="G103" s="20" t="inlineStr">
        <x:is>
          <x:t xml:space="preserve">NO</x:t>
        </x:is>
      </x:c>
      <x:c r="H103" s="20" t="inlineStr">
        <x:is>
          <x:t xml:space="preserve">YES</x:t>
        </x:is>
      </x:c>
      <x:c r="I103" s="20" t="inlineStr">
        <x:is>
          <x:t xml:space="preserve"/>
        </x:is>
      </x:c>
      <x:c r="J103" s="20" t="inlineStr">
        <x:is>
          <x:t xml:space="preserve">NO</x:t>
        </x:is>
      </x:c>
      <x:c r="K103" s="20" t="inlineStr">
        <x:is>
          <x:t xml:space="preserve"/>
        </x:is>
      </x:c>
      <x:c r="L103" s="20" t="inlineStr">
        <x:is>
          <x:t xml:space="preserve"/>
        </x:is>
      </x:c>
      <x:c r="M103" s="20" t="inlineStr">
        <x:is>
          <x:t xml:space="preserve"/>
        </x:is>
      </x:c>
      <x:c r="N103" s="20" t="inlineStr">
        <x:is>
          <x:t xml:space="preserve"/>
        </x:is>
      </x:c>
      <x:c r="O103" s="20" t="inlineStr">
        <x:is>
          <x:t xml:space="preserve"/>
        </x:is>
      </x:c>
      <x:c r="P103" s="20" t="inlineStr">
        <x:is>
          <x:t xml:space="preserve"/>
        </x:is>
      </x:c>
      <x:c r="Q103" s="20" t="inlineStr">
        <x:is>
          <x:t xml:space="preserve">https://www.fldoe.org/file/18534/SchoolGrades25.xlsx</x:t>
        </x:is>
      </x:c>
      <x:c r="R103" s="20" t="inlineStr">
        <x:is>
          <x:t xml:space="preserve">School type code 01; Title I=NO; Alternative/ESE=N; coordinates pending NCES/district GIS pull.</x:t>
        </x:is>
      </x:c>
    </x:row>
    <x:row r="104">
      <x:c r="A104" s="20" t="inlineStr">
        <x:is>
          <x:t xml:space="preserve">OSCEOLA</x:t>
        </x:is>
      </x:c>
      <x:c r="B104" s="20" t="inlineStr">
        <x:is>
          <x:t xml:space="preserve">OSCEOLA</x:t>
        </x:is>
      </x:c>
      <x:c r="C104" s="20" t="inlineStr">
        <x:is>
          <x:t xml:space="preserve">490853</x:t>
        </x:is>
      </x:c>
      <x:c r="D104" s="20" t="inlineStr">
        <x:is>
          <x:t xml:space="preserve"/>
        </x:is>
      </x:c>
      <x:c r="E104" s="20" t="inlineStr">
        <x:is>
          <x:t xml:space="preserve">NEW DIMENSIONS HIGH SCHOOL</x:t>
        </x:is>
      </x:c>
      <x:c r="F104" s="20" t="inlineStr">
        <x:is>
          <x:t xml:space="preserve">Senior High</x:t>
        </x:is>
      </x:c>
      <x:c r="G104" s="20" t="inlineStr">
        <x:is>
          <x:t xml:space="preserve">NO</x:t>
        </x:is>
      </x:c>
      <x:c r="H104" s="20" t="inlineStr">
        <x:is>
          <x:t xml:space="preserve">YES</x:t>
        </x:is>
      </x:c>
      <x:c r="I104" s="20" t="inlineStr">
        <x:is>
          <x:t xml:space="preserve"/>
        </x:is>
      </x:c>
      <x:c r="J104" s="20" t="inlineStr">
        <x:is>
          <x:t xml:space="preserve">NO</x:t>
        </x:is>
      </x:c>
      <x:c r="K104" s="20" t="inlineStr">
        <x:is>
          <x:t xml:space="preserve"/>
        </x:is>
      </x:c>
      <x:c r="L104" s="20" t="inlineStr">
        <x:is>
          <x:t xml:space="preserve"/>
        </x:is>
      </x:c>
      <x:c r="M104" s="20" t="inlineStr">
        <x:is>
          <x:t xml:space="preserve"/>
        </x:is>
      </x:c>
      <x:c r="N104" s="20" t="inlineStr">
        <x:is>
          <x:t xml:space="preserve"/>
        </x:is>
      </x:c>
      <x:c r="O104" s="20" t="inlineStr">
        <x:is>
          <x:t xml:space="preserve"/>
        </x:is>
      </x:c>
      <x:c r="P104" s="20" t="inlineStr">
        <x:is>
          <x:t xml:space="preserve"/>
        </x:is>
      </x:c>
      <x:c r="Q104" s="20" t="inlineStr">
        <x:is>
          <x:t xml:space="preserve">https://www.fldoe.org/file/18534/SchoolGrades25.xlsx</x:t>
        </x:is>
      </x:c>
      <x:c r="R104" s="20" t="inlineStr">
        <x:is>
          <x:t xml:space="preserve">School type code 03; Title I=YES; Alternative/ESE=N; coordinates pending NCES/district GIS pull.</x:t>
        </x:is>
      </x:c>
    </x:row>
    <x:row r="105">
      <x:c r="A105" s="20" t="inlineStr">
        <x:is>
          <x:t xml:space="preserve">OSCEOLA</x:t>
        </x:is>
      </x:c>
      <x:c r="B105" s="20" t="inlineStr">
        <x:is>
          <x:t xml:space="preserve">OSCEOLA</x:t>
        </x:is>
      </x:c>
      <x:c r="C105" s="20" t="inlineStr">
        <x:is>
          <x:t xml:space="preserve">490862</x:t>
        </x:is>
      </x:c>
      <x:c r="D105" s="20" t="inlineStr">
        <x:is>
          <x:t xml:space="preserve"/>
        </x:is>
      </x:c>
      <x:c r="E105" s="20" t="inlineStr">
        <x:is>
          <x:t xml:space="preserve">PROFESSIONAL &amp; TECHNICAL HIGH SCHOOL</x:t>
        </x:is>
      </x:c>
      <x:c r="F105" s="20" t="inlineStr">
        <x:is>
          <x:t xml:space="preserve">Senior High</x:t>
        </x:is>
      </x:c>
      <x:c r="G105" s="20" t="inlineStr">
        <x:is>
          <x:t xml:space="preserve">YES</x:t>
        </x:is>
      </x:c>
      <x:c r="H105" s="20" t="inlineStr">
        <x:is>
          <x:t xml:space="preserve">NO</x:t>
        </x:is>
      </x:c>
      <x:c r="I105" s="20" t="inlineStr">
        <x:is>
          <x:t xml:space="preserve"/>
        </x:is>
      </x:c>
      <x:c r="J105" s="20" t="inlineStr">
        <x:is>
          <x:t xml:space="preserve">NO</x:t>
        </x:is>
      </x:c>
      <x:c r="K105" s="20" t="inlineStr">
        <x:is>
          <x:t xml:space="preserve"/>
        </x:is>
      </x:c>
      <x:c r="L105" s="20" t="inlineStr">
        <x:is>
          <x:t xml:space="preserve"/>
        </x:is>
      </x:c>
      <x:c r="M105" s="20" t="inlineStr">
        <x:is>
          <x:t xml:space="preserve"/>
        </x:is>
      </x:c>
      <x:c r="N105" s="20" t="inlineStr">
        <x:is>
          <x:t xml:space="preserve"/>
        </x:is>
      </x:c>
      <x:c r="O105" s="20" t="inlineStr">
        <x:is>
          <x:t xml:space="preserve"/>
        </x:is>
      </x:c>
      <x:c r="P105" s="20" t="inlineStr">
        <x:is>
          <x:t xml:space="preserve"/>
        </x:is>
      </x:c>
      <x:c r="Q105" s="20" t="inlineStr">
        <x:is>
          <x:t xml:space="preserve">https://www.fldoe.org/file/18534/SchoolGrades25.xlsx</x:t>
        </x:is>
      </x:c>
      <x:c r="R105" s="20" t="inlineStr">
        <x:is>
          <x:t xml:space="preserve">School type code 03; Title I=YES; Alternative/ESE=N; coordinates pending NCES/district GIS pull.</x:t>
        </x:is>
      </x:c>
    </x:row>
    <x:row r="106">
      <x:c r="A106" s="20" t="inlineStr">
        <x:is>
          <x:t xml:space="preserve">OSCEOLA</x:t>
        </x:is>
      </x:c>
      <x:c r="B106" s="20" t="inlineStr">
        <x:is>
          <x:t xml:space="preserve">OSCEOLA</x:t>
        </x:is>
      </x:c>
      <x:c r="C106" s="20" t="inlineStr">
        <x:is>
          <x:t xml:space="preserve">490863</x:t>
        </x:is>
      </x:c>
      <x:c r="D106" s="20" t="inlineStr">
        <x:is>
          <x:t xml:space="preserve"/>
        </x:is>
      </x:c>
      <x:c r="E106" s="20" t="inlineStr">
        <x:is>
          <x:t xml:space="preserve">FOUR CORNERS CHARTER SCHOOL</x:t>
        </x:is>
      </x:c>
      <x:c r="F106" s="20" t="inlineStr">
        <x:is>
          <x:t xml:space="preserve">Elementary</x:t>
        </x:is>
      </x:c>
      <x:c r="G106" s="20" t="inlineStr">
        <x:is>
          <x:t xml:space="preserve">NO</x:t>
        </x:is>
      </x:c>
      <x:c r="H106" s="20" t="inlineStr">
        <x:is>
          <x:t xml:space="preserve">YES</x:t>
        </x:is>
      </x:c>
      <x:c r="I106" s="20" t="inlineStr">
        <x:is>
          <x:t xml:space="preserve"/>
        </x:is>
      </x:c>
      <x:c r="J106" s="20" t="inlineStr">
        <x:is>
          <x:t xml:space="preserve">NO</x:t>
        </x:is>
      </x:c>
      <x:c r="K106" s="20" t="inlineStr">
        <x:is>
          <x:t xml:space="preserve"/>
        </x:is>
      </x:c>
      <x:c r="L106" s="20" t="inlineStr">
        <x:is>
          <x:t xml:space="preserve"/>
        </x:is>
      </x:c>
      <x:c r="M106" s="20" t="inlineStr">
        <x:is>
          <x:t xml:space="preserve"/>
        </x:is>
      </x:c>
      <x:c r="N106" s="20" t="inlineStr">
        <x:is>
          <x:t xml:space="preserve"/>
        </x:is>
      </x:c>
      <x:c r="O106" s="20" t="inlineStr">
        <x:is>
          <x:t xml:space="preserve"/>
        </x:is>
      </x:c>
      <x:c r="P106" s="20" t="inlineStr">
        <x:is>
          <x:t xml:space="preserve"/>
        </x:is>
      </x:c>
      <x:c r="Q106" s="20" t="inlineStr">
        <x:is>
          <x:t xml:space="preserve">https://www.fldoe.org/file/18534/SchoolGrades25.xlsx</x:t>
        </x:is>
      </x:c>
      <x:c r="R106" s="20" t="inlineStr">
        <x:is>
          <x:t xml:space="preserve">School type code 01; Title I=YES; Alternative/ESE=N; coordinates pending NCES/district GIS pull.</x:t>
        </x:is>
      </x:c>
    </x:row>
    <x:row r="107">
      <x:c r="A107" s="20" t="inlineStr">
        <x:is>
          <x:t xml:space="preserve">OSCEOLA</x:t>
        </x:is>
      </x:c>
      <x:c r="B107" s="20" t="inlineStr">
        <x:is>
          <x:t xml:space="preserve">OSCEOLA</x:t>
        </x:is>
      </x:c>
      <x:c r="C107" s="20" t="inlineStr">
        <x:is>
          <x:t xml:space="preserve">490866</x:t>
        </x:is>
      </x:c>
      <x:c r="D107" s="20" t="inlineStr">
        <x:is>
          <x:t xml:space="preserve"/>
        </x:is>
      </x:c>
      <x:c r="E107" s="20" t="inlineStr">
        <x:is>
          <x:t xml:space="preserve">KISSIMMEE CHARTER ACADEMY</x:t>
        </x:is>
      </x:c>
      <x:c r="F107" s="20" t="inlineStr">
        <x:is>
          <x:t xml:space="preserve">Combination</x:t>
        </x:is>
      </x:c>
      <x:c r="G107" s="20" t="inlineStr">
        <x:is>
          <x:t xml:space="preserve">NO</x:t>
        </x:is>
      </x:c>
      <x:c r="H107" s="20" t="inlineStr">
        <x:is>
          <x:t xml:space="preserve">YES</x:t>
        </x:is>
      </x:c>
      <x:c r="I107" s="20" t="inlineStr">
        <x:is>
          <x:t xml:space="preserve"/>
        </x:is>
      </x:c>
      <x:c r="J107" s="20" t="inlineStr">
        <x:is>
          <x:t xml:space="preserve">NO</x:t>
        </x:is>
      </x:c>
      <x:c r="K107" s="20" t="inlineStr">
        <x:is>
          <x:t xml:space="preserve"/>
        </x:is>
      </x:c>
      <x:c r="L107" s="20" t="inlineStr">
        <x:is>
          <x:t xml:space="preserve"/>
        </x:is>
      </x:c>
      <x:c r="M107" s="20" t="inlineStr">
        <x:is>
          <x:t xml:space="preserve"/>
        </x:is>
      </x:c>
      <x:c r="N107" s="20" t="inlineStr">
        <x:is>
          <x:t xml:space="preserve"/>
        </x:is>
      </x:c>
      <x:c r="O107" s="20" t="inlineStr">
        <x:is>
          <x:t xml:space="preserve"/>
        </x:is>
      </x:c>
      <x:c r="P107" s="20" t="inlineStr">
        <x:is>
          <x:t xml:space="preserve"/>
        </x:is>
      </x:c>
      <x:c r="Q107" s="20" t="inlineStr">
        <x:is>
          <x:t xml:space="preserve">https://www.fldoe.org/file/18534/SchoolGrades25.xlsx</x:t>
        </x:is>
      </x:c>
      <x:c r="R107" s="20" t="inlineStr">
        <x:is>
          <x:t xml:space="preserve">School type code 04; Title I=YES; Alternative/ESE=N; coordinates pending NCES/district GIS pull.</x:t>
        </x:is>
      </x:c>
    </x:row>
    <x:row r="108">
      <x:c r="A108" s="20" t="inlineStr">
        <x:is>
          <x:t xml:space="preserve">OSCEOLA</x:t>
        </x:is>
      </x:c>
      <x:c r="B108" s="20" t="inlineStr">
        <x:is>
          <x:t xml:space="preserve">OSCEOLA</x:t>
        </x:is>
      </x:c>
      <x:c r="C108" s="20" t="inlineStr">
        <x:is>
          <x:t xml:space="preserve">490881</x:t>
        </x:is>
      </x:c>
      <x:c r="D108" s="20" t="inlineStr">
        <x:is>
          <x:t xml:space="preserve"/>
        </x:is>
      </x:c>
      <x:c r="E108" s="20" t="inlineStr">
        <x:is>
          <x:t xml:space="preserve">P. M. WELLS CHARTER ACADEMY</x:t>
        </x:is>
      </x:c>
      <x:c r="F108" s="20" t="inlineStr">
        <x:is>
          <x:t xml:space="preserve">Combination</x:t>
        </x:is>
      </x:c>
      <x:c r="G108" s="20" t="inlineStr">
        <x:is>
          <x:t xml:space="preserve">NO</x:t>
        </x:is>
      </x:c>
      <x:c r="H108" s="20" t="inlineStr">
        <x:is>
          <x:t xml:space="preserve">YES</x:t>
        </x:is>
      </x:c>
      <x:c r="I108" s="20" t="inlineStr">
        <x:is>
          <x:t xml:space="preserve"/>
        </x:is>
      </x:c>
      <x:c r="J108" s="20" t="inlineStr">
        <x:is>
          <x:t xml:space="preserve">NO</x:t>
        </x:is>
      </x:c>
      <x:c r="K108" s="20" t="inlineStr">
        <x:is>
          <x:t xml:space="preserve"/>
        </x:is>
      </x:c>
      <x:c r="L108" s="20" t="inlineStr">
        <x:is>
          <x:t xml:space="preserve"/>
        </x:is>
      </x:c>
      <x:c r="M108" s="20" t="inlineStr">
        <x:is>
          <x:t xml:space="preserve"/>
        </x:is>
      </x:c>
      <x:c r="N108" s="20" t="inlineStr">
        <x:is>
          <x:t xml:space="preserve"/>
        </x:is>
      </x:c>
      <x:c r="O108" s="20" t="inlineStr">
        <x:is>
          <x:t xml:space="preserve"/>
        </x:is>
      </x:c>
      <x:c r="P108" s="20" t="inlineStr">
        <x:is>
          <x:t xml:space="preserve"/>
        </x:is>
      </x:c>
      <x:c r="Q108" s="20" t="inlineStr">
        <x:is>
          <x:t xml:space="preserve">https://www.fldoe.org/file/18534/SchoolGrades25.xlsx</x:t>
        </x:is>
      </x:c>
      <x:c r="R108" s="20" t="inlineStr">
        <x:is>
          <x:t xml:space="preserve">School type code 04; Title I=YES; Alternative/ESE=N; coordinates pending NCES/district GIS pull.</x:t>
        </x:is>
      </x:c>
    </x:row>
    <x:row r="109">
      <x:c r="A109" s="20" t="inlineStr">
        <x:is>
          <x:t xml:space="preserve">OSCEOLA</x:t>
        </x:is>
      </x:c>
      <x:c r="B109" s="20" t="inlineStr">
        <x:is>
          <x:t xml:space="preserve">OSCEOLA</x:t>
        </x:is>
      </x:c>
      <x:c r="C109" s="20" t="inlineStr">
        <x:is>
          <x:t xml:space="preserve">490901</x:t>
        </x:is>
      </x:c>
      <x:c r="D109" s="20" t="inlineStr">
        <x:is>
          <x:t xml:space="preserve"/>
        </x:is>
      </x:c>
      <x:c r="E109" s="20" t="inlineStr">
        <x:is>
          <x:t xml:space="preserve">POINCIANA ACADEMY OF FINE ARTS</x:t>
        </x:is>
      </x:c>
      <x:c r="F109" s="20" t="inlineStr">
        <x:is>
          <x:t xml:space="preserve">Elementary</x:t>
        </x:is>
      </x:c>
      <x:c r="G109" s="20" t="inlineStr">
        <x:is>
          <x:t xml:space="preserve">YES</x:t>
        </x:is>
      </x:c>
      <x:c r="H109" s="20" t="inlineStr">
        <x:is>
          <x:t xml:space="preserve">NO</x:t>
        </x:is>
      </x:c>
      <x:c r="I109" s="20" t="inlineStr">
        <x:is>
          <x:t xml:space="preserve"/>
        </x:is>
      </x:c>
      <x:c r="J109" s="20" t="inlineStr">
        <x:is>
          <x:t xml:space="preserve">NO</x:t>
        </x:is>
      </x:c>
      <x:c r="K109" s="20" t="inlineStr">
        <x:is>
          <x:t xml:space="preserve"/>
        </x:is>
      </x:c>
      <x:c r="L109" s="20" t="inlineStr">
        <x:is>
          <x:t xml:space="preserve"/>
        </x:is>
      </x:c>
      <x:c r="M109" s="20" t="inlineStr">
        <x:is>
          <x:t xml:space="preserve"/>
        </x:is>
      </x:c>
      <x:c r="N109" s="20" t="inlineStr">
        <x:is>
          <x:t xml:space="preserve"/>
        </x:is>
      </x:c>
      <x:c r="O109" s="20" t="inlineStr">
        <x:is>
          <x:t xml:space="preserve"/>
        </x:is>
      </x:c>
      <x:c r="P109" s="20" t="inlineStr">
        <x:is>
          <x:t xml:space="preserve"/>
        </x:is>
      </x:c>
      <x:c r="Q109" s="20" t="inlineStr">
        <x:is>
          <x:t xml:space="preserve">https://www.fldoe.org/file/18534/SchoolGrades25.xlsx</x:t>
        </x:is>
      </x:c>
      <x:c r="R109" s="20" t="inlineStr">
        <x:is>
          <x:t xml:space="preserve">School type code 01; Title I=YES; Alternative/ESE=N; coordinates pending NCES/district GIS pull.</x:t>
        </x:is>
      </x:c>
    </x:row>
    <x:row r="110">
      <x:c r="A110" s="20" t="inlineStr">
        <x:is>
          <x:t xml:space="preserve">OSCEOLA</x:t>
        </x:is>
      </x:c>
      <x:c r="B110" s="20" t="inlineStr">
        <x:is>
          <x:t xml:space="preserve">OSCEOLA</x:t>
        </x:is>
      </x:c>
      <x:c r="C110" s="20" t="inlineStr">
        <x:is>
          <x:t xml:space="preserve">490902</x:t>
        </x:is>
      </x:c>
      <x:c r="D110" s="20" t="inlineStr">
        <x:is>
          <x:t xml:space="preserve"/>
        </x:is>
      </x:c>
      <x:c r="E110" s="20" t="inlineStr">
        <x:is>
          <x:t xml:space="preserve">CELEBRATION HIGH SCHOOL</x:t>
        </x:is>
      </x:c>
      <x:c r="F110" s="20" t="inlineStr">
        <x:is>
          <x:t xml:space="preserve">Senior High</x:t>
        </x:is>
      </x:c>
      <x:c r="G110" s="20" t="inlineStr">
        <x:is>
          <x:t xml:space="preserve">YES</x:t>
        </x:is>
      </x:c>
      <x:c r="H110" s="20" t="inlineStr">
        <x:is>
          <x:t xml:space="preserve">NO</x:t>
        </x:is>
      </x:c>
      <x:c r="I110" s="20" t="inlineStr">
        <x:is>
          <x:t xml:space="preserve"/>
        </x:is>
      </x:c>
      <x:c r="J110" s="20" t="inlineStr">
        <x:is>
          <x:t xml:space="preserve">NO</x:t>
        </x:is>
      </x:c>
      <x:c r="K110" s="20" t="inlineStr">
        <x:is>
          <x:t xml:space="preserve"/>
        </x:is>
      </x:c>
      <x:c r="L110" s="20" t="inlineStr">
        <x:is>
          <x:t xml:space="preserve"/>
        </x:is>
      </x:c>
      <x:c r="M110" s="20" t="inlineStr">
        <x:is>
          <x:t xml:space="preserve"/>
        </x:is>
      </x:c>
      <x:c r="N110" s="20" t="inlineStr">
        <x:is>
          <x:t xml:space="preserve"/>
        </x:is>
      </x:c>
      <x:c r="O110" s="20" t="inlineStr">
        <x:is>
          <x:t xml:space="preserve"/>
        </x:is>
      </x:c>
      <x:c r="P110" s="20" t="inlineStr">
        <x:is>
          <x:t xml:space="preserve"/>
        </x:is>
      </x:c>
      <x:c r="Q110" s="20" t="inlineStr">
        <x:is>
          <x:t xml:space="preserve">https://www.fldoe.org/file/18534/SchoolGrades25.xlsx</x:t>
        </x:is>
      </x:c>
      <x:c r="R110" s="20" t="inlineStr">
        <x:is>
          <x:t xml:space="preserve">School type code 03; Title I=NO; Alternative/ESE=N; coordinates pending NCES/district GIS pull.</x:t>
        </x:is>
      </x:c>
    </x:row>
    <x:row r="111">
      <x:c r="A111" s="20" t="inlineStr">
        <x:is>
          <x:t xml:space="preserve">OSCEOLA</x:t>
        </x:is>
      </x:c>
      <x:c r="B111" s="20" t="inlineStr">
        <x:is>
          <x:t xml:space="preserve">OSCEOLA</x:t>
        </x:is>
      </x:c>
      <x:c r="C111" s="20" t="inlineStr">
        <x:is>
          <x:t xml:space="preserve">490903</x:t>
        </x:is>
      </x:c>
      <x:c r="D111" s="20" t="inlineStr">
        <x:is>
          <x:t xml:space="preserve"/>
        </x:is>
      </x:c>
      <x:c r="E111" s="20" t="inlineStr">
        <x:is>
          <x:t xml:space="preserve">ISLAND VILLAGE ELEMENTARY SCHOOL</x:t>
        </x:is>
      </x:c>
      <x:c r="F111" s="20" t="inlineStr">
        <x:is>
          <x:t xml:space="preserve">Elementary</x:t>
        </x:is>
      </x:c>
      <x:c r="G111" s="20" t="inlineStr">
        <x:is>
          <x:t xml:space="preserve">YES</x:t>
        </x:is>
      </x:c>
      <x:c r="H111" s="20" t="inlineStr">
        <x:is>
          <x:t xml:space="preserve">NO</x:t>
        </x:is>
      </x:c>
      <x:c r="I111" s="20" t="inlineStr">
        <x:is>
          <x:t xml:space="preserve"/>
        </x:is>
      </x:c>
      <x:c r="J111" s="20" t="inlineStr">
        <x:is>
          <x:t xml:space="preserve">NO</x:t>
        </x:is>
      </x:c>
      <x:c r="K111" s="20" t="inlineStr">
        <x:is>
          <x:t xml:space="preserve"/>
        </x:is>
      </x:c>
      <x:c r="L111" s="20" t="inlineStr">
        <x:is>
          <x:t xml:space="preserve"/>
        </x:is>
      </x:c>
      <x:c r="M111" s="20" t="inlineStr">
        <x:is>
          <x:t xml:space="preserve"/>
        </x:is>
      </x:c>
      <x:c r="N111" s="20" t="inlineStr">
        <x:is>
          <x:t xml:space="preserve"/>
        </x:is>
      </x:c>
      <x:c r="O111" s="20" t="inlineStr">
        <x:is>
          <x:t xml:space="preserve"/>
        </x:is>
      </x:c>
      <x:c r="P111" s="20" t="inlineStr">
        <x:is>
          <x:t xml:space="preserve"/>
        </x:is>
      </x:c>
      <x:c r="Q111" s="20" t="inlineStr">
        <x:is>
          <x:t xml:space="preserve">https://www.fldoe.org/file/18534/SchoolGrades25.xlsx</x:t>
        </x:is>
      </x:c>
      <x:c r="R111" s="20" t="inlineStr">
        <x:is>
          <x:t xml:space="preserve">School type code 01; Title I=YES; Alternative/ESE=N; coordinates pending NCES/district GIS pull.</x:t>
        </x:is>
      </x:c>
    </x:row>
    <x:row r="112">
      <x:c r="A112" s="20" t="inlineStr">
        <x:is>
          <x:t xml:space="preserve">OSCEOLA</x:t>
        </x:is>
      </x:c>
      <x:c r="B112" s="20" t="inlineStr">
        <x:is>
          <x:t xml:space="preserve">OSCEOLA</x:t>
        </x:is>
      </x:c>
      <x:c r="C112" s="20" t="inlineStr">
        <x:is>
          <x:t xml:space="preserve">490904</x:t>
        </x:is>
      </x:c>
      <x:c r="D112" s="20" t="inlineStr">
        <x:is>
          <x:t xml:space="preserve"/>
        </x:is>
      </x:c>
      <x:c r="E112" s="20" t="inlineStr">
        <x:is>
          <x:t xml:space="preserve">PARTIN SETTLEMENT ELEMENTARY SCHOOL</x:t>
        </x:is>
      </x:c>
      <x:c r="F112" s="20" t="inlineStr">
        <x:is>
          <x:t xml:space="preserve">Elementary</x:t>
        </x:is>
      </x:c>
      <x:c r="G112" s="20" t="inlineStr">
        <x:is>
          <x:t xml:space="preserve">YES</x:t>
        </x:is>
      </x:c>
      <x:c r="H112" s="20" t="inlineStr">
        <x:is>
          <x:t xml:space="preserve">NO</x:t>
        </x:is>
      </x:c>
      <x:c r="I112" s="20" t="inlineStr">
        <x:is>
          <x:t xml:space="preserve"/>
        </x:is>
      </x:c>
      <x:c r="J112" s="20" t="inlineStr">
        <x:is>
          <x:t xml:space="preserve">NO</x:t>
        </x:is>
      </x:c>
      <x:c r="K112" s="20" t="inlineStr">
        <x:is>
          <x:t xml:space="preserve"/>
        </x:is>
      </x:c>
      <x:c r="L112" s="20" t="inlineStr">
        <x:is>
          <x:t xml:space="preserve"/>
        </x:is>
      </x:c>
      <x:c r="M112" s="20" t="inlineStr">
        <x:is>
          <x:t xml:space="preserve"/>
        </x:is>
      </x:c>
      <x:c r="N112" s="20" t="inlineStr">
        <x:is>
          <x:t xml:space="preserve"/>
        </x:is>
      </x:c>
      <x:c r="O112" s="20" t="inlineStr">
        <x:is>
          <x:t xml:space="preserve"/>
        </x:is>
      </x:c>
      <x:c r="P112" s="20" t="inlineStr">
        <x:is>
          <x:t xml:space="preserve"/>
        </x:is>
      </x:c>
      <x:c r="Q112" s="20" t="inlineStr">
        <x:is>
          <x:t xml:space="preserve">https://www.fldoe.org/file/18534/SchoolGrades25.xlsx</x:t>
        </x:is>
      </x:c>
      <x:c r="R112" s="20" t="inlineStr">
        <x:is>
          <x:t xml:space="preserve">School type code 01; Title I=YES; Alternative/ESE=N; coordinates pending NCES/district GIS pull.</x:t>
        </x:is>
      </x:c>
    </x:row>
    <x:row r="113">
      <x:c r="A113" s="20" t="inlineStr">
        <x:is>
          <x:t xml:space="preserve">OSCEOLA</x:t>
        </x:is>
      </x:c>
      <x:c r="B113" s="20" t="inlineStr">
        <x:is>
          <x:t xml:space="preserve">OSCEOLA</x:t>
        </x:is>
      </x:c>
      <x:c r="C113" s="20" t="inlineStr">
        <x:is>
          <x:t xml:space="preserve">490921</x:t>
        </x:is>
      </x:c>
      <x:c r="D113" s="20" t="inlineStr">
        <x:is>
          <x:t xml:space="preserve"/>
        </x:is>
      </x:c>
      <x:c r="E113" s="20" t="inlineStr">
        <x:is>
          <x:t xml:space="preserve">OSCEOLA COUNTY SCHOOL FOR THE ARTS</x:t>
        </x:is>
      </x:c>
      <x:c r="F113" s="20" t="inlineStr">
        <x:is>
          <x:t xml:space="preserve">Combination</x:t>
        </x:is>
      </x:c>
      <x:c r="G113" s="20" t="inlineStr">
        <x:is>
          <x:t xml:space="preserve">YES</x:t>
        </x:is>
      </x:c>
      <x:c r="H113" s="20" t="inlineStr">
        <x:is>
          <x:t xml:space="preserve">NO</x:t>
        </x:is>
      </x:c>
      <x:c r="I113" s="20" t="inlineStr">
        <x:is>
          <x:t xml:space="preserve"/>
        </x:is>
      </x:c>
      <x:c r="J113" s="20" t="inlineStr">
        <x:is>
          <x:t xml:space="preserve">NO</x:t>
        </x:is>
      </x:c>
      <x:c r="K113" s="20" t="inlineStr">
        <x:is>
          <x:t xml:space="preserve"/>
        </x:is>
      </x:c>
      <x:c r="L113" s="20" t="inlineStr">
        <x:is>
          <x:t xml:space="preserve"/>
        </x:is>
      </x:c>
      <x:c r="M113" s="20" t="inlineStr">
        <x:is>
          <x:t xml:space="preserve"/>
        </x:is>
      </x:c>
      <x:c r="N113" s="20" t="inlineStr">
        <x:is>
          <x:t xml:space="preserve"/>
        </x:is>
      </x:c>
      <x:c r="O113" s="20" t="inlineStr">
        <x:is>
          <x:t xml:space="preserve"/>
        </x:is>
      </x:c>
      <x:c r="P113" s="20" t="inlineStr">
        <x:is>
          <x:t xml:space="preserve"/>
        </x:is>
      </x:c>
      <x:c r="Q113" s="20" t="inlineStr">
        <x:is>
          <x:t xml:space="preserve">https://www.fldoe.org/file/18534/SchoolGrades25.xlsx</x:t>
        </x:is>
      </x:c>
      <x:c r="R113" s="20" t="inlineStr">
        <x:is>
          <x:t xml:space="preserve">School type code 04; Title I=NO; Alternative/ESE=N; coordinates pending NCES/district GIS pull.</x:t>
        </x:is>
      </x:c>
    </x:row>
    <x:row r="114">
      <x:c r="A114" s="20" t="inlineStr">
        <x:is>
          <x:t xml:space="preserve">OSCEOLA</x:t>
        </x:is>
      </x:c>
      <x:c r="B114" s="20" t="inlineStr">
        <x:is>
          <x:t xml:space="preserve">OSCEOLA</x:t>
        </x:is>
      </x:c>
      <x:c r="C114" s="20" t="inlineStr">
        <x:is>
          <x:t xml:space="preserve">490922</x:t>
        </x:is>
      </x:c>
      <x:c r="D114" s="20" t="inlineStr">
        <x:is>
          <x:t xml:space="preserve"/>
        </x:is>
      </x:c>
      <x:c r="E114" s="20" t="inlineStr">
        <x:is>
          <x:t xml:space="preserve">HARMONY HIGH SCHOOL</x:t>
        </x:is>
      </x:c>
      <x:c r="F114" s="20" t="inlineStr">
        <x:is>
          <x:t xml:space="preserve">Senior High</x:t>
        </x:is>
      </x:c>
      <x:c r="G114" s="20" t="inlineStr">
        <x:is>
          <x:t xml:space="preserve">YES</x:t>
        </x:is>
      </x:c>
      <x:c r="H114" s="20" t="inlineStr">
        <x:is>
          <x:t xml:space="preserve">NO</x:t>
        </x:is>
      </x:c>
      <x:c r="I114" s="20" t="inlineStr">
        <x:is>
          <x:t xml:space="preserve"/>
        </x:is>
      </x:c>
      <x:c r="J114" s="20" t="inlineStr">
        <x:is>
          <x:t xml:space="preserve">NO</x:t>
        </x:is>
      </x:c>
      <x:c r="K114" s="20" t="inlineStr">
        <x:is>
          <x:t xml:space="preserve"/>
        </x:is>
      </x:c>
      <x:c r="L114" s="20" t="inlineStr">
        <x:is>
          <x:t xml:space="preserve"/>
        </x:is>
      </x:c>
      <x:c r="M114" s="20" t="inlineStr">
        <x:is>
          <x:t xml:space="preserve"/>
        </x:is>
      </x:c>
      <x:c r="N114" s="20" t="inlineStr">
        <x:is>
          <x:t xml:space="preserve"/>
        </x:is>
      </x:c>
      <x:c r="O114" s="20" t="inlineStr">
        <x:is>
          <x:t xml:space="preserve"/>
        </x:is>
      </x:c>
      <x:c r="P114" s="20" t="inlineStr">
        <x:is>
          <x:t xml:space="preserve"/>
        </x:is>
      </x:c>
      <x:c r="Q114" s="20" t="inlineStr">
        <x:is>
          <x:t xml:space="preserve">https://www.fldoe.org/file/18534/SchoolGrades25.xlsx</x:t>
        </x:is>
      </x:c>
      <x:c r="R114" s="20" t="inlineStr">
        <x:is>
          <x:t xml:space="preserve">School type code 03; Title I=NO; Alternative/ESE=N; coordinates pending NCES/district GIS pull.</x:t>
        </x:is>
      </x:c>
    </x:row>
    <x:row r="115">
      <x:c r="A115" s="20" t="inlineStr">
        <x:is>
          <x:t xml:space="preserve">OSCEOLA</x:t>
        </x:is>
      </x:c>
      <x:c r="B115" s="20" t="inlineStr">
        <x:is>
          <x:t xml:space="preserve">OSCEOLA</x:t>
        </x:is>
      </x:c>
      <x:c r="C115" s="20" t="inlineStr">
        <x:is>
          <x:t xml:space="preserve">490931</x:t>
        </x:is>
      </x:c>
      <x:c r="D115" s="20" t="inlineStr">
        <x:is>
          <x:t xml:space="preserve"/>
        </x:is>
      </x:c>
      <x:c r="E115" s="20" t="inlineStr">
        <x:is>
          <x:t xml:space="preserve">FLORA RIDGE ELEMENTARY SCHOOL</x:t>
        </x:is>
      </x:c>
      <x:c r="F115" s="20" t="inlineStr">
        <x:is>
          <x:t xml:space="preserve">Elementary</x:t>
        </x:is>
      </x:c>
      <x:c r="G115" s="20" t="inlineStr">
        <x:is>
          <x:t xml:space="preserve">YES</x:t>
        </x:is>
      </x:c>
      <x:c r="H115" s="20" t="inlineStr">
        <x:is>
          <x:t xml:space="preserve">NO</x:t>
        </x:is>
      </x:c>
      <x:c r="I115" s="20" t="inlineStr">
        <x:is>
          <x:t xml:space="preserve"/>
        </x:is>
      </x:c>
      <x:c r="J115" s="20" t="inlineStr">
        <x:is>
          <x:t xml:space="preserve">NO</x:t>
        </x:is>
      </x:c>
      <x:c r="K115" s="20" t="inlineStr">
        <x:is>
          <x:t xml:space="preserve"/>
        </x:is>
      </x:c>
      <x:c r="L115" s="20" t="inlineStr">
        <x:is>
          <x:t xml:space="preserve"/>
        </x:is>
      </x:c>
      <x:c r="M115" s="20" t="inlineStr">
        <x:is>
          <x:t xml:space="preserve"/>
        </x:is>
      </x:c>
      <x:c r="N115" s="20" t="inlineStr">
        <x:is>
          <x:t xml:space="preserve"/>
        </x:is>
      </x:c>
      <x:c r="O115" s="20" t="inlineStr">
        <x:is>
          <x:t xml:space="preserve"/>
        </x:is>
      </x:c>
      <x:c r="P115" s="20" t="inlineStr">
        <x:is>
          <x:t xml:space="preserve"/>
        </x:is>
      </x:c>
      <x:c r="Q115" s="20" t="inlineStr">
        <x:is>
          <x:t xml:space="preserve">https://www.fldoe.org/file/18534/SchoolGrades25.xlsx</x:t>
        </x:is>
      </x:c>
      <x:c r="R115" s="20" t="inlineStr">
        <x:is>
          <x:t xml:space="preserve">School type code 01; Title I=YES; Alternative/ESE=N; coordinates pending NCES/district GIS pull.</x:t>
        </x:is>
      </x:c>
    </x:row>
    <x:row r="116">
      <x:c r="A116" s="20" t="inlineStr">
        <x:is>
          <x:t xml:space="preserve">OSCEOLA</x:t>
        </x:is>
      </x:c>
      <x:c r="B116" s="20" t="inlineStr">
        <x:is>
          <x:t xml:space="preserve">OSCEOLA</x:t>
        </x:is>
      </x:c>
      <x:c r="C116" s="20" t="inlineStr">
        <x:is>
          <x:t xml:space="preserve">490932</x:t>
        </x:is>
      </x:c>
      <x:c r="D116" s="20" t="inlineStr">
        <x:is>
          <x:t xml:space="preserve"/>
        </x:is>
      </x:c>
      <x:c r="E116" s="20" t="inlineStr">
        <x:is>
          <x:t xml:space="preserve">BELLALAGO CHARTER ACADEMY</x:t>
        </x:is>
      </x:c>
      <x:c r="F116" s="20" t="inlineStr">
        <x:is>
          <x:t xml:space="preserve">Combination</x:t>
        </x:is>
      </x:c>
      <x:c r="G116" s="20" t="inlineStr">
        <x:is>
          <x:t xml:space="preserve">NO</x:t>
        </x:is>
      </x:c>
      <x:c r="H116" s="20" t="inlineStr">
        <x:is>
          <x:t xml:space="preserve">YES</x:t>
        </x:is>
      </x:c>
      <x:c r="I116" s="20" t="inlineStr">
        <x:is>
          <x:t xml:space="preserve"/>
        </x:is>
      </x:c>
      <x:c r="J116" s="20" t="inlineStr">
        <x:is>
          <x:t xml:space="preserve">NO</x:t>
        </x:is>
      </x:c>
      <x:c r="K116" s="20" t="inlineStr">
        <x:is>
          <x:t xml:space="preserve"/>
        </x:is>
      </x:c>
      <x:c r="L116" s="20" t="inlineStr">
        <x:is>
          <x:t xml:space="preserve"/>
        </x:is>
      </x:c>
      <x:c r="M116" s="20" t="inlineStr">
        <x:is>
          <x:t xml:space="preserve"/>
        </x:is>
      </x:c>
      <x:c r="N116" s="20" t="inlineStr">
        <x:is>
          <x:t xml:space="preserve"/>
        </x:is>
      </x:c>
      <x:c r="O116" s="20" t="inlineStr">
        <x:is>
          <x:t xml:space="preserve"/>
        </x:is>
      </x:c>
      <x:c r="P116" s="20" t="inlineStr">
        <x:is>
          <x:t xml:space="preserve"/>
        </x:is>
      </x:c>
      <x:c r="Q116" s="20" t="inlineStr">
        <x:is>
          <x:t xml:space="preserve">https://www.fldoe.org/file/18534/SchoolGrades25.xlsx</x:t>
        </x:is>
      </x:c>
      <x:c r="R116" s="20" t="inlineStr">
        <x:is>
          <x:t xml:space="preserve">School type code 04; Title I=YES; Alternative/ESE=N; coordinates pending NCES/district GIS pull.</x:t>
        </x:is>
      </x:c>
    </x:row>
    <x:row r="117">
      <x:c r="A117" s="20" t="inlineStr">
        <x:is>
          <x:t xml:space="preserve">OSCEOLA</x:t>
        </x:is>
      </x:c>
      <x:c r="B117" s="20" t="inlineStr">
        <x:is>
          <x:t xml:space="preserve">OSCEOLA</x:t>
        </x:is>
      </x:c>
      <x:c r="C117" s="20" t="inlineStr">
        <x:is>
          <x:t xml:space="preserve">490933</x:t>
        </x:is>
      </x:c>
      <x:c r="D117" s="20" t="inlineStr">
        <x:is>
          <x:t xml:space="preserve"/>
        </x:is>
      </x:c>
      <x:c r="E117" s="20" t="inlineStr">
        <x:is>
          <x:t xml:space="preserve">NEPTUNE ELEMENTARY SCHOOL</x:t>
        </x:is>
      </x:c>
      <x:c r="F117" s="20" t="inlineStr">
        <x:is>
          <x:t xml:space="preserve">Elementary</x:t>
        </x:is>
      </x:c>
      <x:c r="G117" s="20" t="inlineStr">
        <x:is>
          <x:t xml:space="preserve">YES</x:t>
        </x:is>
      </x:c>
      <x:c r="H117" s="20" t="inlineStr">
        <x:is>
          <x:t xml:space="preserve">NO</x:t>
        </x:is>
      </x:c>
      <x:c r="I117" s="20" t="inlineStr">
        <x:is>
          <x:t xml:space="preserve"/>
        </x:is>
      </x:c>
      <x:c r="J117" s="20" t="inlineStr">
        <x:is>
          <x:t xml:space="preserve">NO</x:t>
        </x:is>
      </x:c>
      <x:c r="K117" s="20" t="inlineStr">
        <x:is>
          <x:t xml:space="preserve"/>
        </x:is>
      </x:c>
      <x:c r="L117" s="20" t="inlineStr">
        <x:is>
          <x:t xml:space="preserve"/>
        </x:is>
      </x:c>
      <x:c r="M117" s="20" t="inlineStr">
        <x:is>
          <x:t xml:space="preserve"/>
        </x:is>
      </x:c>
      <x:c r="N117" s="20" t="inlineStr">
        <x:is>
          <x:t xml:space="preserve"/>
        </x:is>
      </x:c>
      <x:c r="O117" s="20" t="inlineStr">
        <x:is>
          <x:t xml:space="preserve"/>
        </x:is>
      </x:c>
      <x:c r="P117" s="20" t="inlineStr">
        <x:is>
          <x:t xml:space="preserve"/>
        </x:is>
      </x:c>
      <x:c r="Q117" s="20" t="inlineStr">
        <x:is>
          <x:t xml:space="preserve">https://www.fldoe.org/file/18534/SchoolGrades25.xlsx</x:t>
        </x:is>
      </x:c>
      <x:c r="R117" s="20" t="inlineStr">
        <x:is>
          <x:t xml:space="preserve">School type code 01; Title I=YES; Alternative/ESE=N; coordinates pending NCES/district GIS pull.</x:t>
        </x:is>
      </x:c>
    </x:row>
    <x:row r="118">
      <x:c r="A118" s="20" t="inlineStr">
        <x:is>
          <x:t xml:space="preserve">OSCEOLA</x:t>
        </x:is>
      </x:c>
      <x:c r="B118" s="20" t="inlineStr">
        <x:is>
          <x:t xml:space="preserve">OSCEOLA</x:t>
        </x:is>
      </x:c>
      <x:c r="C118" s="20" t="inlineStr">
        <x:is>
          <x:t xml:space="preserve">490957</x:t>
        </x:is>
      </x:c>
      <x:c r="D118" s="20" t="inlineStr">
        <x:is>
          <x:t xml:space="preserve"/>
        </x:is>
      </x:c>
      <x:c r="E118" s="20" t="inlineStr">
        <x:is>
          <x:t xml:space="preserve">CHESTNUT ELEMENTARY SCHOOL FOR SCIENCE AND ENGINEERING</x:t>
        </x:is>
      </x:c>
      <x:c r="F118" s="20" t="inlineStr">
        <x:is>
          <x:t xml:space="preserve">Elementary</x:t>
        </x:is>
      </x:c>
      <x:c r="G118" s="20" t="inlineStr">
        <x:is>
          <x:t xml:space="preserve">YES</x:t>
        </x:is>
      </x:c>
      <x:c r="H118" s="20" t="inlineStr">
        <x:is>
          <x:t xml:space="preserve">NO</x:t>
        </x:is>
      </x:c>
      <x:c r="I118" s="20" t="inlineStr">
        <x:is>
          <x:t xml:space="preserve"/>
        </x:is>
      </x:c>
      <x:c r="J118" s="20" t="inlineStr">
        <x:is>
          <x:t xml:space="preserve">NO</x:t>
        </x:is>
      </x:c>
      <x:c r="K118" s="20" t="inlineStr">
        <x:is>
          <x:t xml:space="preserve"/>
        </x:is>
      </x:c>
      <x:c r="L118" s="20" t="inlineStr">
        <x:is>
          <x:t xml:space="preserve"/>
        </x:is>
      </x:c>
      <x:c r="M118" s="20" t="inlineStr">
        <x:is>
          <x:t xml:space="preserve"/>
        </x:is>
      </x:c>
      <x:c r="N118" s="20" t="inlineStr">
        <x:is>
          <x:t xml:space="preserve"/>
        </x:is>
      </x:c>
      <x:c r="O118" s="20" t="inlineStr">
        <x:is>
          <x:t xml:space="preserve"/>
        </x:is>
      </x:c>
      <x:c r="P118" s="20" t="inlineStr">
        <x:is>
          <x:t xml:space="preserve"/>
        </x:is>
      </x:c>
      <x:c r="Q118" s="20" t="inlineStr">
        <x:is>
          <x:t xml:space="preserve">https://www.fldoe.org/file/18534/SchoolGrades25.xlsx</x:t>
        </x:is>
      </x:c>
      <x:c r="R118" s="20" t="inlineStr">
        <x:is>
          <x:t xml:space="preserve">School type code 01; Title I=YES; Alternative/ESE=N; coordinates pending NCES/district GIS pull.</x:t>
        </x:is>
      </x:c>
    </x:row>
    <x:row r="119">
      <x:c r="A119" s="20" t="inlineStr">
        <x:is>
          <x:t xml:space="preserve">OSCEOLA</x:t>
        </x:is>
      </x:c>
      <x:c r="B119" s="20" t="inlineStr">
        <x:is>
          <x:t xml:space="preserve">OSCEOLA</x:t>
        </x:is>
      </x:c>
      <x:c r="C119" s="20" t="inlineStr">
        <x:is>
          <x:t xml:space="preserve">490958</x:t>
        </x:is>
      </x:c>
      <x:c r="D119" s="20" t="inlineStr">
        <x:is>
          <x:t xml:space="preserve"/>
        </x:is>
      </x:c>
      <x:c r="E119" s="20" t="inlineStr">
        <x:is>
          <x:t xml:space="preserve">SUNRISE ELEMENTARY SCHOOL</x:t>
        </x:is>
      </x:c>
      <x:c r="F119" s="20" t="inlineStr">
        <x:is>
          <x:t xml:space="preserve">Elementary</x:t>
        </x:is>
      </x:c>
      <x:c r="G119" s="20" t="inlineStr">
        <x:is>
          <x:t xml:space="preserve">YES</x:t>
        </x:is>
      </x:c>
      <x:c r="H119" s="20" t="inlineStr">
        <x:is>
          <x:t xml:space="preserve">NO</x:t>
        </x:is>
      </x:c>
      <x:c r="I119" s="20" t="inlineStr">
        <x:is>
          <x:t xml:space="preserve"/>
        </x:is>
      </x:c>
      <x:c r="J119" s="20" t="inlineStr">
        <x:is>
          <x:t xml:space="preserve">NO</x:t>
        </x:is>
      </x:c>
      <x:c r="K119" s="20" t="inlineStr">
        <x:is>
          <x:t xml:space="preserve"/>
        </x:is>
      </x:c>
      <x:c r="L119" s="20" t="inlineStr">
        <x:is>
          <x:t xml:space="preserve"/>
        </x:is>
      </x:c>
      <x:c r="M119" s="20" t="inlineStr">
        <x:is>
          <x:t xml:space="preserve"/>
        </x:is>
      </x:c>
      <x:c r="N119" s="20" t="inlineStr">
        <x:is>
          <x:t xml:space="preserve"/>
        </x:is>
      </x:c>
      <x:c r="O119" s="20" t="inlineStr">
        <x:is>
          <x:t xml:space="preserve"/>
        </x:is>
      </x:c>
      <x:c r="P119" s="20" t="inlineStr">
        <x:is>
          <x:t xml:space="preserve"/>
        </x:is>
      </x:c>
      <x:c r="Q119" s="20" t="inlineStr">
        <x:is>
          <x:t xml:space="preserve">https://www.fldoe.org/file/18534/SchoolGrades25.xlsx</x:t>
        </x:is>
      </x:c>
      <x:c r="R119" s="20" t="inlineStr">
        <x:is>
          <x:t xml:space="preserve">School type code 01; Title I=YES; Alternative/ESE=N; coordinates pending NCES/district GIS pull.</x:t>
        </x:is>
      </x:c>
    </x:row>
    <x:row r="120">
      <x:c r="A120" s="20" t="inlineStr">
        <x:is>
          <x:t xml:space="preserve">OSCEOLA</x:t>
        </x:is>
      </x:c>
      <x:c r="B120" s="20" t="inlineStr">
        <x:is>
          <x:t xml:space="preserve">OSCEOLA</x:t>
        </x:is>
      </x:c>
      <x:c r="C120" s="20" t="inlineStr">
        <x:is>
          <x:t xml:space="preserve">490961</x:t>
        </x:is>
      </x:c>
      <x:c r="D120" s="20" t="inlineStr">
        <x:is>
          <x:t xml:space="preserve"/>
        </x:is>
      </x:c>
      <x:c r="E120" s="20" t="inlineStr">
        <x:is>
          <x:t xml:space="preserve">EAST LAKE ELEMENTARY SCHOOL</x:t>
        </x:is>
      </x:c>
      <x:c r="F120" s="20" t="inlineStr">
        <x:is>
          <x:t xml:space="preserve">Elementary</x:t>
        </x:is>
      </x:c>
      <x:c r="G120" s="20" t="inlineStr">
        <x:is>
          <x:t xml:space="preserve">YES</x:t>
        </x:is>
      </x:c>
      <x:c r="H120" s="20" t="inlineStr">
        <x:is>
          <x:t xml:space="preserve">NO</x:t>
        </x:is>
      </x:c>
      <x:c r="I120" s="20" t="inlineStr">
        <x:is>
          <x:t xml:space="preserve"/>
        </x:is>
      </x:c>
      <x:c r="J120" s="20" t="inlineStr">
        <x:is>
          <x:t xml:space="preserve">NO</x:t>
        </x:is>
      </x:c>
      <x:c r="K120" s="20" t="inlineStr">
        <x:is>
          <x:t xml:space="preserve"/>
        </x:is>
      </x:c>
      <x:c r="L120" s="20" t="inlineStr">
        <x:is>
          <x:t xml:space="preserve"/>
        </x:is>
      </x:c>
      <x:c r="M120" s="20" t="inlineStr">
        <x:is>
          <x:t xml:space="preserve"/>
        </x:is>
      </x:c>
      <x:c r="N120" s="20" t="inlineStr">
        <x:is>
          <x:t xml:space="preserve"/>
        </x:is>
      </x:c>
      <x:c r="O120" s="20" t="inlineStr">
        <x:is>
          <x:t xml:space="preserve"/>
        </x:is>
      </x:c>
      <x:c r="P120" s="20" t="inlineStr">
        <x:is>
          <x:t xml:space="preserve"/>
        </x:is>
      </x:c>
      <x:c r="Q120" s="20" t="inlineStr">
        <x:is>
          <x:t xml:space="preserve">https://www.fldoe.org/file/18534/SchoolGrades25.xlsx</x:t>
        </x:is>
      </x:c>
      <x:c r="R120" s="20" t="inlineStr">
        <x:is>
          <x:t xml:space="preserve">School type code 01; Title I=YES; Alternative/ESE=N; coordinates pending NCES/district GIS pull.</x:t>
        </x:is>
      </x:c>
    </x:row>
    <x:row r="121">
      <x:c r="A121" s="20" t="inlineStr">
        <x:is>
          <x:t xml:space="preserve">OSCEOLA</x:t>
        </x:is>
      </x:c>
      <x:c r="B121" s="20" t="inlineStr">
        <x:is>
          <x:t xml:space="preserve">OSCEOLA</x:t>
        </x:is>
      </x:c>
      <x:c r="C121" s="20" t="inlineStr">
        <x:is>
          <x:t xml:space="preserve">490962</x:t>
        </x:is>
      </x:c>
      <x:c r="D121" s="20" t="inlineStr">
        <x:is>
          <x:t xml:space="preserve"/>
        </x:is>
      </x:c>
      <x:c r="E121" s="20" t="inlineStr">
        <x:is>
          <x:t xml:space="preserve">NEOCITY ACADEMY</x:t>
        </x:is>
      </x:c>
      <x:c r="F121" s="20" t="inlineStr">
        <x:is>
          <x:t xml:space="preserve">Senior High</x:t>
        </x:is>
      </x:c>
      <x:c r="G121" s="20" t="inlineStr">
        <x:is>
          <x:t xml:space="preserve">YES</x:t>
        </x:is>
      </x:c>
      <x:c r="H121" s="20" t="inlineStr">
        <x:is>
          <x:t xml:space="preserve">NO</x:t>
        </x:is>
      </x:c>
      <x:c r="I121" s="20" t="inlineStr">
        <x:is>
          <x:t xml:space="preserve"/>
        </x:is>
      </x:c>
      <x:c r="J121" s="20" t="inlineStr">
        <x:is>
          <x:t xml:space="preserve">NO</x:t>
        </x:is>
      </x:c>
      <x:c r="K121" s="20" t="inlineStr">
        <x:is>
          <x:t xml:space="preserve"/>
        </x:is>
      </x:c>
      <x:c r="L121" s="20" t="inlineStr">
        <x:is>
          <x:t xml:space="preserve"/>
        </x:is>
      </x:c>
      <x:c r="M121" s="20" t="inlineStr">
        <x:is>
          <x:t xml:space="preserve"/>
        </x:is>
      </x:c>
      <x:c r="N121" s="20" t="inlineStr">
        <x:is>
          <x:t xml:space="preserve"/>
        </x:is>
      </x:c>
      <x:c r="O121" s="20" t="inlineStr">
        <x:is>
          <x:t xml:space="preserve"/>
        </x:is>
      </x:c>
      <x:c r="P121" s="20" t="inlineStr">
        <x:is>
          <x:t xml:space="preserve"/>
        </x:is>
      </x:c>
      <x:c r="Q121" s="20" t="inlineStr">
        <x:is>
          <x:t xml:space="preserve">https://www.fldoe.org/file/18534/SchoolGrades25.xlsx</x:t>
        </x:is>
      </x:c>
      <x:c r="R121" s="20" t="inlineStr">
        <x:is>
          <x:t xml:space="preserve">School type code 03; Title I=NO; Alternative/ESE=N; coordinates pending NCES/district GIS pull.</x:t>
        </x:is>
      </x:c>
    </x:row>
    <x:row r="122">
      <x:c r="A122" s="20" t="inlineStr">
        <x:is>
          <x:t xml:space="preserve">OSCEOLA</x:t>
        </x:is>
      </x:c>
      <x:c r="B122" s="20" t="inlineStr">
        <x:is>
          <x:t xml:space="preserve">OSCEOLA</x:t>
        </x:is>
      </x:c>
      <x:c r="C122" s="20" t="inlineStr">
        <x:is>
          <x:t xml:space="preserve">490971</x:t>
        </x:is>
      </x:c>
      <x:c r="D122" s="20" t="inlineStr">
        <x:is>
          <x:t xml:space="preserve"/>
        </x:is>
      </x:c>
      <x:c r="E122" s="20" t="inlineStr">
        <x:is>
          <x:t xml:space="preserve">MATER BRIGHTON LAKES ACADEMY PREPARATORY HIGH</x:t>
        </x:is>
      </x:c>
      <x:c r="F122" s="20" t="inlineStr">
        <x:is>
          <x:t xml:space="preserve">Senior High</x:t>
        </x:is>
      </x:c>
      <x:c r="G122" s="20" t="inlineStr">
        <x:is>
          <x:t xml:space="preserve">NO</x:t>
        </x:is>
      </x:c>
      <x:c r="H122" s="20" t="inlineStr">
        <x:is>
          <x:t xml:space="preserve">YES</x:t>
        </x:is>
      </x:c>
      <x:c r="I122" s="20" t="inlineStr">
        <x:is>
          <x:t xml:space="preserve"/>
        </x:is>
      </x:c>
      <x:c r="J122" s="20" t="inlineStr">
        <x:is>
          <x:t xml:space="preserve">NO</x:t>
        </x:is>
      </x:c>
      <x:c r="K122" s="20" t="inlineStr">
        <x:is>
          <x:t xml:space="preserve"/>
        </x:is>
      </x:c>
      <x:c r="L122" s="20" t="inlineStr">
        <x:is>
          <x:t xml:space="preserve"/>
        </x:is>
      </x:c>
      <x:c r="M122" s="20" t="inlineStr">
        <x:is>
          <x:t xml:space="preserve"/>
        </x:is>
      </x:c>
      <x:c r="N122" s="20" t="inlineStr">
        <x:is>
          <x:t xml:space="preserve"/>
        </x:is>
      </x:c>
      <x:c r="O122" s="20" t="inlineStr">
        <x:is>
          <x:t xml:space="preserve"/>
        </x:is>
      </x:c>
      <x:c r="P122" s="20" t="inlineStr">
        <x:is>
          <x:t xml:space="preserve"/>
        </x:is>
      </x:c>
      <x:c r="Q122" s="20" t="inlineStr">
        <x:is>
          <x:t xml:space="preserve">https://www.fldoe.org/file/18534/SchoolGrades25.xlsx</x:t>
        </x:is>
      </x:c>
      <x:c r="R122" s="20" t="inlineStr">
        <x:is>
          <x:t xml:space="preserve">School type code 03; Title I=YES; Alternative/ESE=N; coordinates pending NCES/district GIS pull.</x:t>
        </x:is>
      </x:c>
    </x:row>
    <x:row r="123">
      <x:c r="A123" s="20" t="inlineStr">
        <x:is>
          <x:t xml:space="preserve">OSCEOLA</x:t>
        </x:is>
      </x:c>
      <x:c r="B123" s="20" t="inlineStr">
        <x:is>
          <x:t xml:space="preserve">OSCEOLA</x:t>
        </x:is>
      </x:c>
      <x:c r="C123" s="20" t="inlineStr">
        <x:is>
          <x:t xml:space="preserve">490991</x:t>
        </x:is>
      </x:c>
      <x:c r="D123" s="20" t="inlineStr">
        <x:is>
          <x:t xml:space="preserve"/>
        </x:is>
      </x:c>
      <x:c r="E123" s="20" t="inlineStr">
        <x:is>
          <x:t xml:space="preserve">CANOE CREEK K-8</x:t>
        </x:is>
      </x:c>
      <x:c r="F123" s="20" t="inlineStr">
        <x:is>
          <x:t xml:space="preserve">Combination</x:t>
        </x:is>
      </x:c>
      <x:c r="G123" s="20" t="inlineStr">
        <x:is>
          <x:t xml:space="preserve">YES</x:t>
        </x:is>
      </x:c>
      <x:c r="H123" s="20" t="inlineStr">
        <x:is>
          <x:t xml:space="preserve">NO</x:t>
        </x:is>
      </x:c>
      <x:c r="I123" s="20" t="inlineStr">
        <x:is>
          <x:t xml:space="preserve"/>
        </x:is>
      </x:c>
      <x:c r="J123" s="20" t="inlineStr">
        <x:is>
          <x:t xml:space="preserve">NO</x:t>
        </x:is>
      </x:c>
      <x:c r="K123" s="20" t="inlineStr">
        <x:is>
          <x:t xml:space="preserve"/>
        </x:is>
      </x:c>
      <x:c r="L123" s="20" t="inlineStr">
        <x:is>
          <x:t xml:space="preserve"/>
        </x:is>
      </x:c>
      <x:c r="M123" s="20" t="inlineStr">
        <x:is>
          <x:t xml:space="preserve"/>
        </x:is>
      </x:c>
      <x:c r="N123" s="20" t="inlineStr">
        <x:is>
          <x:t xml:space="preserve"/>
        </x:is>
      </x:c>
      <x:c r="O123" s="20" t="inlineStr">
        <x:is>
          <x:t xml:space="preserve"/>
        </x:is>
      </x:c>
      <x:c r="P123" s="20" t="inlineStr">
        <x:is>
          <x:t xml:space="preserve"/>
        </x:is>
      </x:c>
      <x:c r="Q123" s="20" t="inlineStr">
        <x:is>
          <x:t xml:space="preserve">https://www.fldoe.org/file/18534/SchoolGrades25.xlsx</x:t>
        </x:is>
      </x:c>
      <x:c r="R123" s="20" t="inlineStr">
        <x:is>
          <x:t xml:space="preserve">School type code 04; Title I=NO; Alternative/ESE=N; coordinates pending NCES/district GIS pull.</x:t>
        </x:is>
      </x:c>
    </x:row>
    <x:row r="124">
      <x:c r="A124" s="20" t="inlineStr">
        <x:is>
          <x:t xml:space="preserve">OSCEOLA</x:t>
        </x:is>
      </x:c>
      <x:c r="B124" s="20" t="inlineStr">
        <x:is>
          <x:t xml:space="preserve">OSCEOLA</x:t>
        </x:is>
      </x:c>
      <x:c r="C124" s="20" t="inlineStr">
        <x:is>
          <x:t xml:space="preserve">492941</x:t>
        </x:is>
      </x:c>
      <x:c r="D124" s="20" t="inlineStr">
        <x:is>
          <x:t xml:space="preserve"/>
        </x:is>
      </x:c>
      <x:c r="E124" s="20" t="inlineStr">
        <x:is>
          <x:t xml:space="preserve">KNIGHTS POINT K-8</x:t>
        </x:is>
      </x:c>
      <x:c r="F124" s="20" t="inlineStr">
        <x:is>
          <x:t xml:space="preserve">Combination</x:t>
        </x:is>
      </x:c>
      <x:c r="G124" s="20" t="inlineStr">
        <x:is>
          <x:t xml:space="preserve">YES</x:t>
        </x:is>
      </x:c>
      <x:c r="H124" s="20" t="inlineStr">
        <x:is>
          <x:t xml:space="preserve">NO</x:t>
        </x:is>
      </x:c>
      <x:c r="I124" s="20" t="inlineStr">
        <x:is>
          <x:t xml:space="preserve"/>
        </x:is>
      </x:c>
      <x:c r="J124" s="20" t="inlineStr">
        <x:is>
          <x:t xml:space="preserve">NO</x:t>
        </x:is>
      </x:c>
      <x:c r="K124" s="20" t="inlineStr">
        <x:is>
          <x:t xml:space="preserve"/>
        </x:is>
      </x:c>
      <x:c r="L124" s="20" t="inlineStr">
        <x:is>
          <x:t xml:space="preserve"/>
        </x:is>
      </x:c>
      <x:c r="M124" s="20" t="inlineStr">
        <x:is>
          <x:t xml:space="preserve"/>
        </x:is>
      </x:c>
      <x:c r="N124" s="20" t="inlineStr">
        <x:is>
          <x:t xml:space="preserve"/>
        </x:is>
      </x:c>
      <x:c r="O124" s="20" t="inlineStr">
        <x:is>
          <x:t xml:space="preserve"/>
        </x:is>
      </x:c>
      <x:c r="P124" s="20" t="inlineStr">
        <x:is>
          <x:t xml:space="preserve"/>
        </x:is>
      </x:c>
      <x:c r="Q124" s="20" t="inlineStr">
        <x:is>
          <x:t xml:space="preserve">https://www.fldoe.org/file/18534/SchoolGrades25.xlsx</x:t>
        </x:is>
      </x:c>
      <x:c r="R124" s="20" t="inlineStr">
        <x:is>
          <x:t xml:space="preserve">School type code 04; Title I=NO; Alternative/ESE=N; coordinates pending NCES/district GIS pull.</x:t>
        </x:is>
      </x:c>
    </x:row>
    <x:row r="125">
      <x:c r="A125" s="20" t="inlineStr">
        <x:is>
          <x:t xml:space="preserve">OSCEOLA</x:t>
        </x:is>
      </x:c>
      <x:c r="B125" s="20" t="inlineStr">
        <x:is>
          <x:t xml:space="preserve">OSCEOLA</x:t>
        </x:is>
      </x:c>
      <x:c r="C125" s="20" t="inlineStr">
        <x:is>
          <x:t xml:space="preserve">492942</x:t>
        </x:is>
      </x:c>
      <x:c r="D125" s="20" t="inlineStr">
        <x:is>
          <x:t xml:space="preserve"/>
        </x:is>
      </x:c>
      <x:c r="E125" s="20" t="inlineStr">
        <x:is>
          <x:t xml:space="preserve">VOYAGER K-8</x:t>
        </x:is>
      </x:c>
      <x:c r="F125" s="20" t="inlineStr">
        <x:is>
          <x:t xml:space="preserve">Combination</x:t>
        </x:is>
      </x:c>
      <x:c r="G125" s="20" t="inlineStr">
        <x:is>
          <x:t xml:space="preserve">YES</x:t>
        </x:is>
      </x:c>
      <x:c r="H125" s="20" t="inlineStr">
        <x:is>
          <x:t xml:space="preserve">NO</x:t>
        </x:is>
      </x:c>
      <x:c r="I125" s="20" t="inlineStr">
        <x:is>
          <x:t xml:space="preserve"/>
        </x:is>
      </x:c>
      <x:c r="J125" s="20" t="inlineStr">
        <x:is>
          <x:t xml:space="preserve">NO</x:t>
        </x:is>
      </x:c>
      <x:c r="K125" s="20" t="inlineStr">
        <x:is>
          <x:t xml:space="preserve"/>
        </x:is>
      </x:c>
      <x:c r="L125" s="20" t="inlineStr">
        <x:is>
          <x:t xml:space="preserve"/>
        </x:is>
      </x:c>
      <x:c r="M125" s="20" t="inlineStr">
        <x:is>
          <x:t xml:space="preserve"/>
        </x:is>
      </x:c>
      <x:c r="N125" s="20" t="inlineStr">
        <x:is>
          <x:t xml:space="preserve"/>
        </x:is>
      </x:c>
      <x:c r="O125" s="20" t="inlineStr">
        <x:is>
          <x:t xml:space="preserve"/>
        </x:is>
      </x:c>
      <x:c r="P125" s="20" t="inlineStr">
        <x:is>
          <x:t xml:space="preserve"/>
        </x:is>
      </x:c>
      <x:c r="Q125" s="20" t="inlineStr">
        <x:is>
          <x:t xml:space="preserve">https://www.fldoe.org/file/18534/SchoolGrades25.xlsx</x:t>
        </x:is>
      </x:c>
      <x:c r="R125" s="20" t="inlineStr">
        <x:is>
          <x:t xml:space="preserve">School type code 04; Title I=NO; Alternative/ESE=N; coordinates pending NCES/district GIS pull.</x:t>
        </x:is>
      </x:c>
    </x:row>
    <x:row r="126">
      <x:c r="A126" s="20" t="inlineStr">
        <x:is>
          <x:t xml:space="preserve">OSCEOLA</x:t>
        </x:is>
      </x:c>
      <x:c r="B126" s="20" t="inlineStr">
        <x:is>
          <x:t xml:space="preserve">OSCEOLA</x:t>
        </x:is>
      </x:c>
      <x:c r="C126" s="20" t="inlineStr">
        <x:is>
          <x:t xml:space="preserve">497004</x:t>
        </x:is>
      </x:c>
      <x:c r="D126" s="20" t="inlineStr">
        <x:is>
          <x:t xml:space="preserve"/>
        </x:is>
      </x:c>
      <x:c r="E126" s="20" t="inlineStr">
        <x:is>
          <x:t xml:space="preserve">OSCEOLA VIRTUAL FRANCHISE (SECONDARY)</x:t>
        </x:is>
      </x:c>
      <x:c r="F126" s="20" t="inlineStr">
        <x:is>
          <x:t xml:space="preserve">Combination</x:t>
        </x:is>
      </x:c>
      <x:c r="G126" s="20" t="inlineStr">
        <x:is>
          <x:t xml:space="preserve">YES</x:t>
        </x:is>
      </x:c>
      <x:c r="H126" s="20" t="inlineStr">
        <x:is>
          <x:t xml:space="preserve">NO</x:t>
        </x:is>
      </x:c>
      <x:c r="I126" s="20" t="inlineStr">
        <x:is>
          <x:t xml:space="preserve"/>
        </x:is>
      </x:c>
      <x:c r="J126" s="20" t="inlineStr">
        <x:is>
          <x:t xml:space="preserve">NO</x:t>
        </x:is>
      </x:c>
      <x:c r="K126" s="20" t="inlineStr">
        <x:is>
          <x:t xml:space="preserve"/>
        </x:is>
      </x:c>
      <x:c r="L126" s="20" t="inlineStr">
        <x:is>
          <x:t xml:space="preserve"/>
        </x:is>
      </x:c>
      <x:c r="M126" s="20" t="inlineStr">
        <x:is>
          <x:t xml:space="preserve"/>
        </x:is>
      </x:c>
      <x:c r="N126" s="20" t="inlineStr">
        <x:is>
          <x:t xml:space="preserve"/>
        </x:is>
      </x:c>
      <x:c r="O126" s="20" t="inlineStr">
        <x:is>
          <x:t xml:space="preserve"/>
        </x:is>
      </x:c>
      <x:c r="P126" s="20" t="inlineStr">
        <x:is>
          <x:t xml:space="preserve"/>
        </x:is>
      </x:c>
      <x:c r="Q126" s="20" t="inlineStr">
        <x:is>
          <x:t xml:space="preserve">https://www.fldoe.org/file/18534/SchoolGrades25.xlsx</x:t>
        </x:is>
      </x:c>
      <x:c r="R126" s="20" t="inlineStr">
        <x:is>
          <x:t xml:space="preserve">School type code 04; Title I=NO; Alternative/ESE=N; coordinates pending NCES/district GIS pull.</x:t>
        </x:is>
      </x:c>
    </x:row>
    <x:row r="127">
      <x:c r="A127" s="20" t="inlineStr">
        <x:is>
          <x:t xml:space="preserve">OSCEOLA</x:t>
        </x:is>
      </x:c>
      <x:c r="B127" s="20" t="inlineStr">
        <x:is>
          <x:t xml:space="preserve">OSCEOLA</x:t>
        </x:is>
      </x:c>
      <x:c r="C127" s="20" t="inlineStr">
        <x:is>
          <x:t xml:space="preserve">497030</x:t>
        </x:is>
      </x:c>
      <x:c r="D127" s="20" t="inlineStr">
        <x:is>
          <x:t xml:space="preserve"/>
        </x:is>
      </x:c>
      <x:c r="E127" s="20" t="inlineStr">
        <x:is>
          <x:t xml:space="preserve">VIRTUAL PREPARATORY ACADEMY OF FLORIDA</x:t>
        </x:is>
      </x:c>
      <x:c r="F127" s="20" t="inlineStr">
        <x:is>
          <x:t xml:space="preserve">Combination</x:t>
        </x:is>
      </x:c>
      <x:c r="G127" s="20" t="inlineStr">
        <x:is>
          <x:t xml:space="preserve">NO</x:t>
        </x:is>
      </x:c>
      <x:c r="H127" s="20" t="inlineStr">
        <x:is>
          <x:t xml:space="preserve">YES</x:t>
        </x:is>
      </x:c>
      <x:c r="I127" s="20" t="inlineStr">
        <x:is>
          <x:t xml:space="preserve"/>
        </x:is>
      </x:c>
      <x:c r="J127" s="20" t="inlineStr">
        <x:is>
          <x:t xml:space="preserve">NO</x:t>
        </x:is>
      </x:c>
      <x:c r="K127" s="20" t="inlineStr">
        <x:is>
          <x:t xml:space="preserve"/>
        </x:is>
      </x:c>
      <x:c r="L127" s="20" t="inlineStr">
        <x:is>
          <x:t xml:space="preserve"/>
        </x:is>
      </x:c>
      <x:c r="M127" s="20" t="inlineStr">
        <x:is>
          <x:t xml:space="preserve"/>
        </x:is>
      </x:c>
      <x:c r="N127" s="20" t="inlineStr">
        <x:is>
          <x:t xml:space="preserve"/>
        </x:is>
      </x:c>
      <x:c r="O127" s="20" t="inlineStr">
        <x:is>
          <x:t xml:space="preserve"/>
        </x:is>
      </x:c>
      <x:c r="P127" s="20" t="inlineStr">
        <x:is>
          <x:t xml:space="preserve"/>
        </x:is>
      </x:c>
      <x:c r="Q127" s="20" t="inlineStr">
        <x:is>
          <x:t xml:space="preserve">https://www.fldoe.org/file/18534/SchoolGrades25.xlsx</x:t>
        </x:is>
      </x:c>
      <x:c r="R127" s="20" t="inlineStr">
        <x:is>
          <x:t xml:space="preserve">School type code 04; Title I=NO; Alternative/ESE=N; coordinates pending NCES/district GIS pull.</x:t>
        </x:is>
      </x:c>
    </x:row>
    <x:row r="128">
      <x:c r="A128" s="20" t="inlineStr">
        <x:is>
          <x:t xml:space="preserve">POLK</x:t>
        </x:is>
      </x:c>
      <x:c r="B128" s="20" t="inlineStr">
        <x:is>
          <x:t xml:space="preserve">POLK</x:t>
        </x:is>
      </x:c>
      <x:c r="C128" s="20" t="inlineStr">
        <x:is>
          <x:t xml:space="preserve">530031</x:t>
        </x:is>
      </x:c>
      <x:c r="D128" s="20" t="inlineStr">
        <x:is>
          <x:t xml:space="preserve"/>
        </x:is>
      </x:c>
      <x:c r="E128" s="20" t="inlineStr">
        <x:is>
          <x:t xml:space="preserve">LAKELAND SENIOR HIGH SCHOOL</x:t>
        </x:is>
      </x:c>
      <x:c r="F128" s="20" t="inlineStr">
        <x:is>
          <x:t xml:space="preserve">Senior High</x:t>
        </x:is>
      </x:c>
      <x:c r="G128" s="20" t="inlineStr">
        <x:is>
          <x:t xml:space="preserve">YES</x:t>
        </x:is>
      </x:c>
      <x:c r="H128" s="20" t="inlineStr">
        <x:is>
          <x:t xml:space="preserve">NO</x:t>
        </x:is>
      </x:c>
      <x:c r="I128" s="20" t="inlineStr">
        <x:is>
          <x:t xml:space="preserve"/>
        </x:is>
      </x:c>
      <x:c r="J128" s="20" t="inlineStr">
        <x:is>
          <x:t xml:space="preserve">NO</x:t>
        </x:is>
      </x:c>
      <x:c r="K128" s="20" t="inlineStr">
        <x:is>
          <x:t xml:space="preserve"/>
        </x:is>
      </x:c>
      <x:c r="L128" s="20" t="inlineStr">
        <x:is>
          <x:t xml:space="preserve"/>
        </x:is>
      </x:c>
      <x:c r="M128" s="20" t="inlineStr">
        <x:is>
          <x:t xml:space="preserve"/>
        </x:is>
      </x:c>
      <x:c r="N128" s="20" t="inlineStr">
        <x:is>
          <x:t xml:space="preserve"/>
        </x:is>
      </x:c>
      <x:c r="O128" s="20" t="inlineStr">
        <x:is>
          <x:t xml:space="preserve"/>
        </x:is>
      </x:c>
      <x:c r="P128" s="20" t="inlineStr">
        <x:is>
          <x:t xml:space="preserve"/>
        </x:is>
      </x:c>
      <x:c r="Q128" s="20" t="inlineStr">
        <x:is>
          <x:t xml:space="preserve">https://www.fldoe.org/file/18534/SchoolGrades25.xlsx</x:t>
        </x:is>
      </x:c>
      <x:c r="R128" s="20" t="inlineStr">
        <x:is>
          <x:t xml:space="preserve">School type code 03; Title I=YES; Alternative/ESE=N; coordinates pending NCES/district GIS pull.</x:t>
        </x:is>
      </x:c>
    </x:row>
    <x:row r="129">
      <x:c r="A129" s="20" t="inlineStr">
        <x:is>
          <x:t xml:space="preserve">POLK</x:t>
        </x:is>
      </x:c>
      <x:c r="B129" s="20" t="inlineStr">
        <x:is>
          <x:t xml:space="preserve">POLK</x:t>
        </x:is>
      </x:c>
      <x:c r="C129" s="20" t="inlineStr">
        <x:is>
          <x:t xml:space="preserve">530043</x:t>
        </x:is>
      </x:c>
      <x:c r="D129" s="20" t="inlineStr">
        <x:is>
          <x:t xml:space="preserve"/>
        </x:is>
      </x:c>
      <x:c r="E129" s="20" t="inlineStr">
        <x:is>
          <x:t xml:space="preserve">LAWTON CHILES MIDDLE ACADEMY</x:t>
        </x:is>
      </x:c>
      <x:c r="F129" s="20" t="inlineStr">
        <x:is>
          <x:t xml:space="preserve">Middle/Junior</x:t>
        </x:is>
      </x:c>
      <x:c r="G129" s="20" t="inlineStr">
        <x:is>
          <x:t xml:space="preserve">YES</x:t>
        </x:is>
      </x:c>
      <x:c r="H129" s="20" t="inlineStr">
        <x:is>
          <x:t xml:space="preserve">NO</x:t>
        </x:is>
      </x:c>
      <x:c r="I129" s="20" t="inlineStr">
        <x:is>
          <x:t xml:space="preserve"/>
        </x:is>
      </x:c>
      <x:c r="J129" s="20" t="inlineStr">
        <x:is>
          <x:t xml:space="preserve">NO</x:t>
        </x:is>
      </x:c>
      <x:c r="K129" s="20" t="inlineStr">
        <x:is>
          <x:t xml:space="preserve"/>
        </x:is>
      </x:c>
      <x:c r="L129" s="20" t="inlineStr">
        <x:is>
          <x:t xml:space="preserve"/>
        </x:is>
      </x:c>
      <x:c r="M129" s="20" t="inlineStr">
        <x:is>
          <x:t xml:space="preserve"/>
        </x:is>
      </x:c>
      <x:c r="N129" s="20" t="inlineStr">
        <x:is>
          <x:t xml:space="preserve"/>
        </x:is>
      </x:c>
      <x:c r="O129" s="20" t="inlineStr">
        <x:is>
          <x:t xml:space="preserve"/>
        </x:is>
      </x:c>
      <x:c r="P129" s="20" t="inlineStr">
        <x:is>
          <x:t xml:space="preserve"/>
        </x:is>
      </x:c>
      <x:c r="Q129" s="20" t="inlineStr">
        <x:is>
          <x:t xml:space="preserve">https://www.fldoe.org/file/18534/SchoolGrades25.xlsx</x:t>
        </x:is>
      </x:c>
      <x:c r="R129" s="20" t="inlineStr">
        <x:is>
          <x:t xml:space="preserve">School type code 02; Title I=NO; Alternative/ESE=N; coordinates pending NCES/district GIS pull.</x:t>
        </x:is>
      </x:c>
    </x:row>
    <x:row r="130">
      <x:c r="A130" s="20" t="inlineStr">
        <x:is>
          <x:t xml:space="preserve">POLK</x:t>
        </x:is>
      </x:c>
      <x:c r="B130" s="20" t="inlineStr">
        <x:is>
          <x:t xml:space="preserve">POLK</x:t>
        </x:is>
      </x:c>
      <x:c r="C130" s="20" t="inlineStr">
        <x:is>
          <x:t xml:space="preserve">530051</x:t>
        </x:is>
      </x:c>
      <x:c r="D130" s="20" t="inlineStr">
        <x:is>
          <x:t xml:space="preserve"/>
        </x:is>
      </x:c>
      <x:c r="E130" s="20" t="inlineStr">
        <x:is>
          <x:t xml:space="preserve">SOUTHWEST MIDDLE SCHOOL</x:t>
        </x:is>
      </x:c>
      <x:c r="F130" s="20" t="inlineStr">
        <x:is>
          <x:t xml:space="preserve">Middle/Junior</x:t>
        </x:is>
      </x:c>
      <x:c r="G130" s="20" t="inlineStr">
        <x:is>
          <x:t xml:space="preserve">YES</x:t>
        </x:is>
      </x:c>
      <x:c r="H130" s="20" t="inlineStr">
        <x:is>
          <x:t xml:space="preserve">NO</x:t>
        </x:is>
      </x:c>
      <x:c r="I130" s="20" t="inlineStr">
        <x:is>
          <x:t xml:space="preserve"/>
        </x:is>
      </x:c>
      <x:c r="J130" s="20" t="inlineStr">
        <x:is>
          <x:t xml:space="preserve">NO</x:t>
        </x:is>
      </x:c>
      <x:c r="K130" s="20" t="inlineStr">
        <x:is>
          <x:t xml:space="preserve"/>
        </x:is>
      </x:c>
      <x:c r="L130" s="20" t="inlineStr">
        <x:is>
          <x:t xml:space="preserve"/>
        </x:is>
      </x:c>
      <x:c r="M130" s="20" t="inlineStr">
        <x:is>
          <x:t xml:space="preserve"/>
        </x:is>
      </x:c>
      <x:c r="N130" s="20" t="inlineStr">
        <x:is>
          <x:t xml:space="preserve"/>
        </x:is>
      </x:c>
      <x:c r="O130" s="20" t="inlineStr">
        <x:is>
          <x:t xml:space="preserve"/>
        </x:is>
      </x:c>
      <x:c r="P130" s="20" t="inlineStr">
        <x:is>
          <x:t xml:space="preserve"/>
        </x:is>
      </x:c>
      <x:c r="Q130" s="20" t="inlineStr">
        <x:is>
          <x:t xml:space="preserve">https://www.fldoe.org/file/18534/SchoolGrades25.xlsx</x:t>
        </x:is>
      </x:c>
      <x:c r="R130" s="20" t="inlineStr">
        <x:is>
          <x:t xml:space="preserve">School type code 02; Title I=YES; Alternative/ESE=N; coordinates pending NCES/district GIS pull.</x:t>
        </x:is>
      </x:c>
    </x:row>
    <x:row r="131">
      <x:c r="A131" s="20" t="inlineStr">
        <x:is>
          <x:t xml:space="preserve">POLK</x:t>
        </x:is>
      </x:c>
      <x:c r="B131" s="20" t="inlineStr">
        <x:is>
          <x:t xml:space="preserve">POLK</x:t>
        </x:is>
      </x:c>
      <x:c r="C131" s="20" t="inlineStr">
        <x:is>
          <x:t xml:space="preserve">530061</x:t>
        </x:is>
      </x:c>
      <x:c r="D131" s="20" t="inlineStr">
        <x:is>
          <x:t xml:space="preserve"/>
        </x:is>
      </x:c>
      <x:c r="E131" s="20" t="inlineStr">
        <x:is>
          <x:t xml:space="preserve">CARLTON PALMORE ELEMENTARY SCHOOL</x:t>
        </x:is>
      </x:c>
      <x:c r="F131" s="20" t="inlineStr">
        <x:is>
          <x:t xml:space="preserve">Elementary</x:t>
        </x:is>
      </x:c>
      <x:c r="G131" s="20" t="inlineStr">
        <x:is>
          <x:t xml:space="preserve">YES</x:t>
        </x:is>
      </x:c>
      <x:c r="H131" s="20" t="inlineStr">
        <x:is>
          <x:t xml:space="preserve">NO</x:t>
        </x:is>
      </x:c>
      <x:c r="I131" s="20" t="inlineStr">
        <x:is>
          <x:t xml:space="preserve"/>
        </x:is>
      </x:c>
      <x:c r="J131" s="20" t="inlineStr">
        <x:is>
          <x:t xml:space="preserve">NO</x:t>
        </x:is>
      </x:c>
      <x:c r="K131" s="20" t="inlineStr">
        <x:is>
          <x:t xml:space="preserve"/>
        </x:is>
      </x:c>
      <x:c r="L131" s="20" t="inlineStr">
        <x:is>
          <x:t xml:space="preserve"/>
        </x:is>
      </x:c>
      <x:c r="M131" s="20" t="inlineStr">
        <x:is>
          <x:t xml:space="preserve"/>
        </x:is>
      </x:c>
      <x:c r="N131" s="20" t="inlineStr">
        <x:is>
          <x:t xml:space="preserve"/>
        </x:is>
      </x:c>
      <x:c r="O131" s="20" t="inlineStr">
        <x:is>
          <x:t xml:space="preserve"/>
        </x:is>
      </x:c>
      <x:c r="P131" s="20" t="inlineStr">
        <x:is>
          <x:t xml:space="preserve"/>
        </x:is>
      </x:c>
      <x:c r="Q131" s="20" t="inlineStr">
        <x:is>
          <x:t xml:space="preserve">https://www.fldoe.org/file/18534/SchoolGrades25.xlsx</x:t>
        </x:is>
      </x:c>
      <x:c r="R131" s="20" t="inlineStr">
        <x:is>
          <x:t xml:space="preserve">School type code 01; Title I=YES; Alternative/ESE=N; coordinates pending NCES/district GIS pull.</x:t>
        </x:is>
      </x:c>
    </x:row>
    <x:row r="132">
      <x:c r="A132" s="20" t="inlineStr">
        <x:is>
          <x:t xml:space="preserve">POLK</x:t>
        </x:is>
      </x:c>
      <x:c r="B132" s="20" t="inlineStr">
        <x:is>
          <x:t xml:space="preserve">POLK</x:t>
        </x:is>
      </x:c>
      <x:c r="C132" s="20" t="inlineStr">
        <x:is>
          <x:t xml:space="preserve">530081</x:t>
        </x:is>
      </x:c>
      <x:c r="D132" s="20" t="inlineStr">
        <x:is>
          <x:t xml:space="preserve"/>
        </x:is>
      </x:c>
      <x:c r="E132" s="20" t="inlineStr">
        <x:is>
          <x:t xml:space="preserve">CLEVELAND COURT ELEMENTARY SCHOOL</x:t>
        </x:is>
      </x:c>
      <x:c r="F132" s="20" t="inlineStr">
        <x:is>
          <x:t xml:space="preserve">Elementary</x:t>
        </x:is>
      </x:c>
      <x:c r="G132" s="20" t="inlineStr">
        <x:is>
          <x:t xml:space="preserve">YES</x:t>
        </x:is>
      </x:c>
      <x:c r="H132" s="20" t="inlineStr">
        <x:is>
          <x:t xml:space="preserve">NO</x:t>
        </x:is>
      </x:c>
      <x:c r="I132" s="20" t="inlineStr">
        <x:is>
          <x:t xml:space="preserve"/>
        </x:is>
      </x:c>
      <x:c r="J132" s="20" t="inlineStr">
        <x:is>
          <x:t xml:space="preserve">NO</x:t>
        </x:is>
      </x:c>
      <x:c r="K132" s="20" t="inlineStr">
        <x:is>
          <x:t xml:space="preserve"/>
        </x:is>
      </x:c>
      <x:c r="L132" s="20" t="inlineStr">
        <x:is>
          <x:t xml:space="preserve"/>
        </x:is>
      </x:c>
      <x:c r="M132" s="20" t="inlineStr">
        <x:is>
          <x:t xml:space="preserve"/>
        </x:is>
      </x:c>
      <x:c r="N132" s="20" t="inlineStr">
        <x:is>
          <x:t xml:space="preserve"/>
        </x:is>
      </x:c>
      <x:c r="O132" s="20" t="inlineStr">
        <x:is>
          <x:t xml:space="preserve"/>
        </x:is>
      </x:c>
      <x:c r="P132" s="20" t="inlineStr">
        <x:is>
          <x:t xml:space="preserve"/>
        </x:is>
      </x:c>
      <x:c r="Q132" s="20" t="inlineStr">
        <x:is>
          <x:t xml:space="preserve">https://www.fldoe.org/file/18534/SchoolGrades25.xlsx</x:t>
        </x:is>
      </x:c>
      <x:c r="R132" s="20" t="inlineStr">
        <x:is>
          <x:t xml:space="preserve">School type code 01; Title I=YES; Alternative/ESE=N; coordinates pending NCES/district GIS pull.</x:t>
        </x:is>
      </x:c>
    </x:row>
    <x:row r="133">
      <x:c r="A133" s="20" t="inlineStr">
        <x:is>
          <x:t xml:space="preserve">POLK</x:t>
        </x:is>
      </x:c>
      <x:c r="B133" s="20" t="inlineStr">
        <x:is>
          <x:t xml:space="preserve">POLK</x:t>
        </x:is>
      </x:c>
      <x:c r="C133" s="20" t="inlineStr">
        <x:is>
          <x:t xml:space="preserve">530091</x:t>
        </x:is>
      </x:c>
      <x:c r="D133" s="20" t="inlineStr">
        <x:is>
          <x:t xml:space="preserve"/>
        </x:is>
      </x:c>
      <x:c r="E133" s="20" t="inlineStr">
        <x:is>
          <x:t xml:space="preserve">COMBEE ACADEMY OF DESIGN AND ENGINEERING</x:t>
        </x:is>
      </x:c>
      <x:c r="F133" s="20" t="inlineStr">
        <x:is>
          <x:t xml:space="preserve">Elementary</x:t>
        </x:is>
      </x:c>
      <x:c r="G133" s="20" t="inlineStr">
        <x:is>
          <x:t xml:space="preserve">YES</x:t>
        </x:is>
      </x:c>
      <x:c r="H133" s="20" t="inlineStr">
        <x:is>
          <x:t xml:space="preserve">NO</x:t>
        </x:is>
      </x:c>
      <x:c r="I133" s="20" t="inlineStr">
        <x:is>
          <x:t xml:space="preserve"/>
        </x:is>
      </x:c>
      <x:c r="J133" s="20" t="inlineStr">
        <x:is>
          <x:t xml:space="preserve">NO</x:t>
        </x:is>
      </x:c>
      <x:c r="K133" s="20" t="inlineStr">
        <x:is>
          <x:t xml:space="preserve"/>
        </x:is>
      </x:c>
      <x:c r="L133" s="20" t="inlineStr">
        <x:is>
          <x:t xml:space="preserve"/>
        </x:is>
      </x:c>
      <x:c r="M133" s="20" t="inlineStr">
        <x:is>
          <x:t xml:space="preserve"/>
        </x:is>
      </x:c>
      <x:c r="N133" s="20" t="inlineStr">
        <x:is>
          <x:t xml:space="preserve"/>
        </x:is>
      </x:c>
      <x:c r="O133" s="20" t="inlineStr">
        <x:is>
          <x:t xml:space="preserve"/>
        </x:is>
      </x:c>
      <x:c r="P133" s="20" t="inlineStr">
        <x:is>
          <x:t xml:space="preserve"/>
        </x:is>
      </x:c>
      <x:c r="Q133" s="20" t="inlineStr">
        <x:is>
          <x:t xml:space="preserve">https://www.fldoe.org/file/18534/SchoolGrades25.xlsx</x:t>
        </x:is>
      </x:c>
      <x:c r="R133" s="20" t="inlineStr">
        <x:is>
          <x:t xml:space="preserve">School type code 01; Title I=YES; Alternative/ESE=N; coordinates pending NCES/district GIS pull.</x:t>
        </x:is>
      </x:c>
    </x:row>
    <x:row r="134">
      <x:c r="A134" s="20" t="inlineStr">
        <x:is>
          <x:t xml:space="preserve">POLK</x:t>
        </x:is>
      </x:c>
      <x:c r="B134" s="20" t="inlineStr">
        <x:is>
          <x:t xml:space="preserve">POLK</x:t>
        </x:is>
      </x:c>
      <x:c r="C134" s="20" t="inlineStr">
        <x:is>
          <x:t xml:space="preserve">530101</x:t>
        </x:is>
      </x:c>
      <x:c r="D134" s="20" t="inlineStr">
        <x:is>
          <x:t xml:space="preserve"/>
        </x:is>
      </x:c>
      <x:c r="E134" s="20" t="inlineStr">
        <x:is>
          <x:t xml:space="preserve">CRYSTAL LAKE ELEMENTARY SCHOOL</x:t>
        </x:is>
      </x:c>
      <x:c r="F134" s="20" t="inlineStr">
        <x:is>
          <x:t xml:space="preserve">Elementary</x:t>
        </x:is>
      </x:c>
      <x:c r="G134" s="20" t="inlineStr">
        <x:is>
          <x:t xml:space="preserve">YES</x:t>
        </x:is>
      </x:c>
      <x:c r="H134" s="20" t="inlineStr">
        <x:is>
          <x:t xml:space="preserve">NO</x:t>
        </x:is>
      </x:c>
      <x:c r="I134" s="20" t="inlineStr">
        <x:is>
          <x:t xml:space="preserve"/>
        </x:is>
      </x:c>
      <x:c r="J134" s="20" t="inlineStr">
        <x:is>
          <x:t xml:space="preserve">NO</x:t>
        </x:is>
      </x:c>
      <x:c r="K134" s="20" t="inlineStr">
        <x:is>
          <x:t xml:space="preserve"/>
        </x:is>
      </x:c>
      <x:c r="L134" s="20" t="inlineStr">
        <x:is>
          <x:t xml:space="preserve"/>
        </x:is>
      </x:c>
      <x:c r="M134" s="20" t="inlineStr">
        <x:is>
          <x:t xml:space="preserve"/>
        </x:is>
      </x:c>
      <x:c r="N134" s="20" t="inlineStr">
        <x:is>
          <x:t xml:space="preserve"/>
        </x:is>
      </x:c>
      <x:c r="O134" s="20" t="inlineStr">
        <x:is>
          <x:t xml:space="preserve"/>
        </x:is>
      </x:c>
      <x:c r="P134" s="20" t="inlineStr">
        <x:is>
          <x:t xml:space="preserve"/>
        </x:is>
      </x:c>
      <x:c r="Q134" s="20" t="inlineStr">
        <x:is>
          <x:t xml:space="preserve">https://www.fldoe.org/file/18534/SchoolGrades25.xlsx</x:t>
        </x:is>
      </x:c>
      <x:c r="R134" s="20" t="inlineStr">
        <x:is>
          <x:t xml:space="preserve">School type code 01; Title I=YES; Alternative/ESE=N; coordinates pending NCES/district GIS pull.</x:t>
        </x:is>
      </x:c>
    </x:row>
    <x:row r="135">
      <x:c r="A135" s="20" t="inlineStr">
        <x:is>
          <x:t xml:space="preserve">POLK</x:t>
        </x:is>
      </x:c>
      <x:c r="B135" s="20" t="inlineStr">
        <x:is>
          <x:t xml:space="preserve">POLK</x:t>
        </x:is>
      </x:c>
      <x:c r="C135" s="20" t="inlineStr">
        <x:is>
          <x:t xml:space="preserve">530131</x:t>
        </x:is>
      </x:c>
      <x:c r="D135" s="20" t="inlineStr">
        <x:is>
          <x:t xml:space="preserve"/>
        </x:is>
      </x:c>
      <x:c r="E135" s="20" t="inlineStr">
        <x:is>
          <x:t xml:space="preserve">DIXIELAND ELEMENTARY SCHOOL</x:t>
        </x:is>
      </x:c>
      <x:c r="F135" s="20" t="inlineStr">
        <x:is>
          <x:t xml:space="preserve">Elementary</x:t>
        </x:is>
      </x:c>
      <x:c r="G135" s="20" t="inlineStr">
        <x:is>
          <x:t xml:space="preserve">YES</x:t>
        </x:is>
      </x:c>
      <x:c r="H135" s="20" t="inlineStr">
        <x:is>
          <x:t xml:space="preserve">NO</x:t>
        </x:is>
      </x:c>
      <x:c r="I135" s="20" t="inlineStr">
        <x:is>
          <x:t xml:space="preserve"/>
        </x:is>
      </x:c>
      <x:c r="J135" s="20" t="inlineStr">
        <x:is>
          <x:t xml:space="preserve">NO</x:t>
        </x:is>
      </x:c>
      <x:c r="K135" s="20" t="inlineStr">
        <x:is>
          <x:t xml:space="preserve"/>
        </x:is>
      </x:c>
      <x:c r="L135" s="20" t="inlineStr">
        <x:is>
          <x:t xml:space="preserve"/>
        </x:is>
      </x:c>
      <x:c r="M135" s="20" t="inlineStr">
        <x:is>
          <x:t xml:space="preserve"/>
        </x:is>
      </x:c>
      <x:c r="N135" s="20" t="inlineStr">
        <x:is>
          <x:t xml:space="preserve"/>
        </x:is>
      </x:c>
      <x:c r="O135" s="20" t="inlineStr">
        <x:is>
          <x:t xml:space="preserve"/>
        </x:is>
      </x:c>
      <x:c r="P135" s="20" t="inlineStr">
        <x:is>
          <x:t xml:space="preserve"/>
        </x:is>
      </x:c>
      <x:c r="Q135" s="20" t="inlineStr">
        <x:is>
          <x:t xml:space="preserve">https://www.fldoe.org/file/18534/SchoolGrades25.xlsx</x:t>
        </x:is>
      </x:c>
      <x:c r="R135" s="20" t="inlineStr">
        <x:is>
          <x:t xml:space="preserve">School type code 01; Title I=YES; Alternative/ESE=N; coordinates pending NCES/district GIS pull.</x:t>
        </x:is>
      </x:c>
    </x:row>
    <x:row r="136">
      <x:c r="A136" s="20" t="inlineStr">
        <x:is>
          <x:t xml:space="preserve">POLK</x:t>
        </x:is>
      </x:c>
      <x:c r="B136" s="20" t="inlineStr">
        <x:is>
          <x:t xml:space="preserve">POLK</x:t>
        </x:is>
      </x:c>
      <x:c r="C136" s="20" t="inlineStr">
        <x:is>
          <x:t xml:space="preserve">530141</x:t>
        </x:is>
      </x:c>
      <x:c r="D136" s="20" t="inlineStr">
        <x:is>
          <x:t xml:space="preserve"/>
        </x:is>
      </x:c>
      <x:c r="E136" s="20" t="inlineStr">
        <x:is>
          <x:t xml:space="preserve">SOUTH POINTE ELEMENTARY</x:t>
        </x:is>
      </x:c>
      <x:c r="F136" s="20" t="inlineStr">
        <x:is>
          <x:t xml:space="preserve">Elementary</x:t>
        </x:is>
      </x:c>
      <x:c r="G136" s="20" t="inlineStr">
        <x:is>
          <x:t xml:space="preserve">YES</x:t>
        </x:is>
      </x:c>
      <x:c r="H136" s="20" t="inlineStr">
        <x:is>
          <x:t xml:space="preserve">NO</x:t>
        </x:is>
      </x:c>
      <x:c r="I136" s="20" t="inlineStr">
        <x:is>
          <x:t xml:space="preserve"/>
        </x:is>
      </x:c>
      <x:c r="J136" s="20" t="inlineStr">
        <x:is>
          <x:t xml:space="preserve">NO</x:t>
        </x:is>
      </x:c>
      <x:c r="K136" s="20" t="inlineStr">
        <x:is>
          <x:t xml:space="preserve"/>
        </x:is>
      </x:c>
      <x:c r="L136" s="20" t="inlineStr">
        <x:is>
          <x:t xml:space="preserve"/>
        </x:is>
      </x:c>
      <x:c r="M136" s="20" t="inlineStr">
        <x:is>
          <x:t xml:space="preserve"/>
        </x:is>
      </x:c>
      <x:c r="N136" s="20" t="inlineStr">
        <x:is>
          <x:t xml:space="preserve"/>
        </x:is>
      </x:c>
      <x:c r="O136" s="20" t="inlineStr">
        <x:is>
          <x:t xml:space="preserve"/>
        </x:is>
      </x:c>
      <x:c r="P136" s="20" t="inlineStr">
        <x:is>
          <x:t xml:space="preserve"/>
        </x:is>
      </x:c>
      <x:c r="Q136" s="20" t="inlineStr">
        <x:is>
          <x:t xml:space="preserve">https://www.fldoe.org/file/18534/SchoolGrades25.xlsx</x:t>
        </x:is>
      </x:c>
      <x:c r="R136" s="20" t="inlineStr">
        <x:is>
          <x:t xml:space="preserve">School type code 01; Title I=YES; Alternative/ESE=N; coordinates pending NCES/district GIS pull.</x:t>
        </x:is>
      </x:c>
    </x:row>
    <x:row r="137">
      <x:c r="A137" s="20" t="inlineStr">
        <x:is>
          <x:t xml:space="preserve">POLK</x:t>
        </x:is>
      </x:c>
      <x:c r="B137" s="20" t="inlineStr">
        <x:is>
          <x:t xml:space="preserve">POLK</x:t>
        </x:is>
      </x:c>
      <x:c r="C137" s="20" t="inlineStr">
        <x:is>
          <x:t xml:space="preserve">530151</x:t>
        </x:is>
      </x:c>
      <x:c r="D137" s="20" t="inlineStr">
        <x:is>
          <x:t xml:space="preserve"/>
        </x:is>
      </x:c>
      <x:c r="E137" s="20" t="inlineStr">
        <x:is>
          <x:t xml:space="preserve">PHILIP O'BRIEN ELEMENTARY SCHOOL</x:t>
        </x:is>
      </x:c>
      <x:c r="F137" s="20" t="inlineStr">
        <x:is>
          <x:t xml:space="preserve">Elementary</x:t>
        </x:is>
      </x:c>
      <x:c r="G137" s="20" t="inlineStr">
        <x:is>
          <x:t xml:space="preserve">YES</x:t>
        </x:is>
      </x:c>
      <x:c r="H137" s="20" t="inlineStr">
        <x:is>
          <x:t xml:space="preserve">NO</x:t>
        </x:is>
      </x:c>
      <x:c r="I137" s="20" t="inlineStr">
        <x:is>
          <x:t xml:space="preserve"/>
        </x:is>
      </x:c>
      <x:c r="J137" s="20" t="inlineStr">
        <x:is>
          <x:t xml:space="preserve">NO</x:t>
        </x:is>
      </x:c>
      <x:c r="K137" s="20" t="inlineStr">
        <x:is>
          <x:t xml:space="preserve"/>
        </x:is>
      </x:c>
      <x:c r="L137" s="20" t="inlineStr">
        <x:is>
          <x:t xml:space="preserve"/>
        </x:is>
      </x:c>
      <x:c r="M137" s="20" t="inlineStr">
        <x:is>
          <x:t xml:space="preserve"/>
        </x:is>
      </x:c>
      <x:c r="N137" s="20" t="inlineStr">
        <x:is>
          <x:t xml:space="preserve"/>
        </x:is>
      </x:c>
      <x:c r="O137" s="20" t="inlineStr">
        <x:is>
          <x:t xml:space="preserve"/>
        </x:is>
      </x:c>
      <x:c r="P137" s="20" t="inlineStr">
        <x:is>
          <x:t xml:space="preserve"/>
        </x:is>
      </x:c>
      <x:c r="Q137" s="20" t="inlineStr">
        <x:is>
          <x:t xml:space="preserve">https://www.fldoe.org/file/18534/SchoolGrades25.xlsx</x:t>
        </x:is>
      </x:c>
      <x:c r="R137" s="20" t="inlineStr">
        <x:is>
          <x:t xml:space="preserve">School type code 01; Title I=YES; Alternative/ESE=N; coordinates pending NCES/district GIS pull.</x:t>
        </x:is>
      </x:c>
    </x:row>
    <x:row r="138">
      <x:c r="A138" s="20" t="inlineStr">
        <x:is>
          <x:t xml:space="preserve">POLK</x:t>
        </x:is>
      </x:c>
      <x:c r="B138" s="20" t="inlineStr">
        <x:is>
          <x:t xml:space="preserve">POLK</x:t>
        </x:is>
      </x:c>
      <x:c r="C138" s="20" t="inlineStr">
        <x:is>
          <x:t xml:space="preserve">530181</x:t>
        </x:is>
      </x:c>
      <x:c r="D138" s="20" t="inlineStr">
        <x:is>
          <x:t xml:space="preserve"/>
        </x:is>
      </x:c>
      <x:c r="E138" s="20" t="inlineStr">
        <x:is>
          <x:t xml:space="preserve">MEDULLA ELEMENTARY SCHOOL</x:t>
        </x:is>
      </x:c>
      <x:c r="F138" s="20" t="inlineStr">
        <x:is>
          <x:t xml:space="preserve">Elementary</x:t>
        </x:is>
      </x:c>
      <x:c r="G138" s="20" t="inlineStr">
        <x:is>
          <x:t xml:space="preserve">YES</x:t>
        </x:is>
      </x:c>
      <x:c r="H138" s="20" t="inlineStr">
        <x:is>
          <x:t xml:space="preserve">NO</x:t>
        </x:is>
      </x:c>
      <x:c r="I138" s="20" t="inlineStr">
        <x:is>
          <x:t xml:space="preserve"/>
        </x:is>
      </x:c>
      <x:c r="J138" s="20" t="inlineStr">
        <x:is>
          <x:t xml:space="preserve">NO</x:t>
        </x:is>
      </x:c>
      <x:c r="K138" s="20" t="inlineStr">
        <x:is>
          <x:t xml:space="preserve"/>
        </x:is>
      </x:c>
      <x:c r="L138" s="20" t="inlineStr">
        <x:is>
          <x:t xml:space="preserve"/>
        </x:is>
      </x:c>
      <x:c r="M138" s="20" t="inlineStr">
        <x:is>
          <x:t xml:space="preserve"/>
        </x:is>
      </x:c>
      <x:c r="N138" s="20" t="inlineStr">
        <x:is>
          <x:t xml:space="preserve"/>
        </x:is>
      </x:c>
      <x:c r="O138" s="20" t="inlineStr">
        <x:is>
          <x:t xml:space="preserve"/>
        </x:is>
      </x:c>
      <x:c r="P138" s="20" t="inlineStr">
        <x:is>
          <x:t xml:space="preserve"/>
        </x:is>
      </x:c>
      <x:c r="Q138" s="20" t="inlineStr">
        <x:is>
          <x:t xml:space="preserve">https://www.fldoe.org/file/18534/SchoolGrades25.xlsx</x:t>
        </x:is>
      </x:c>
      <x:c r="R138" s="20" t="inlineStr">
        <x:is>
          <x:t xml:space="preserve">School type code 01; Title I=YES; Alternative/ESE=N; coordinates pending NCES/district GIS pull.</x:t>
        </x:is>
      </x:c>
    </x:row>
    <x:row r="139">
      <x:c r="A139" s="20" t="inlineStr">
        <x:is>
          <x:t xml:space="preserve">POLK</x:t>
        </x:is>
      </x:c>
      <x:c r="B139" s="20" t="inlineStr">
        <x:is>
          <x:t xml:space="preserve">POLK</x:t>
        </x:is>
      </x:c>
      <x:c r="C139" s="20" t="inlineStr">
        <x:is>
          <x:t xml:space="preserve">530191</x:t>
        </x:is>
      </x:c>
      <x:c r="D139" s="20" t="inlineStr">
        <x:is>
          <x:t xml:space="preserve"/>
        </x:is>
      </x:c>
      <x:c r="E139" s="20" t="inlineStr">
        <x:is>
          <x:t xml:space="preserve">R. BRUCE WAGNER ELEMENTARY SCHOOL</x:t>
        </x:is>
      </x:c>
      <x:c r="F139" s="20" t="inlineStr">
        <x:is>
          <x:t xml:space="preserve">Elementary</x:t>
        </x:is>
      </x:c>
      <x:c r="G139" s="20" t="inlineStr">
        <x:is>
          <x:t xml:space="preserve">YES</x:t>
        </x:is>
      </x:c>
      <x:c r="H139" s="20" t="inlineStr">
        <x:is>
          <x:t xml:space="preserve">NO</x:t>
        </x:is>
      </x:c>
      <x:c r="I139" s="20" t="inlineStr">
        <x:is>
          <x:t xml:space="preserve"/>
        </x:is>
      </x:c>
      <x:c r="J139" s="20" t="inlineStr">
        <x:is>
          <x:t xml:space="preserve">NO</x:t>
        </x:is>
      </x:c>
      <x:c r="K139" s="20" t="inlineStr">
        <x:is>
          <x:t xml:space="preserve"/>
        </x:is>
      </x:c>
      <x:c r="L139" s="20" t="inlineStr">
        <x:is>
          <x:t xml:space="preserve"/>
        </x:is>
      </x:c>
      <x:c r="M139" s="20" t="inlineStr">
        <x:is>
          <x:t xml:space="preserve"/>
        </x:is>
      </x:c>
      <x:c r="N139" s="20" t="inlineStr">
        <x:is>
          <x:t xml:space="preserve"/>
        </x:is>
      </x:c>
      <x:c r="O139" s="20" t="inlineStr">
        <x:is>
          <x:t xml:space="preserve"/>
        </x:is>
      </x:c>
      <x:c r="P139" s="20" t="inlineStr">
        <x:is>
          <x:t xml:space="preserve"/>
        </x:is>
      </x:c>
      <x:c r="Q139" s="20" t="inlineStr">
        <x:is>
          <x:t xml:space="preserve">https://www.fldoe.org/file/18534/SchoolGrades25.xlsx</x:t>
        </x:is>
      </x:c>
      <x:c r="R139" s="20" t="inlineStr">
        <x:is>
          <x:t xml:space="preserve">School type code 01; Title I=YES; Alternative/ESE=N; coordinates pending NCES/district GIS pull.</x:t>
        </x:is>
      </x:c>
    </x:row>
    <x:row r="140">
      <x:c r="A140" s="20" t="inlineStr">
        <x:is>
          <x:t xml:space="preserve">POLK</x:t>
        </x:is>
      </x:c>
      <x:c r="B140" s="20" t="inlineStr">
        <x:is>
          <x:t xml:space="preserve">POLK</x:t>
        </x:is>
      </x:c>
      <x:c r="C140" s="20" t="inlineStr">
        <x:is>
          <x:t xml:space="preserve">530201</x:t>
        </x:is>
      </x:c>
      <x:c r="D140" s="20" t="inlineStr">
        <x:is>
          <x:t xml:space="preserve"/>
        </x:is>
      </x:c>
      <x:c r="E140" s="20" t="inlineStr">
        <x:is>
          <x:t xml:space="preserve">NORTH LAKELAND ELEMENTARY SCHOOL OF CHOICE</x:t>
        </x:is>
      </x:c>
      <x:c r="F140" s="20" t="inlineStr">
        <x:is>
          <x:t xml:space="preserve">Elementary</x:t>
        </x:is>
      </x:c>
      <x:c r="G140" s="20" t="inlineStr">
        <x:is>
          <x:t xml:space="preserve">YES</x:t>
        </x:is>
      </x:c>
      <x:c r="H140" s="20" t="inlineStr">
        <x:is>
          <x:t xml:space="preserve">NO</x:t>
        </x:is>
      </x:c>
      <x:c r="I140" s="20" t="inlineStr">
        <x:is>
          <x:t xml:space="preserve"/>
        </x:is>
      </x:c>
      <x:c r="J140" s="20" t="inlineStr">
        <x:is>
          <x:t xml:space="preserve">NO</x:t>
        </x:is>
      </x:c>
      <x:c r="K140" s="20" t="inlineStr">
        <x:is>
          <x:t xml:space="preserve"/>
        </x:is>
      </x:c>
      <x:c r="L140" s="20" t="inlineStr">
        <x:is>
          <x:t xml:space="preserve"/>
        </x:is>
      </x:c>
      <x:c r="M140" s="20" t="inlineStr">
        <x:is>
          <x:t xml:space="preserve"/>
        </x:is>
      </x:c>
      <x:c r="N140" s="20" t="inlineStr">
        <x:is>
          <x:t xml:space="preserve"/>
        </x:is>
      </x:c>
      <x:c r="O140" s="20" t="inlineStr">
        <x:is>
          <x:t xml:space="preserve"/>
        </x:is>
      </x:c>
      <x:c r="P140" s="20" t="inlineStr">
        <x:is>
          <x:t xml:space="preserve"/>
        </x:is>
      </x:c>
      <x:c r="Q140" s="20" t="inlineStr">
        <x:is>
          <x:t xml:space="preserve">https://www.fldoe.org/file/18534/SchoolGrades25.xlsx</x:t>
        </x:is>
      </x:c>
      <x:c r="R140" s="20" t="inlineStr">
        <x:is>
          <x:t xml:space="preserve">School type code 01; Title I=YES; Alternative/ESE=N; coordinates pending NCES/district GIS pull.</x:t>
        </x:is>
      </x:c>
    </x:row>
    <x:row r="141">
      <x:c r="A141" s="20" t="inlineStr">
        <x:is>
          <x:t xml:space="preserve">POLK</x:t>
        </x:is>
      </x:c>
      <x:c r="B141" s="20" t="inlineStr">
        <x:is>
          <x:t xml:space="preserve">POLK</x:t>
        </x:is>
      </x:c>
      <x:c r="C141" s="20" t="inlineStr">
        <x:is>
          <x:t xml:space="preserve">530231</x:t>
        </x:is>
      </x:c>
      <x:c r="D141" s="20" t="inlineStr">
        <x:is>
          <x:t xml:space="preserve"/>
        </x:is>
      </x:c>
      <x:c r="E141" s="20" t="inlineStr">
        <x:is>
          <x:t xml:space="preserve">SOUTHWEST ELEMENTARY SCHOOL</x:t>
        </x:is>
      </x:c>
      <x:c r="F141" s="20" t="inlineStr">
        <x:is>
          <x:t xml:space="preserve">Elementary</x:t>
        </x:is>
      </x:c>
      <x:c r="G141" s="20" t="inlineStr">
        <x:is>
          <x:t xml:space="preserve">YES</x:t>
        </x:is>
      </x:c>
      <x:c r="H141" s="20" t="inlineStr">
        <x:is>
          <x:t xml:space="preserve">NO</x:t>
        </x:is>
      </x:c>
      <x:c r="I141" s="20" t="inlineStr">
        <x:is>
          <x:t xml:space="preserve"/>
        </x:is>
      </x:c>
      <x:c r="J141" s="20" t="inlineStr">
        <x:is>
          <x:t xml:space="preserve">NO</x:t>
        </x:is>
      </x:c>
      <x:c r="K141" s="20" t="inlineStr">
        <x:is>
          <x:t xml:space="preserve"/>
        </x:is>
      </x:c>
      <x:c r="L141" s="20" t="inlineStr">
        <x:is>
          <x:t xml:space="preserve"/>
        </x:is>
      </x:c>
      <x:c r="M141" s="20" t="inlineStr">
        <x:is>
          <x:t xml:space="preserve"/>
        </x:is>
      </x:c>
      <x:c r="N141" s="20" t="inlineStr">
        <x:is>
          <x:t xml:space="preserve"/>
        </x:is>
      </x:c>
      <x:c r="O141" s="20" t="inlineStr">
        <x:is>
          <x:t xml:space="preserve"/>
        </x:is>
      </x:c>
      <x:c r="P141" s="20" t="inlineStr">
        <x:is>
          <x:t xml:space="preserve"/>
        </x:is>
      </x:c>
      <x:c r="Q141" s="20" t="inlineStr">
        <x:is>
          <x:t xml:space="preserve">https://www.fldoe.org/file/18534/SchoolGrades25.xlsx</x:t>
        </x:is>
      </x:c>
      <x:c r="R141" s="20" t="inlineStr">
        <x:is>
          <x:t xml:space="preserve">School type code 01; Title I=YES; Alternative/ESE=N; coordinates pending NCES/district GIS pull.</x:t>
        </x:is>
      </x:c>
    </x:row>
    <x:row r="142">
      <x:c r="A142" s="20" t="inlineStr">
        <x:is>
          <x:t xml:space="preserve">POLK</x:t>
        </x:is>
      </x:c>
      <x:c r="B142" s="20" t="inlineStr">
        <x:is>
          <x:t xml:space="preserve">POLK</x:t>
        </x:is>
      </x:c>
      <x:c r="C142" s="20" t="inlineStr">
        <x:is>
          <x:t xml:space="preserve">530251</x:t>
        </x:is>
      </x:c>
      <x:c r="D142" s="20" t="inlineStr">
        <x:is>
          <x:t xml:space="preserve"/>
        </x:is>
      </x:c>
      <x:c r="E142" s="20" t="inlineStr">
        <x:is>
          <x:t xml:space="preserve">LINCOLN AVENUE ACADEMY</x:t>
        </x:is>
      </x:c>
      <x:c r="F142" s="20" t="inlineStr">
        <x:is>
          <x:t xml:space="preserve">Elementary</x:t>
        </x:is>
      </x:c>
      <x:c r="G142" s="20" t="inlineStr">
        <x:is>
          <x:t xml:space="preserve">YES</x:t>
        </x:is>
      </x:c>
      <x:c r="H142" s="20" t="inlineStr">
        <x:is>
          <x:t xml:space="preserve">NO</x:t>
        </x:is>
      </x:c>
      <x:c r="I142" s="20" t="inlineStr">
        <x:is>
          <x:t xml:space="preserve"/>
        </x:is>
      </x:c>
      <x:c r="J142" s="20" t="inlineStr">
        <x:is>
          <x:t xml:space="preserve">NO</x:t>
        </x:is>
      </x:c>
      <x:c r="K142" s="20" t="inlineStr">
        <x:is>
          <x:t xml:space="preserve"/>
        </x:is>
      </x:c>
      <x:c r="L142" s="20" t="inlineStr">
        <x:is>
          <x:t xml:space="preserve"/>
        </x:is>
      </x:c>
      <x:c r="M142" s="20" t="inlineStr">
        <x:is>
          <x:t xml:space="preserve"/>
        </x:is>
      </x:c>
      <x:c r="N142" s="20" t="inlineStr">
        <x:is>
          <x:t xml:space="preserve"/>
        </x:is>
      </x:c>
      <x:c r="O142" s="20" t="inlineStr">
        <x:is>
          <x:t xml:space="preserve"/>
        </x:is>
      </x:c>
      <x:c r="P142" s="20" t="inlineStr">
        <x:is>
          <x:t xml:space="preserve"/>
        </x:is>
      </x:c>
      <x:c r="Q142" s="20" t="inlineStr">
        <x:is>
          <x:t xml:space="preserve">https://www.fldoe.org/file/18534/SchoolGrades25.xlsx</x:t>
        </x:is>
      </x:c>
      <x:c r="R142" s="20" t="inlineStr">
        <x:is>
          <x:t xml:space="preserve">School type code 01; Title I=NO; Alternative/ESE=N; coordinates pending NCES/district GIS pull.</x:t>
        </x:is>
      </x:c>
    </x:row>
    <x:row r="143">
      <x:c r="A143" s="20" t="inlineStr">
        <x:is>
          <x:t xml:space="preserve">POLK</x:t>
        </x:is>
      </x:c>
      <x:c r="B143" s="20" t="inlineStr">
        <x:is>
          <x:t xml:space="preserve">POLK</x:t>
        </x:is>
      </x:c>
      <x:c r="C143" s="20" t="inlineStr">
        <x:is>
          <x:t xml:space="preserve">530261</x:t>
        </x:is>
      </x:c>
      <x:c r="D143" s="20" t="inlineStr">
        <x:is>
          <x:t xml:space="preserve"/>
        </x:is>
      </x:c>
      <x:c r="E143" s="20" t="inlineStr">
        <x:is>
          <x:t xml:space="preserve">ROCHELLE SCHOOL OF THE ARTS</x:t>
        </x:is>
      </x:c>
      <x:c r="F143" s="20" t="inlineStr">
        <x:is>
          <x:t xml:space="preserve">Combination</x:t>
        </x:is>
      </x:c>
      <x:c r="G143" s="20" t="inlineStr">
        <x:is>
          <x:t xml:space="preserve">YES</x:t>
        </x:is>
      </x:c>
      <x:c r="H143" s="20" t="inlineStr">
        <x:is>
          <x:t xml:space="preserve">NO</x:t>
        </x:is>
      </x:c>
      <x:c r="I143" s="20" t="inlineStr">
        <x:is>
          <x:t xml:space="preserve"/>
        </x:is>
      </x:c>
      <x:c r="J143" s="20" t="inlineStr">
        <x:is>
          <x:t xml:space="preserve">NO</x:t>
        </x:is>
      </x:c>
      <x:c r="K143" s="20" t="inlineStr">
        <x:is>
          <x:t xml:space="preserve"/>
        </x:is>
      </x:c>
      <x:c r="L143" s="20" t="inlineStr">
        <x:is>
          <x:t xml:space="preserve"/>
        </x:is>
      </x:c>
      <x:c r="M143" s="20" t="inlineStr">
        <x:is>
          <x:t xml:space="preserve"/>
        </x:is>
      </x:c>
      <x:c r="N143" s="20" t="inlineStr">
        <x:is>
          <x:t xml:space="preserve"/>
        </x:is>
      </x:c>
      <x:c r="O143" s="20" t="inlineStr">
        <x:is>
          <x:t xml:space="preserve"/>
        </x:is>
      </x:c>
      <x:c r="P143" s="20" t="inlineStr">
        <x:is>
          <x:t xml:space="preserve"/>
        </x:is>
      </x:c>
      <x:c r="Q143" s="20" t="inlineStr">
        <x:is>
          <x:t xml:space="preserve">https://www.fldoe.org/file/18534/SchoolGrades25.xlsx</x:t>
        </x:is>
      </x:c>
      <x:c r="R143" s="20" t="inlineStr">
        <x:is>
          <x:t xml:space="preserve">School type code 04; Title I=YES; Alternative/ESE=N; coordinates pending NCES/district GIS pull.</x:t>
        </x:is>
      </x:c>
    </x:row>
    <x:row r="144">
      <x:c r="A144" s="20" t="inlineStr">
        <x:is>
          <x:t xml:space="preserve">POLK</x:t>
        </x:is>
      </x:c>
      <x:c r="B144" s="20" t="inlineStr">
        <x:is>
          <x:t xml:space="preserve">POLK</x:t>
        </x:is>
      </x:c>
      <x:c r="C144" s="20" t="inlineStr">
        <x:is>
          <x:t xml:space="preserve">530311</x:t>
        </x:is>
      </x:c>
      <x:c r="D144" s="20" t="inlineStr">
        <x:is>
          <x:t xml:space="preserve"/>
        </x:is>
      </x:c>
      <x:c r="E144" s="20" t="inlineStr">
        <x:is>
          <x:t xml:space="preserve">DANIEL JENKINS ACADEMY OF TECHNOLOGY MIDDLE SCHOOL</x:t>
        </x:is>
      </x:c>
      <x:c r="F144" s="20" t="inlineStr">
        <x:is>
          <x:t xml:space="preserve">Middle/Junior</x:t>
        </x:is>
      </x:c>
      <x:c r="G144" s="20" t="inlineStr">
        <x:is>
          <x:t xml:space="preserve">YES</x:t>
        </x:is>
      </x:c>
      <x:c r="H144" s="20" t="inlineStr">
        <x:is>
          <x:t xml:space="preserve">NO</x:t>
        </x:is>
      </x:c>
      <x:c r="I144" s="20" t="inlineStr">
        <x:is>
          <x:t xml:space="preserve"/>
        </x:is>
      </x:c>
      <x:c r="J144" s="20" t="inlineStr">
        <x:is>
          <x:t xml:space="preserve">NO</x:t>
        </x:is>
      </x:c>
      <x:c r="K144" s="20" t="inlineStr">
        <x:is>
          <x:t xml:space="preserve"/>
        </x:is>
      </x:c>
      <x:c r="L144" s="20" t="inlineStr">
        <x:is>
          <x:t xml:space="preserve"/>
        </x:is>
      </x:c>
      <x:c r="M144" s="20" t="inlineStr">
        <x:is>
          <x:t xml:space="preserve"/>
        </x:is>
      </x:c>
      <x:c r="N144" s="20" t="inlineStr">
        <x:is>
          <x:t xml:space="preserve"/>
        </x:is>
      </x:c>
      <x:c r="O144" s="20" t="inlineStr">
        <x:is>
          <x:t xml:space="preserve"/>
        </x:is>
      </x:c>
      <x:c r="P144" s="20" t="inlineStr">
        <x:is>
          <x:t xml:space="preserve"/>
        </x:is>
      </x:c>
      <x:c r="Q144" s="20" t="inlineStr">
        <x:is>
          <x:t xml:space="preserve">https://www.fldoe.org/file/18534/SchoolGrades25.xlsx</x:t>
        </x:is>
      </x:c>
      <x:c r="R144" s="20" t="inlineStr">
        <x:is>
          <x:t xml:space="preserve">School type code 02; Title I=YES; Alternative/ESE=N; coordinates pending NCES/district GIS pull.</x:t>
        </x:is>
      </x:c>
    </x:row>
    <x:row r="145">
      <x:c r="A145" s="20" t="inlineStr">
        <x:is>
          <x:t xml:space="preserve">POLK</x:t>
        </x:is>
      </x:c>
      <x:c r="B145" s="20" t="inlineStr">
        <x:is>
          <x:t xml:space="preserve">POLK</x:t>
        </x:is>
      </x:c>
      <x:c r="C145" s="20" t="inlineStr">
        <x:is>
          <x:t xml:space="preserve">530321</x:t>
        </x:is>
      </x:c>
      <x:c r="D145" s="20" t="inlineStr">
        <x:is>
          <x:t xml:space="preserve"/>
        </x:is>
      </x:c>
      <x:c r="E145" s="20" t="inlineStr">
        <x:is>
          <x:t xml:space="preserve">SHELLEY S. BOONE MIDDLE SCHOOL</x:t>
        </x:is>
      </x:c>
      <x:c r="F145" s="20" t="inlineStr">
        <x:is>
          <x:t xml:space="preserve">Middle/Junior</x:t>
        </x:is>
      </x:c>
      <x:c r="G145" s="20" t="inlineStr">
        <x:is>
          <x:t xml:space="preserve">YES</x:t>
        </x:is>
      </x:c>
      <x:c r="H145" s="20" t="inlineStr">
        <x:is>
          <x:t xml:space="preserve">NO</x:t>
        </x:is>
      </x:c>
      <x:c r="I145" s="20" t="inlineStr">
        <x:is>
          <x:t xml:space="preserve"/>
        </x:is>
      </x:c>
      <x:c r="J145" s="20" t="inlineStr">
        <x:is>
          <x:t xml:space="preserve">NO</x:t>
        </x:is>
      </x:c>
      <x:c r="K145" s="20" t="inlineStr">
        <x:is>
          <x:t xml:space="preserve"/>
        </x:is>
      </x:c>
      <x:c r="L145" s="20" t="inlineStr">
        <x:is>
          <x:t xml:space="preserve"/>
        </x:is>
      </x:c>
      <x:c r="M145" s="20" t="inlineStr">
        <x:is>
          <x:t xml:space="preserve"/>
        </x:is>
      </x:c>
      <x:c r="N145" s="20" t="inlineStr">
        <x:is>
          <x:t xml:space="preserve"/>
        </x:is>
      </x:c>
      <x:c r="O145" s="20" t="inlineStr">
        <x:is>
          <x:t xml:space="preserve"/>
        </x:is>
      </x:c>
      <x:c r="P145" s="20" t="inlineStr">
        <x:is>
          <x:t xml:space="preserve"/>
        </x:is>
      </x:c>
      <x:c r="Q145" s="20" t="inlineStr">
        <x:is>
          <x:t xml:space="preserve">https://www.fldoe.org/file/18534/SchoolGrades25.xlsx</x:t>
        </x:is>
      </x:c>
      <x:c r="R145" s="20" t="inlineStr">
        <x:is>
          <x:t xml:space="preserve">School type code 02; Title I=YES; Alternative/ESE=N; coordinates pending NCES/district GIS pull.</x:t>
        </x:is>
      </x:c>
    </x:row>
    <x:row r="146">
      <x:c r="A146" s="20" t="inlineStr">
        <x:is>
          <x:t xml:space="preserve">POLK</x:t>
        </x:is>
      </x:c>
      <x:c r="B146" s="20" t="inlineStr">
        <x:is>
          <x:t xml:space="preserve">POLK</x:t>
        </x:is>
      </x:c>
      <x:c r="C146" s="20" t="inlineStr">
        <x:is>
          <x:t xml:space="preserve">530331</x:t>
        </x:is>
      </x:c>
      <x:c r="D146" s="20" t="inlineStr">
        <x:is>
          <x:t xml:space="preserve"/>
        </x:is>
      </x:c>
      <x:c r="E146" s="20" t="inlineStr">
        <x:is>
          <x:t xml:space="preserve">ALTA VISTA ELEMENTARY SCHOOL</x:t>
        </x:is>
      </x:c>
      <x:c r="F146" s="20" t="inlineStr">
        <x:is>
          <x:t xml:space="preserve">Elementary</x:t>
        </x:is>
      </x:c>
      <x:c r="G146" s="20" t="inlineStr">
        <x:is>
          <x:t xml:space="preserve">YES</x:t>
        </x:is>
      </x:c>
      <x:c r="H146" s="20" t="inlineStr">
        <x:is>
          <x:t xml:space="preserve">NO</x:t>
        </x:is>
      </x:c>
      <x:c r="I146" s="20" t="inlineStr">
        <x:is>
          <x:t xml:space="preserve"/>
        </x:is>
      </x:c>
      <x:c r="J146" s="20" t="inlineStr">
        <x:is>
          <x:t xml:space="preserve">NO</x:t>
        </x:is>
      </x:c>
      <x:c r="K146" s="20" t="inlineStr">
        <x:is>
          <x:t xml:space="preserve"/>
        </x:is>
      </x:c>
      <x:c r="L146" s="20" t="inlineStr">
        <x:is>
          <x:t xml:space="preserve"/>
        </x:is>
      </x:c>
      <x:c r="M146" s="20" t="inlineStr">
        <x:is>
          <x:t xml:space="preserve"/>
        </x:is>
      </x:c>
      <x:c r="N146" s="20" t="inlineStr">
        <x:is>
          <x:t xml:space="preserve"/>
        </x:is>
      </x:c>
      <x:c r="O146" s="20" t="inlineStr">
        <x:is>
          <x:t xml:space="preserve"/>
        </x:is>
      </x:c>
      <x:c r="P146" s="20" t="inlineStr">
        <x:is>
          <x:t xml:space="preserve"/>
        </x:is>
      </x:c>
      <x:c r="Q146" s="20" t="inlineStr">
        <x:is>
          <x:t xml:space="preserve">https://www.fldoe.org/file/18534/SchoolGrades25.xlsx</x:t>
        </x:is>
      </x:c>
      <x:c r="R146" s="20" t="inlineStr">
        <x:is>
          <x:t xml:space="preserve">School type code 01; Title I=YES; Alternative/ESE=N; coordinates pending NCES/district GIS pull.</x:t>
        </x:is>
      </x:c>
    </x:row>
    <x:row r="147">
      <x:c r="A147" s="20" t="inlineStr">
        <x:is>
          <x:t xml:space="preserve">POLK</x:t>
        </x:is>
      </x:c>
      <x:c r="B147" s="20" t="inlineStr">
        <x:is>
          <x:t xml:space="preserve">POLK</x:t>
        </x:is>
      </x:c>
      <x:c r="C147" s="20" t="inlineStr">
        <x:is>
          <x:t xml:space="preserve">530341</x:t>
        </x:is>
      </x:c>
      <x:c r="D147" s="20" t="inlineStr">
        <x:is>
          <x:t xml:space="preserve"/>
        </x:is>
      </x:c>
      <x:c r="E147" s="20" t="inlineStr">
        <x:is>
          <x:t xml:space="preserve">SANDHILL ELEMENTARY SCHOOL</x:t>
        </x:is>
      </x:c>
      <x:c r="F147" s="20" t="inlineStr">
        <x:is>
          <x:t xml:space="preserve">Elementary</x:t>
        </x:is>
      </x:c>
      <x:c r="G147" s="20" t="inlineStr">
        <x:is>
          <x:t xml:space="preserve">YES</x:t>
        </x:is>
      </x:c>
      <x:c r="H147" s="20" t="inlineStr">
        <x:is>
          <x:t xml:space="preserve">NO</x:t>
        </x:is>
      </x:c>
      <x:c r="I147" s="20" t="inlineStr">
        <x:is>
          <x:t xml:space="preserve"/>
        </x:is>
      </x:c>
      <x:c r="J147" s="20" t="inlineStr">
        <x:is>
          <x:t xml:space="preserve">NO</x:t>
        </x:is>
      </x:c>
      <x:c r="K147" s="20" t="inlineStr">
        <x:is>
          <x:t xml:space="preserve"/>
        </x:is>
      </x:c>
      <x:c r="L147" s="20" t="inlineStr">
        <x:is>
          <x:t xml:space="preserve"/>
        </x:is>
      </x:c>
      <x:c r="M147" s="20" t="inlineStr">
        <x:is>
          <x:t xml:space="preserve"/>
        </x:is>
      </x:c>
      <x:c r="N147" s="20" t="inlineStr">
        <x:is>
          <x:t xml:space="preserve"/>
        </x:is>
      </x:c>
      <x:c r="O147" s="20" t="inlineStr">
        <x:is>
          <x:t xml:space="preserve"/>
        </x:is>
      </x:c>
      <x:c r="P147" s="20" t="inlineStr">
        <x:is>
          <x:t xml:space="preserve"/>
        </x:is>
      </x:c>
      <x:c r="Q147" s="20" t="inlineStr">
        <x:is>
          <x:t xml:space="preserve">https://www.fldoe.org/file/18534/SchoolGrades25.xlsx</x:t>
        </x:is>
      </x:c>
      <x:c r="R147" s="20" t="inlineStr">
        <x:is>
          <x:t xml:space="preserve">School type code 01; Title I=YES; Alternative/ESE=N; coordinates pending NCES/district GIS pull.</x:t>
        </x:is>
      </x:c>
    </x:row>
    <x:row r="148">
      <x:c r="A148" s="20" t="inlineStr">
        <x:is>
          <x:t xml:space="preserve">POLK</x:t>
        </x:is>
      </x:c>
      <x:c r="B148" s="20" t="inlineStr">
        <x:is>
          <x:t xml:space="preserve">POLK</x:t>
        </x:is>
      </x:c>
      <x:c r="C148" s="20" t="inlineStr">
        <x:is>
          <x:t xml:space="preserve">530361</x:t>
        </x:is>
      </x:c>
      <x:c r="D148" s="20" t="inlineStr">
        <x:is>
          <x:t xml:space="preserve"/>
        </x:is>
      </x:c>
      <x:c r="E148" s="20" t="inlineStr">
        <x:is>
          <x:t xml:space="preserve">EASTSIDE ELEMENTARY SCHOOL</x:t>
        </x:is>
      </x:c>
      <x:c r="F148" s="20" t="inlineStr">
        <x:is>
          <x:t xml:space="preserve">Elementary</x:t>
        </x:is>
      </x:c>
      <x:c r="G148" s="20" t="inlineStr">
        <x:is>
          <x:t xml:space="preserve">YES</x:t>
        </x:is>
      </x:c>
      <x:c r="H148" s="20" t="inlineStr">
        <x:is>
          <x:t xml:space="preserve">NO</x:t>
        </x:is>
      </x:c>
      <x:c r="I148" s="20" t="inlineStr">
        <x:is>
          <x:t xml:space="preserve"/>
        </x:is>
      </x:c>
      <x:c r="J148" s="20" t="inlineStr">
        <x:is>
          <x:t xml:space="preserve">NO</x:t>
        </x:is>
      </x:c>
      <x:c r="K148" s="20" t="inlineStr">
        <x:is>
          <x:t xml:space="preserve"/>
        </x:is>
      </x:c>
      <x:c r="L148" s="20" t="inlineStr">
        <x:is>
          <x:t xml:space="preserve"/>
        </x:is>
      </x:c>
      <x:c r="M148" s="20" t="inlineStr">
        <x:is>
          <x:t xml:space="preserve"/>
        </x:is>
      </x:c>
      <x:c r="N148" s="20" t="inlineStr">
        <x:is>
          <x:t xml:space="preserve"/>
        </x:is>
      </x:c>
      <x:c r="O148" s="20" t="inlineStr">
        <x:is>
          <x:t xml:space="preserve"/>
        </x:is>
      </x:c>
      <x:c r="P148" s="20" t="inlineStr">
        <x:is>
          <x:t xml:space="preserve"/>
        </x:is>
      </x:c>
      <x:c r="Q148" s="20" t="inlineStr">
        <x:is>
          <x:t xml:space="preserve">https://www.fldoe.org/file/18534/SchoolGrades25.xlsx</x:t>
        </x:is>
      </x:c>
      <x:c r="R148" s="20" t="inlineStr">
        <x:is>
          <x:t xml:space="preserve">School type code 01; Title I=YES; Alternative/ESE=N; coordinates pending NCES/district GIS pull.</x:t>
        </x:is>
      </x:c>
    </x:row>
    <x:row r="149">
      <x:c r="A149" s="20" t="inlineStr">
        <x:is>
          <x:t xml:space="preserve">POLK</x:t>
        </x:is>
      </x:c>
      <x:c r="B149" s="20" t="inlineStr">
        <x:is>
          <x:t xml:space="preserve">POLK</x:t>
        </x:is>
      </x:c>
      <x:c r="C149" s="20" t="inlineStr">
        <x:is>
          <x:t xml:space="preserve">530391</x:t>
        </x:is>
      </x:c>
      <x:c r="D149" s="20" t="inlineStr">
        <x:is>
          <x:t xml:space="preserve"/>
        </x:is>
      </x:c>
      <x:c r="E149" s="20" t="inlineStr">
        <x:is>
          <x:t xml:space="preserve">BETHUNE ACADEMY</x:t>
        </x:is>
      </x:c>
      <x:c r="F149" s="20" t="inlineStr">
        <x:is>
          <x:t xml:space="preserve">Elementary</x:t>
        </x:is>
      </x:c>
      <x:c r="G149" s="20" t="inlineStr">
        <x:is>
          <x:t xml:space="preserve">YES</x:t>
        </x:is>
      </x:c>
      <x:c r="H149" s="20" t="inlineStr">
        <x:is>
          <x:t xml:space="preserve">NO</x:t>
        </x:is>
      </x:c>
      <x:c r="I149" s="20" t="inlineStr">
        <x:is>
          <x:t xml:space="preserve"/>
        </x:is>
      </x:c>
      <x:c r="J149" s="20" t="inlineStr">
        <x:is>
          <x:t xml:space="preserve">NO</x:t>
        </x:is>
      </x:c>
      <x:c r="K149" s="20" t="inlineStr">
        <x:is>
          <x:t xml:space="preserve"/>
        </x:is>
      </x:c>
      <x:c r="L149" s="20" t="inlineStr">
        <x:is>
          <x:t xml:space="preserve"/>
        </x:is>
      </x:c>
      <x:c r="M149" s="20" t="inlineStr">
        <x:is>
          <x:t xml:space="preserve"/>
        </x:is>
      </x:c>
      <x:c r="N149" s="20" t="inlineStr">
        <x:is>
          <x:t xml:space="preserve"/>
        </x:is>
      </x:c>
      <x:c r="O149" s="20" t="inlineStr">
        <x:is>
          <x:t xml:space="preserve"/>
        </x:is>
      </x:c>
      <x:c r="P149" s="20" t="inlineStr">
        <x:is>
          <x:t xml:space="preserve"/>
        </x:is>
      </x:c>
      <x:c r="Q149" s="20" t="inlineStr">
        <x:is>
          <x:t xml:space="preserve">https://www.fldoe.org/file/18534/SchoolGrades25.xlsx</x:t>
        </x:is>
      </x:c>
      <x:c r="R149" s="20" t="inlineStr">
        <x:is>
          <x:t xml:space="preserve">School type code 01; Title I=YES; Alternative/ESE=N; coordinates pending NCES/district GIS pull.</x:t>
        </x:is>
      </x:c>
    </x:row>
    <x:row r="150">
      <x:c r="A150" s="20" t="inlineStr">
        <x:is>
          <x:t xml:space="preserve">POLK</x:t>
        </x:is>
      </x:c>
      <x:c r="B150" s="20" t="inlineStr">
        <x:is>
          <x:t xml:space="preserve">POLK</x:t>
        </x:is>
      </x:c>
      <x:c r="C150" s="20" t="inlineStr">
        <x:is>
          <x:t xml:space="preserve">530401</x:t>
        </x:is>
      </x:c>
      <x:c r="D150" s="20" t="inlineStr">
        <x:is>
          <x:t xml:space="preserve"/>
        </x:is>
      </x:c>
      <x:c r="E150" s="20" t="inlineStr">
        <x:is>
          <x:t xml:space="preserve">DAVENPORT SCHOOL OF THE ARTS</x:t>
        </x:is>
      </x:c>
      <x:c r="F150" s="20" t="inlineStr">
        <x:is>
          <x:t xml:space="preserve">Combination</x:t>
        </x:is>
      </x:c>
      <x:c r="G150" s="20" t="inlineStr">
        <x:is>
          <x:t xml:space="preserve">YES</x:t>
        </x:is>
      </x:c>
      <x:c r="H150" s="20" t="inlineStr">
        <x:is>
          <x:t xml:space="preserve">NO</x:t>
        </x:is>
      </x:c>
      <x:c r="I150" s="20" t="inlineStr">
        <x:is>
          <x:t xml:space="preserve"/>
        </x:is>
      </x:c>
      <x:c r="J150" s="20" t="inlineStr">
        <x:is>
          <x:t xml:space="preserve">NO</x:t>
        </x:is>
      </x:c>
      <x:c r="K150" s="20" t="inlineStr">
        <x:is>
          <x:t xml:space="preserve"/>
        </x:is>
      </x:c>
      <x:c r="L150" s="20" t="inlineStr">
        <x:is>
          <x:t xml:space="preserve"/>
        </x:is>
      </x:c>
      <x:c r="M150" s="20" t="inlineStr">
        <x:is>
          <x:t xml:space="preserve"/>
        </x:is>
      </x:c>
      <x:c r="N150" s="20" t="inlineStr">
        <x:is>
          <x:t xml:space="preserve"/>
        </x:is>
      </x:c>
      <x:c r="O150" s="20" t="inlineStr">
        <x:is>
          <x:t xml:space="preserve"/>
        </x:is>
      </x:c>
      <x:c r="P150" s="20" t="inlineStr">
        <x:is>
          <x:t xml:space="preserve"/>
        </x:is>
      </x:c>
      <x:c r="Q150" s="20" t="inlineStr">
        <x:is>
          <x:t xml:space="preserve">https://www.fldoe.org/file/18534/SchoolGrades25.xlsx</x:t>
        </x:is>
      </x:c>
      <x:c r="R150" s="20" t="inlineStr">
        <x:is>
          <x:t xml:space="preserve">School type code 04; Title I=YES; Alternative/ESE=N; coordinates pending NCES/district GIS pull.</x:t>
        </x:is>
      </x:c>
    </x:row>
    <x:row r="151">
      <x:c r="A151" s="20" t="inlineStr">
        <x:is>
          <x:t xml:space="preserve">POLK</x:t>
        </x:is>
      </x:c>
      <x:c r="B151" s="20" t="inlineStr">
        <x:is>
          <x:t xml:space="preserve">POLK</x:t>
        </x:is>
      </x:c>
      <x:c r="C151" s="20" t="inlineStr">
        <x:is>
          <x:t xml:space="preserve">530441</x:t>
        </x:is>
      </x:c>
      <x:c r="D151" s="20" t="inlineStr">
        <x:is>
          <x:t xml:space="preserve"/>
        </x:is>
      </x:c>
      <x:c r="E151" s="20" t="inlineStr">
        <x:is>
          <x:t xml:space="preserve">RIDGEVIEW GLOBAL STUDIES ACADEMY</x:t>
        </x:is>
      </x:c>
      <x:c r="F151" s="20" t="inlineStr">
        <x:is>
          <x:t xml:space="preserve">Combination</x:t>
        </x:is>
      </x:c>
      <x:c r="G151" s="20" t="inlineStr">
        <x:is>
          <x:t xml:space="preserve">NO</x:t>
        </x:is>
      </x:c>
      <x:c r="H151" s="20" t="inlineStr">
        <x:is>
          <x:t xml:space="preserve">YES</x:t>
        </x:is>
      </x:c>
      <x:c r="I151" s="20" t="inlineStr">
        <x:is>
          <x:t xml:space="preserve"/>
        </x:is>
      </x:c>
      <x:c r="J151" s="20" t="inlineStr">
        <x:is>
          <x:t xml:space="preserve">NO</x:t>
        </x:is>
      </x:c>
      <x:c r="K151" s="20" t="inlineStr">
        <x:is>
          <x:t xml:space="preserve"/>
        </x:is>
      </x:c>
      <x:c r="L151" s="20" t="inlineStr">
        <x:is>
          <x:t xml:space="preserve"/>
        </x:is>
      </x:c>
      <x:c r="M151" s="20" t="inlineStr">
        <x:is>
          <x:t xml:space="preserve"/>
        </x:is>
      </x:c>
      <x:c r="N151" s="20" t="inlineStr">
        <x:is>
          <x:t xml:space="preserve"/>
        </x:is>
      </x:c>
      <x:c r="O151" s="20" t="inlineStr">
        <x:is>
          <x:t xml:space="preserve"/>
        </x:is>
      </x:c>
      <x:c r="P151" s="20" t="inlineStr">
        <x:is>
          <x:t xml:space="preserve"/>
        </x:is>
      </x:c>
      <x:c r="Q151" s="20" t="inlineStr">
        <x:is>
          <x:t xml:space="preserve">https://www.fldoe.org/file/18534/SchoolGrades25.xlsx</x:t>
        </x:is>
      </x:c>
      <x:c r="R151" s="20" t="inlineStr">
        <x:is>
          <x:t xml:space="preserve">School type code 04; Title I=YES; Alternative/ESE=N; coordinates pending NCES/district GIS pull.</x:t>
        </x:is>
      </x:c>
    </x:row>
    <x:row r="152">
      <x:c r="A152" s="20" t="inlineStr">
        <x:is>
          <x:t xml:space="preserve">POLK</x:t>
        </x:is>
      </x:c>
      <x:c r="B152" s="20" t="inlineStr">
        <x:is>
          <x:t xml:space="preserve">POLK</x:t>
        </x:is>
      </x:c>
      <x:c r="C152" s="20" t="inlineStr">
        <x:is>
          <x:t xml:space="preserve">530481</x:t>
        </x:is>
      </x:c>
      <x:c r="D152" s="20" t="inlineStr">
        <x:is>
          <x:t xml:space="preserve"/>
        </x:is>
      </x:c>
      <x:c r="E152" s="20" t="inlineStr">
        <x:is>
          <x:t xml:space="preserve">WINTER HAVEN SENIOR HIGH SCHOOL</x:t>
        </x:is>
      </x:c>
      <x:c r="F152" s="20" t="inlineStr">
        <x:is>
          <x:t xml:space="preserve">Senior High</x:t>
        </x:is>
      </x:c>
      <x:c r="G152" s="20" t="inlineStr">
        <x:is>
          <x:t xml:space="preserve">YES</x:t>
        </x:is>
      </x:c>
      <x:c r="H152" s="20" t="inlineStr">
        <x:is>
          <x:t xml:space="preserve">NO</x:t>
        </x:is>
      </x:c>
      <x:c r="I152" s="20" t="inlineStr">
        <x:is>
          <x:t xml:space="preserve"/>
        </x:is>
      </x:c>
      <x:c r="J152" s="20" t="inlineStr">
        <x:is>
          <x:t xml:space="preserve">NO</x:t>
        </x:is>
      </x:c>
      <x:c r="K152" s="20" t="inlineStr">
        <x:is>
          <x:t xml:space="preserve"/>
        </x:is>
      </x:c>
      <x:c r="L152" s="20" t="inlineStr">
        <x:is>
          <x:t xml:space="preserve"/>
        </x:is>
      </x:c>
      <x:c r="M152" s="20" t="inlineStr">
        <x:is>
          <x:t xml:space="preserve"/>
        </x:is>
      </x:c>
      <x:c r="N152" s="20" t="inlineStr">
        <x:is>
          <x:t xml:space="preserve"/>
        </x:is>
      </x:c>
      <x:c r="O152" s="20" t="inlineStr">
        <x:is>
          <x:t xml:space="preserve"/>
        </x:is>
      </x:c>
      <x:c r="P152" s="20" t="inlineStr">
        <x:is>
          <x:t xml:space="preserve"/>
        </x:is>
      </x:c>
      <x:c r="Q152" s="20" t="inlineStr">
        <x:is>
          <x:t xml:space="preserve">https://www.fldoe.org/file/18534/SchoolGrades25.xlsx</x:t>
        </x:is>
      </x:c>
      <x:c r="R152" s="20" t="inlineStr">
        <x:is>
          <x:t xml:space="preserve">School type code 03; Title I=YES; Alternative/ESE=N; coordinates pending NCES/district GIS pull.</x:t>
        </x:is>
      </x:c>
    </x:row>
    <x:row r="153">
      <x:c r="A153" s="20" t="inlineStr">
        <x:is>
          <x:t xml:space="preserve">POLK</x:t>
        </x:is>
      </x:c>
      <x:c r="B153" s="20" t="inlineStr">
        <x:is>
          <x:t xml:space="preserve">POLK</x:t>
        </x:is>
      </x:c>
      <x:c r="C153" s="20" t="inlineStr">
        <x:is>
          <x:t xml:space="preserve">530491</x:t>
        </x:is>
      </x:c>
      <x:c r="D153" s="20" t="inlineStr">
        <x:is>
          <x:t xml:space="preserve"/>
        </x:is>
      </x:c>
      <x:c r="E153" s="20" t="inlineStr">
        <x:is>
          <x:t xml:space="preserve">DENISON MIDDLE SCHOOL</x:t>
        </x:is>
      </x:c>
      <x:c r="F153" s="20" t="inlineStr">
        <x:is>
          <x:t xml:space="preserve">Middle/Junior</x:t>
        </x:is>
      </x:c>
      <x:c r="G153" s="20" t="inlineStr">
        <x:is>
          <x:t xml:space="preserve">YES</x:t>
        </x:is>
      </x:c>
      <x:c r="H153" s="20" t="inlineStr">
        <x:is>
          <x:t xml:space="preserve">NO</x:t>
        </x:is>
      </x:c>
      <x:c r="I153" s="20" t="inlineStr">
        <x:is>
          <x:t xml:space="preserve"/>
        </x:is>
      </x:c>
      <x:c r="J153" s="20" t="inlineStr">
        <x:is>
          <x:t xml:space="preserve">NO</x:t>
        </x:is>
      </x:c>
      <x:c r="K153" s="20" t="inlineStr">
        <x:is>
          <x:t xml:space="preserve"/>
        </x:is>
      </x:c>
      <x:c r="L153" s="20" t="inlineStr">
        <x:is>
          <x:t xml:space="preserve"/>
        </x:is>
      </x:c>
      <x:c r="M153" s="20" t="inlineStr">
        <x:is>
          <x:t xml:space="preserve"/>
        </x:is>
      </x:c>
      <x:c r="N153" s="20" t="inlineStr">
        <x:is>
          <x:t xml:space="preserve"/>
        </x:is>
      </x:c>
      <x:c r="O153" s="20" t="inlineStr">
        <x:is>
          <x:t xml:space="preserve"/>
        </x:is>
      </x:c>
      <x:c r="P153" s="20" t="inlineStr">
        <x:is>
          <x:t xml:space="preserve"/>
        </x:is>
      </x:c>
      <x:c r="Q153" s="20" t="inlineStr">
        <x:is>
          <x:t xml:space="preserve">https://www.fldoe.org/file/18534/SchoolGrades25.xlsx</x:t>
        </x:is>
      </x:c>
      <x:c r="R153" s="20" t="inlineStr">
        <x:is>
          <x:t xml:space="preserve">School type code 02; Title I=YES; Alternative/ESE=N; coordinates pending NCES/district GIS pull.</x:t>
        </x:is>
      </x:c>
    </x:row>
    <x:row r="154">
      <x:c r="A154" s="20" t="inlineStr">
        <x:is>
          <x:t xml:space="preserve">POLK</x:t>
        </x:is>
      </x:c>
      <x:c r="B154" s="20" t="inlineStr">
        <x:is>
          <x:t xml:space="preserve">POLK</x:t>
        </x:is>
      </x:c>
      <x:c r="C154" s="20" t="inlineStr">
        <x:is>
          <x:t xml:space="preserve">530531</x:t>
        </x:is>
      </x:c>
      <x:c r="D154" s="20" t="inlineStr">
        <x:is>
          <x:t xml:space="preserve"/>
        </x:is>
      </x:c>
      <x:c r="E154" s="20" t="inlineStr">
        <x:is>
          <x:t xml:space="preserve">FRANK E. BRIGHAM ACADEMY</x:t>
        </x:is>
      </x:c>
      <x:c r="F154" s="20" t="inlineStr">
        <x:is>
          <x:t xml:space="preserve">Elementary</x:t>
        </x:is>
      </x:c>
      <x:c r="G154" s="20" t="inlineStr">
        <x:is>
          <x:t xml:space="preserve">YES</x:t>
        </x:is>
      </x:c>
      <x:c r="H154" s="20" t="inlineStr">
        <x:is>
          <x:t xml:space="preserve">NO</x:t>
        </x:is>
      </x:c>
      <x:c r="I154" s="20" t="inlineStr">
        <x:is>
          <x:t xml:space="preserve"/>
        </x:is>
      </x:c>
      <x:c r="J154" s="20" t="inlineStr">
        <x:is>
          <x:t xml:space="preserve">NO</x:t>
        </x:is>
      </x:c>
      <x:c r="K154" s="20" t="inlineStr">
        <x:is>
          <x:t xml:space="preserve"/>
        </x:is>
      </x:c>
      <x:c r="L154" s="20" t="inlineStr">
        <x:is>
          <x:t xml:space="preserve"/>
        </x:is>
      </x:c>
      <x:c r="M154" s="20" t="inlineStr">
        <x:is>
          <x:t xml:space="preserve"/>
        </x:is>
      </x:c>
      <x:c r="N154" s="20" t="inlineStr">
        <x:is>
          <x:t xml:space="preserve"/>
        </x:is>
      </x:c>
      <x:c r="O154" s="20" t="inlineStr">
        <x:is>
          <x:t xml:space="preserve"/>
        </x:is>
      </x:c>
      <x:c r="P154" s="20" t="inlineStr">
        <x:is>
          <x:t xml:space="preserve"/>
        </x:is>
      </x:c>
      <x:c r="Q154" s="20" t="inlineStr">
        <x:is>
          <x:t xml:space="preserve">https://www.fldoe.org/file/18534/SchoolGrades25.xlsx</x:t>
        </x:is>
      </x:c>
      <x:c r="R154" s="20" t="inlineStr">
        <x:is>
          <x:t xml:space="preserve">School type code 01; Title I=YES; Alternative/ESE=N; coordinates pending NCES/district GIS pull.</x:t>
        </x:is>
      </x:c>
    </x:row>
    <x:row r="155">
      <x:c r="A155" s="20" t="inlineStr">
        <x:is>
          <x:t xml:space="preserve">POLK</x:t>
        </x:is>
      </x:c>
      <x:c r="B155" s="20" t="inlineStr">
        <x:is>
          <x:t xml:space="preserve">POLK</x:t>
        </x:is>
      </x:c>
      <x:c r="C155" s="20" t="inlineStr">
        <x:is>
          <x:t xml:space="preserve">530571</x:t>
        </x:is>
      </x:c>
      <x:c r="D155" s="20" t="inlineStr">
        <x:is>
          <x:t xml:space="preserve"/>
        </x:is>
      </x:c>
      <x:c r="E155" s="20" t="inlineStr">
        <x:is>
          <x:t xml:space="preserve">WESTWOOD MIDDLE SCHOOL</x:t>
        </x:is>
      </x:c>
      <x:c r="F155" s="20" t="inlineStr">
        <x:is>
          <x:t xml:space="preserve">Middle/Junior</x:t>
        </x:is>
      </x:c>
      <x:c r="G155" s="20" t="inlineStr">
        <x:is>
          <x:t xml:space="preserve">YES</x:t>
        </x:is>
      </x:c>
      <x:c r="H155" s="20" t="inlineStr">
        <x:is>
          <x:t xml:space="preserve">NO</x:t>
        </x:is>
      </x:c>
      <x:c r="I155" s="20" t="inlineStr">
        <x:is>
          <x:t xml:space="preserve"/>
        </x:is>
      </x:c>
      <x:c r="J155" s="20" t="inlineStr">
        <x:is>
          <x:t xml:space="preserve">NO</x:t>
        </x:is>
      </x:c>
      <x:c r="K155" s="20" t="inlineStr">
        <x:is>
          <x:t xml:space="preserve"/>
        </x:is>
      </x:c>
      <x:c r="L155" s="20" t="inlineStr">
        <x:is>
          <x:t xml:space="preserve"/>
        </x:is>
      </x:c>
      <x:c r="M155" s="20" t="inlineStr">
        <x:is>
          <x:t xml:space="preserve"/>
        </x:is>
      </x:c>
      <x:c r="N155" s="20" t="inlineStr">
        <x:is>
          <x:t xml:space="preserve"/>
        </x:is>
      </x:c>
      <x:c r="O155" s="20" t="inlineStr">
        <x:is>
          <x:t xml:space="preserve"/>
        </x:is>
      </x:c>
      <x:c r="P155" s="20" t="inlineStr">
        <x:is>
          <x:t xml:space="preserve"/>
        </x:is>
      </x:c>
      <x:c r="Q155" s="20" t="inlineStr">
        <x:is>
          <x:t xml:space="preserve">https://www.fldoe.org/file/18534/SchoolGrades25.xlsx</x:t>
        </x:is>
      </x:c>
      <x:c r="R155" s="20" t="inlineStr">
        <x:is>
          <x:t xml:space="preserve">School type code 02; Title I=YES; Alternative/ESE=N; coordinates pending NCES/district GIS pull.</x:t>
        </x:is>
      </x:c>
    </x:row>
    <x:row r="156">
      <x:c r="A156" s="20" t="inlineStr">
        <x:is>
          <x:t xml:space="preserve">POLK</x:t>
        </x:is>
      </x:c>
      <x:c r="B156" s="20" t="inlineStr">
        <x:is>
          <x:t xml:space="preserve">POLK</x:t>
        </x:is>
      </x:c>
      <x:c r="C156" s="20" t="inlineStr">
        <x:is>
          <x:t xml:space="preserve">530591</x:t>
        </x:is>
      </x:c>
      <x:c r="D156" s="20" t="inlineStr">
        <x:is>
          <x:t xml:space="preserve"/>
        </x:is>
      </x:c>
      <x:c r="E156" s="20" t="inlineStr">
        <x:is>
          <x:t xml:space="preserve">ELBERT ELEMENTARY SCHOOL</x:t>
        </x:is>
      </x:c>
      <x:c r="F156" s="20" t="inlineStr">
        <x:is>
          <x:t xml:space="preserve">Elementary</x:t>
        </x:is>
      </x:c>
      <x:c r="G156" s="20" t="inlineStr">
        <x:is>
          <x:t xml:space="preserve">YES</x:t>
        </x:is>
      </x:c>
      <x:c r="H156" s="20" t="inlineStr">
        <x:is>
          <x:t xml:space="preserve">NO</x:t>
        </x:is>
      </x:c>
      <x:c r="I156" s="20" t="inlineStr">
        <x:is>
          <x:t xml:space="preserve"/>
        </x:is>
      </x:c>
      <x:c r="J156" s="20" t="inlineStr">
        <x:is>
          <x:t xml:space="preserve">NO</x:t>
        </x:is>
      </x:c>
      <x:c r="K156" s="20" t="inlineStr">
        <x:is>
          <x:t xml:space="preserve"/>
        </x:is>
      </x:c>
      <x:c r="L156" s="20" t="inlineStr">
        <x:is>
          <x:t xml:space="preserve"/>
        </x:is>
      </x:c>
      <x:c r="M156" s="20" t="inlineStr">
        <x:is>
          <x:t xml:space="preserve"/>
        </x:is>
      </x:c>
      <x:c r="N156" s="20" t="inlineStr">
        <x:is>
          <x:t xml:space="preserve"/>
        </x:is>
      </x:c>
      <x:c r="O156" s="20" t="inlineStr">
        <x:is>
          <x:t xml:space="preserve"/>
        </x:is>
      </x:c>
      <x:c r="P156" s="20" t="inlineStr">
        <x:is>
          <x:t xml:space="preserve"/>
        </x:is>
      </x:c>
      <x:c r="Q156" s="20" t="inlineStr">
        <x:is>
          <x:t xml:space="preserve">https://www.fldoe.org/file/18534/SchoolGrades25.xlsx</x:t>
        </x:is>
      </x:c>
      <x:c r="R156" s="20" t="inlineStr">
        <x:is>
          <x:t xml:space="preserve">School type code 01; Title I=YES; Alternative/ESE=N; coordinates pending NCES/district GIS pull.</x:t>
        </x:is>
      </x:c>
    </x:row>
    <x:row r="157">
      <x:c r="A157" s="20" t="inlineStr">
        <x:is>
          <x:t xml:space="preserve">POLK</x:t>
        </x:is>
      </x:c>
      <x:c r="B157" s="20" t="inlineStr">
        <x:is>
          <x:t xml:space="preserve">POLK</x:t>
        </x:is>
      </x:c>
      <x:c r="C157" s="20" t="inlineStr">
        <x:is>
          <x:t xml:space="preserve">530601</x:t>
        </x:is>
      </x:c>
      <x:c r="D157" s="20" t="inlineStr">
        <x:is>
          <x:t xml:space="preserve"/>
        </x:is>
      </x:c>
      <x:c r="E157" s="20" t="inlineStr">
        <x:is>
          <x:t xml:space="preserve">FRED G. GARNER ACADEMY</x:t>
        </x:is>
      </x:c>
      <x:c r="F157" s="20" t="inlineStr">
        <x:is>
          <x:t xml:space="preserve">Elementary</x:t>
        </x:is>
      </x:c>
      <x:c r="G157" s="20" t="inlineStr">
        <x:is>
          <x:t xml:space="preserve">YES</x:t>
        </x:is>
      </x:c>
      <x:c r="H157" s="20" t="inlineStr">
        <x:is>
          <x:t xml:space="preserve">NO</x:t>
        </x:is>
      </x:c>
      <x:c r="I157" s="20" t="inlineStr">
        <x:is>
          <x:t xml:space="preserve"/>
        </x:is>
      </x:c>
      <x:c r="J157" s="20" t="inlineStr">
        <x:is>
          <x:t xml:space="preserve">NO</x:t>
        </x:is>
      </x:c>
      <x:c r="K157" s="20" t="inlineStr">
        <x:is>
          <x:t xml:space="preserve"/>
        </x:is>
      </x:c>
      <x:c r="L157" s="20" t="inlineStr">
        <x:is>
          <x:t xml:space="preserve"/>
        </x:is>
      </x:c>
      <x:c r="M157" s="20" t="inlineStr">
        <x:is>
          <x:t xml:space="preserve"/>
        </x:is>
      </x:c>
      <x:c r="N157" s="20" t="inlineStr">
        <x:is>
          <x:t xml:space="preserve"/>
        </x:is>
      </x:c>
      <x:c r="O157" s="20" t="inlineStr">
        <x:is>
          <x:t xml:space="preserve"/>
        </x:is>
      </x:c>
      <x:c r="P157" s="20" t="inlineStr">
        <x:is>
          <x:t xml:space="preserve"/>
        </x:is>
      </x:c>
      <x:c r="Q157" s="20" t="inlineStr">
        <x:is>
          <x:t xml:space="preserve">https://www.fldoe.org/file/18534/SchoolGrades25.xlsx</x:t>
        </x:is>
      </x:c>
      <x:c r="R157" s="20" t="inlineStr">
        <x:is>
          <x:t xml:space="preserve">School type code 01; Title I=YES; Alternative/ESE=N; coordinates pending NCES/district GIS pull.</x:t>
        </x:is>
      </x:c>
    </x:row>
    <x:row r="158">
      <x:c r="A158" s="20" t="inlineStr">
        <x:is>
          <x:t xml:space="preserve">POLK</x:t>
        </x:is>
      </x:c>
      <x:c r="B158" s="20" t="inlineStr">
        <x:is>
          <x:t xml:space="preserve">POLK</x:t>
        </x:is>
      </x:c>
      <x:c r="C158" s="20" t="inlineStr">
        <x:is>
          <x:t xml:space="preserve">530611</x:t>
        </x:is>
      </x:c>
      <x:c r="D158" s="20" t="inlineStr">
        <x:is>
          <x:t xml:space="preserve"/>
        </x:is>
      </x:c>
      <x:c r="E158" s="20" t="inlineStr">
        <x:is>
          <x:t xml:space="preserve">INWOOD ELEMENTARY SCHOOL</x:t>
        </x:is>
      </x:c>
      <x:c r="F158" s="20" t="inlineStr">
        <x:is>
          <x:t xml:space="preserve">Elementary</x:t>
        </x:is>
      </x:c>
      <x:c r="G158" s="20" t="inlineStr">
        <x:is>
          <x:t xml:space="preserve">YES</x:t>
        </x:is>
      </x:c>
      <x:c r="H158" s="20" t="inlineStr">
        <x:is>
          <x:t xml:space="preserve">NO</x:t>
        </x:is>
      </x:c>
      <x:c r="I158" s="20" t="inlineStr">
        <x:is>
          <x:t xml:space="preserve"/>
        </x:is>
      </x:c>
      <x:c r="J158" s="20" t="inlineStr">
        <x:is>
          <x:t xml:space="preserve">NO</x:t>
        </x:is>
      </x:c>
      <x:c r="K158" s="20" t="inlineStr">
        <x:is>
          <x:t xml:space="preserve"/>
        </x:is>
      </x:c>
      <x:c r="L158" s="20" t="inlineStr">
        <x:is>
          <x:t xml:space="preserve"/>
        </x:is>
      </x:c>
      <x:c r="M158" s="20" t="inlineStr">
        <x:is>
          <x:t xml:space="preserve"/>
        </x:is>
      </x:c>
      <x:c r="N158" s="20" t="inlineStr">
        <x:is>
          <x:t xml:space="preserve"/>
        </x:is>
      </x:c>
      <x:c r="O158" s="20" t="inlineStr">
        <x:is>
          <x:t xml:space="preserve"/>
        </x:is>
      </x:c>
      <x:c r="P158" s="20" t="inlineStr">
        <x:is>
          <x:t xml:space="preserve"/>
        </x:is>
      </x:c>
      <x:c r="Q158" s="20" t="inlineStr">
        <x:is>
          <x:t xml:space="preserve">https://www.fldoe.org/file/18534/SchoolGrades25.xlsx</x:t>
        </x:is>
      </x:c>
      <x:c r="R158" s="20" t="inlineStr">
        <x:is>
          <x:t xml:space="preserve">School type code 01; Title I=YES; Alternative/ESE=N; coordinates pending NCES/district GIS pull.</x:t>
        </x:is>
      </x:c>
    </x:row>
    <x:row r="159">
      <x:c r="A159" s="20" t="inlineStr">
        <x:is>
          <x:t xml:space="preserve">POLK</x:t>
        </x:is>
      </x:c>
      <x:c r="B159" s="20" t="inlineStr">
        <x:is>
          <x:t xml:space="preserve">POLK</x:t>
        </x:is>
      </x:c>
      <x:c r="C159" s="20" t="inlineStr">
        <x:is>
          <x:t xml:space="preserve">530621</x:t>
        </x:is>
      </x:c>
      <x:c r="D159" s="20" t="inlineStr">
        <x:is>
          <x:t xml:space="preserve"/>
        </x:is>
      </x:c>
      <x:c r="E159" s="20" t="inlineStr">
        <x:is>
          <x:t xml:space="preserve">LAKE SHIPP ELEMENTARY SCHOOL</x:t>
        </x:is>
      </x:c>
      <x:c r="F159" s="20" t="inlineStr">
        <x:is>
          <x:t xml:space="preserve">Elementary</x:t>
        </x:is>
      </x:c>
      <x:c r="G159" s="20" t="inlineStr">
        <x:is>
          <x:t xml:space="preserve">YES</x:t>
        </x:is>
      </x:c>
      <x:c r="H159" s="20" t="inlineStr">
        <x:is>
          <x:t xml:space="preserve">NO</x:t>
        </x:is>
      </x:c>
      <x:c r="I159" s="20" t="inlineStr">
        <x:is>
          <x:t xml:space="preserve"/>
        </x:is>
      </x:c>
      <x:c r="J159" s="20" t="inlineStr">
        <x:is>
          <x:t xml:space="preserve">NO</x:t>
        </x:is>
      </x:c>
      <x:c r="K159" s="20" t="inlineStr">
        <x:is>
          <x:t xml:space="preserve"/>
        </x:is>
      </x:c>
      <x:c r="L159" s="20" t="inlineStr">
        <x:is>
          <x:t xml:space="preserve"/>
        </x:is>
      </x:c>
      <x:c r="M159" s="20" t="inlineStr">
        <x:is>
          <x:t xml:space="preserve"/>
        </x:is>
      </x:c>
      <x:c r="N159" s="20" t="inlineStr">
        <x:is>
          <x:t xml:space="preserve"/>
        </x:is>
      </x:c>
      <x:c r="O159" s="20" t="inlineStr">
        <x:is>
          <x:t xml:space="preserve"/>
        </x:is>
      </x:c>
      <x:c r="P159" s="20" t="inlineStr">
        <x:is>
          <x:t xml:space="preserve"/>
        </x:is>
      </x:c>
      <x:c r="Q159" s="20" t="inlineStr">
        <x:is>
          <x:t xml:space="preserve">https://www.fldoe.org/file/18534/SchoolGrades25.xlsx</x:t>
        </x:is>
      </x:c>
      <x:c r="R159" s="20" t="inlineStr">
        <x:is>
          <x:t xml:space="preserve">School type code 01; Title I=YES; Alternative/ESE=N; coordinates pending NCES/district GIS pull.</x:t>
        </x:is>
      </x:c>
    </x:row>
    <x:row r="160">
      <x:c r="A160" s="20" t="inlineStr">
        <x:is>
          <x:t xml:space="preserve">POLK</x:t>
        </x:is>
      </x:c>
      <x:c r="B160" s="20" t="inlineStr">
        <x:is>
          <x:t xml:space="preserve">POLK</x:t>
        </x:is>
      </x:c>
      <x:c r="C160" s="20" t="inlineStr">
        <x:is>
          <x:t xml:space="preserve">530631</x:t>
        </x:is>
      </x:c>
      <x:c r="D160" s="20" t="inlineStr">
        <x:is>
          <x:t xml:space="preserve"/>
        </x:is>
      </x:c>
      <x:c r="E160" s="20" t="inlineStr">
        <x:is>
          <x:t xml:space="preserve">JOHN SNIVELY ELEMENTARY</x:t>
        </x:is>
      </x:c>
      <x:c r="F160" s="20" t="inlineStr">
        <x:is>
          <x:t xml:space="preserve">Elementary</x:t>
        </x:is>
      </x:c>
      <x:c r="G160" s="20" t="inlineStr">
        <x:is>
          <x:t xml:space="preserve">YES</x:t>
        </x:is>
      </x:c>
      <x:c r="H160" s="20" t="inlineStr">
        <x:is>
          <x:t xml:space="preserve">NO</x:t>
        </x:is>
      </x:c>
      <x:c r="I160" s="20" t="inlineStr">
        <x:is>
          <x:t xml:space="preserve"/>
        </x:is>
      </x:c>
      <x:c r="J160" s="20" t="inlineStr">
        <x:is>
          <x:t xml:space="preserve">NO</x:t>
        </x:is>
      </x:c>
      <x:c r="K160" s="20" t="inlineStr">
        <x:is>
          <x:t xml:space="preserve"/>
        </x:is>
      </x:c>
      <x:c r="L160" s="20" t="inlineStr">
        <x:is>
          <x:t xml:space="preserve"/>
        </x:is>
      </x:c>
      <x:c r="M160" s="20" t="inlineStr">
        <x:is>
          <x:t xml:space="preserve"/>
        </x:is>
      </x:c>
      <x:c r="N160" s="20" t="inlineStr">
        <x:is>
          <x:t xml:space="preserve"/>
        </x:is>
      </x:c>
      <x:c r="O160" s="20" t="inlineStr">
        <x:is>
          <x:t xml:space="preserve"/>
        </x:is>
      </x:c>
      <x:c r="P160" s="20" t="inlineStr">
        <x:is>
          <x:t xml:space="preserve"/>
        </x:is>
      </x:c>
      <x:c r="Q160" s="20" t="inlineStr">
        <x:is>
          <x:t xml:space="preserve">https://www.fldoe.org/file/18534/SchoolGrades25.xlsx</x:t>
        </x:is>
      </x:c>
      <x:c r="R160" s="20" t="inlineStr">
        <x:is>
          <x:t xml:space="preserve">School type code 01; Title I=YES; Alternative/ESE=N; coordinates pending NCES/district GIS pull.</x:t>
        </x:is>
      </x:c>
    </x:row>
    <x:row r="161">
      <x:c r="A161" s="20" t="inlineStr">
        <x:is>
          <x:t xml:space="preserve">POLK</x:t>
        </x:is>
      </x:c>
      <x:c r="B161" s="20" t="inlineStr">
        <x:is>
          <x:t xml:space="preserve">POLK</x:t>
        </x:is>
      </x:c>
      <x:c r="C161" s="20" t="inlineStr">
        <x:is>
          <x:t xml:space="preserve">530651</x:t>
        </x:is>
      </x:c>
      <x:c r="D161" s="20" t="inlineStr">
        <x:is>
          <x:t xml:space="preserve"/>
        </x:is>
      </x:c>
      <x:c r="E161" s="20" t="inlineStr">
        <x:is>
          <x:t xml:space="preserve">LAKE ALFRED ELEMENTARY SCHOOL</x:t>
        </x:is>
      </x:c>
      <x:c r="F161" s="20" t="inlineStr">
        <x:is>
          <x:t xml:space="preserve">Elementary</x:t>
        </x:is>
      </x:c>
      <x:c r="G161" s="20" t="inlineStr">
        <x:is>
          <x:t xml:space="preserve">YES</x:t>
        </x:is>
      </x:c>
      <x:c r="H161" s="20" t="inlineStr">
        <x:is>
          <x:t xml:space="preserve">NO</x:t>
        </x:is>
      </x:c>
      <x:c r="I161" s="20" t="inlineStr">
        <x:is>
          <x:t xml:space="preserve"/>
        </x:is>
      </x:c>
      <x:c r="J161" s="20" t="inlineStr">
        <x:is>
          <x:t xml:space="preserve">NO</x:t>
        </x:is>
      </x:c>
      <x:c r="K161" s="20" t="inlineStr">
        <x:is>
          <x:t xml:space="preserve"/>
        </x:is>
      </x:c>
      <x:c r="L161" s="20" t="inlineStr">
        <x:is>
          <x:t xml:space="preserve"/>
        </x:is>
      </x:c>
      <x:c r="M161" s="20" t="inlineStr">
        <x:is>
          <x:t xml:space="preserve"/>
        </x:is>
      </x:c>
      <x:c r="N161" s="20" t="inlineStr">
        <x:is>
          <x:t xml:space="preserve"/>
        </x:is>
      </x:c>
      <x:c r="O161" s="20" t="inlineStr">
        <x:is>
          <x:t xml:space="preserve"/>
        </x:is>
      </x:c>
      <x:c r="P161" s="20" t="inlineStr">
        <x:is>
          <x:t xml:space="preserve"/>
        </x:is>
      </x:c>
      <x:c r="Q161" s="20" t="inlineStr">
        <x:is>
          <x:t xml:space="preserve">https://www.fldoe.org/file/18534/SchoolGrades25.xlsx</x:t>
        </x:is>
      </x:c>
      <x:c r="R161" s="20" t="inlineStr">
        <x:is>
          <x:t xml:space="preserve">School type code 01; Title I=YES; Alternative/ESE=N; coordinates pending NCES/district GIS pull.</x:t>
        </x:is>
      </x:c>
    </x:row>
    <x:row r="162">
      <x:c r="A162" s="20" t="inlineStr">
        <x:is>
          <x:t xml:space="preserve">POLK</x:t>
        </x:is>
      </x:c>
      <x:c r="B162" s="20" t="inlineStr">
        <x:is>
          <x:t xml:space="preserve">POLK</x:t>
        </x:is>
      </x:c>
      <x:c r="C162" s="20" t="inlineStr">
        <x:is>
          <x:t xml:space="preserve">530681</x:t>
        </x:is>
      </x:c>
      <x:c r="D162" s="20" t="inlineStr">
        <x:is>
          <x:t xml:space="preserve"/>
        </x:is>
      </x:c>
      <x:c r="E162" s="20" t="inlineStr">
        <x:is>
          <x:t xml:space="preserve">WAHNETA ELEMENTARY SCHOOL</x:t>
        </x:is>
      </x:c>
      <x:c r="F162" s="20" t="inlineStr">
        <x:is>
          <x:t xml:space="preserve">Elementary</x:t>
        </x:is>
      </x:c>
      <x:c r="G162" s="20" t="inlineStr">
        <x:is>
          <x:t xml:space="preserve">YES</x:t>
        </x:is>
      </x:c>
      <x:c r="H162" s="20" t="inlineStr">
        <x:is>
          <x:t xml:space="preserve">NO</x:t>
        </x:is>
      </x:c>
      <x:c r="I162" s="20" t="inlineStr">
        <x:is>
          <x:t xml:space="preserve"/>
        </x:is>
      </x:c>
      <x:c r="J162" s="20" t="inlineStr">
        <x:is>
          <x:t xml:space="preserve">NO</x:t>
        </x:is>
      </x:c>
      <x:c r="K162" s="20" t="inlineStr">
        <x:is>
          <x:t xml:space="preserve"/>
        </x:is>
      </x:c>
      <x:c r="L162" s="20" t="inlineStr">
        <x:is>
          <x:t xml:space="preserve"/>
        </x:is>
      </x:c>
      <x:c r="M162" s="20" t="inlineStr">
        <x:is>
          <x:t xml:space="preserve"/>
        </x:is>
      </x:c>
      <x:c r="N162" s="20" t="inlineStr">
        <x:is>
          <x:t xml:space="preserve"/>
        </x:is>
      </x:c>
      <x:c r="O162" s="20" t="inlineStr">
        <x:is>
          <x:t xml:space="preserve"/>
        </x:is>
      </x:c>
      <x:c r="P162" s="20" t="inlineStr">
        <x:is>
          <x:t xml:space="preserve"/>
        </x:is>
      </x:c>
      <x:c r="Q162" s="20" t="inlineStr">
        <x:is>
          <x:t xml:space="preserve">https://www.fldoe.org/file/18534/SchoolGrades25.xlsx</x:t>
        </x:is>
      </x:c>
      <x:c r="R162" s="20" t="inlineStr">
        <x:is>
          <x:t xml:space="preserve">School type code 01; Title I=YES; Alternative/ESE=N; coordinates pending NCES/district GIS pull.</x:t>
        </x:is>
      </x:c>
    </x:row>
    <x:row r="163">
      <x:c r="A163" s="20" t="inlineStr">
        <x:is>
          <x:t xml:space="preserve">POLK</x:t>
        </x:is>
      </x:c>
      <x:c r="B163" s="20" t="inlineStr">
        <x:is>
          <x:t xml:space="preserve">POLK</x:t>
        </x:is>
      </x:c>
      <x:c r="C163" s="20" t="inlineStr">
        <x:is>
          <x:t xml:space="preserve">530711</x:t>
        </x:is>
      </x:c>
      <x:c r="D163" s="20" t="inlineStr">
        <x:is>
          <x:t xml:space="preserve"/>
        </x:is>
      </x:c>
      <x:c r="E163" s="20" t="inlineStr">
        <x:is>
          <x:t xml:space="preserve">JEWETT MIDDLE ACADEMY MAGNET</x:t>
        </x:is>
      </x:c>
      <x:c r="F163" s="20" t="inlineStr">
        <x:is>
          <x:t xml:space="preserve">Middle/Junior</x:t>
        </x:is>
      </x:c>
      <x:c r="G163" s="20" t="inlineStr">
        <x:is>
          <x:t xml:space="preserve">YES</x:t>
        </x:is>
      </x:c>
      <x:c r="H163" s="20" t="inlineStr">
        <x:is>
          <x:t xml:space="preserve">NO</x:t>
        </x:is>
      </x:c>
      <x:c r="I163" s="20" t="inlineStr">
        <x:is>
          <x:t xml:space="preserve"/>
        </x:is>
      </x:c>
      <x:c r="J163" s="20" t="inlineStr">
        <x:is>
          <x:t xml:space="preserve">NO</x:t>
        </x:is>
      </x:c>
      <x:c r="K163" s="20" t="inlineStr">
        <x:is>
          <x:t xml:space="preserve"/>
        </x:is>
      </x:c>
      <x:c r="L163" s="20" t="inlineStr">
        <x:is>
          <x:t xml:space="preserve"/>
        </x:is>
      </x:c>
      <x:c r="M163" s="20" t="inlineStr">
        <x:is>
          <x:t xml:space="preserve"/>
        </x:is>
      </x:c>
      <x:c r="N163" s="20" t="inlineStr">
        <x:is>
          <x:t xml:space="preserve"/>
        </x:is>
      </x:c>
      <x:c r="O163" s="20" t="inlineStr">
        <x:is>
          <x:t xml:space="preserve"/>
        </x:is>
      </x:c>
      <x:c r="P163" s="20" t="inlineStr">
        <x:is>
          <x:t xml:space="preserve"/>
        </x:is>
      </x:c>
      <x:c r="Q163" s="20" t="inlineStr">
        <x:is>
          <x:t xml:space="preserve">https://www.fldoe.org/file/18534/SchoolGrades25.xlsx</x:t>
        </x:is>
      </x:c>
      <x:c r="R163" s="20" t="inlineStr">
        <x:is>
          <x:t xml:space="preserve">School type code 02; Title I=YES; Alternative/ESE=N; coordinates pending NCES/district GIS pull.</x:t>
        </x:is>
      </x:c>
    </x:row>
    <x:row r="164">
      <x:c r="A164" s="20" t="inlineStr">
        <x:is>
          <x:t xml:space="preserve">POLK</x:t>
        </x:is>
      </x:c>
      <x:c r="B164" s="20" t="inlineStr">
        <x:is>
          <x:t xml:space="preserve">POLK</x:t>
        </x:is>
      </x:c>
      <x:c r="C164" s="20" t="inlineStr">
        <x:is>
          <x:t xml:space="preserve">530712</x:t>
        </x:is>
      </x:c>
      <x:c r="D164" s="20" t="inlineStr">
        <x:is>
          <x:t xml:space="preserve"/>
        </x:is>
      </x:c>
      <x:c r="E164" s="20" t="inlineStr">
        <x:is>
          <x:t xml:space="preserve">JEWETT SCHOOL OF THE ARTS</x:t>
        </x:is>
      </x:c>
      <x:c r="F164" s="20" t="inlineStr">
        <x:is>
          <x:t xml:space="preserve">Combination</x:t>
        </x:is>
      </x:c>
      <x:c r="G164" s="20" t="inlineStr">
        <x:is>
          <x:t xml:space="preserve">YES</x:t>
        </x:is>
      </x:c>
      <x:c r="H164" s="20" t="inlineStr">
        <x:is>
          <x:t xml:space="preserve">NO</x:t>
        </x:is>
      </x:c>
      <x:c r="I164" s="20" t="inlineStr">
        <x:is>
          <x:t xml:space="preserve"/>
        </x:is>
      </x:c>
      <x:c r="J164" s="20" t="inlineStr">
        <x:is>
          <x:t xml:space="preserve">NO</x:t>
        </x:is>
      </x:c>
      <x:c r="K164" s="20" t="inlineStr">
        <x:is>
          <x:t xml:space="preserve"/>
        </x:is>
      </x:c>
      <x:c r="L164" s="20" t="inlineStr">
        <x:is>
          <x:t xml:space="preserve"/>
        </x:is>
      </x:c>
      <x:c r="M164" s="20" t="inlineStr">
        <x:is>
          <x:t xml:space="preserve"/>
        </x:is>
      </x:c>
      <x:c r="N164" s="20" t="inlineStr">
        <x:is>
          <x:t xml:space="preserve"/>
        </x:is>
      </x:c>
      <x:c r="O164" s="20" t="inlineStr">
        <x:is>
          <x:t xml:space="preserve"/>
        </x:is>
      </x:c>
      <x:c r="P164" s="20" t="inlineStr">
        <x:is>
          <x:t xml:space="preserve"/>
        </x:is>
      </x:c>
      <x:c r="Q164" s="20" t="inlineStr">
        <x:is>
          <x:t xml:space="preserve">https://www.fldoe.org/file/18534/SchoolGrades25.xlsx</x:t>
        </x:is>
      </x:c>
      <x:c r="R164" s="20" t="inlineStr">
        <x:is>
          <x:t xml:space="preserve">School type code 04; Title I=YES; Alternative/ESE=N; coordinates pending NCES/district GIS pull.</x:t>
        </x:is>
      </x:c>
    </x:row>
    <x:row r="165">
      <x:c r="A165" s="20" t="inlineStr">
        <x:is>
          <x:t xml:space="preserve">POLK</x:t>
        </x:is>
      </x:c>
      <x:c r="B165" s="20" t="inlineStr">
        <x:is>
          <x:t xml:space="preserve">POLK</x:t>
        </x:is>
      </x:c>
      <x:c r="C165" s="20" t="inlineStr">
        <x:is>
          <x:t xml:space="preserve">530791</x:t>
        </x:is>
      </x:c>
      <x:c r="D165" s="20" t="inlineStr">
        <x:is>
          <x:t xml:space="preserve"/>
        </x:is>
      </x:c>
      <x:c r="E165" s="20" t="inlineStr">
        <x:is>
          <x:t xml:space="preserve">FORT MEADE MIDDLE/SENIOR HIGH SCHOOL</x:t>
        </x:is>
      </x:c>
      <x:c r="F165" s="20" t="inlineStr">
        <x:is>
          <x:t xml:space="preserve">Combination</x:t>
        </x:is>
      </x:c>
      <x:c r="G165" s="20" t="inlineStr">
        <x:is>
          <x:t xml:space="preserve">YES</x:t>
        </x:is>
      </x:c>
      <x:c r="H165" s="20" t="inlineStr">
        <x:is>
          <x:t xml:space="preserve">NO</x:t>
        </x:is>
      </x:c>
      <x:c r="I165" s="20" t="inlineStr">
        <x:is>
          <x:t xml:space="preserve"/>
        </x:is>
      </x:c>
      <x:c r="J165" s="20" t="inlineStr">
        <x:is>
          <x:t xml:space="preserve">NO</x:t>
        </x:is>
      </x:c>
      <x:c r="K165" s="20" t="inlineStr">
        <x:is>
          <x:t xml:space="preserve"/>
        </x:is>
      </x:c>
      <x:c r="L165" s="20" t="inlineStr">
        <x:is>
          <x:t xml:space="preserve"/>
        </x:is>
      </x:c>
      <x:c r="M165" s="20" t="inlineStr">
        <x:is>
          <x:t xml:space="preserve"/>
        </x:is>
      </x:c>
      <x:c r="N165" s="20" t="inlineStr">
        <x:is>
          <x:t xml:space="preserve"/>
        </x:is>
      </x:c>
      <x:c r="O165" s="20" t="inlineStr">
        <x:is>
          <x:t xml:space="preserve"/>
        </x:is>
      </x:c>
      <x:c r="P165" s="20" t="inlineStr">
        <x:is>
          <x:t xml:space="preserve"/>
        </x:is>
      </x:c>
      <x:c r="Q165" s="20" t="inlineStr">
        <x:is>
          <x:t xml:space="preserve">https://www.fldoe.org/file/18534/SchoolGrades25.xlsx</x:t>
        </x:is>
      </x:c>
      <x:c r="R165" s="20" t="inlineStr">
        <x:is>
          <x:t xml:space="preserve">School type code 04; Title I=YES; Alternative/ESE=N; coordinates pending NCES/district GIS pull.</x:t>
        </x:is>
      </x:c>
    </x:row>
    <x:row r="166">
      <x:c r="A166" s="20" t="inlineStr">
        <x:is>
          <x:t xml:space="preserve">POLK</x:t>
        </x:is>
      </x:c>
      <x:c r="B166" s="20" t="inlineStr">
        <x:is>
          <x:t xml:space="preserve">POLK</x:t>
        </x:is>
      </x:c>
      <x:c r="C166" s="20" t="inlineStr">
        <x:is>
          <x:t xml:space="preserve">530802</x:t>
        </x:is>
      </x:c>
      <x:c r="D166" s="20" t="inlineStr">
        <x:is>
          <x:t xml:space="preserve"/>
        </x:is>
      </x:c>
      <x:c r="E166" s="20" t="inlineStr">
        <x:is>
          <x:t xml:space="preserve">LEWIS ANNA WOODBURY ELEMENTARY SCHOOL</x:t>
        </x:is>
      </x:c>
      <x:c r="F166" s="20" t="inlineStr">
        <x:is>
          <x:t xml:space="preserve">Elementary</x:t>
        </x:is>
      </x:c>
      <x:c r="G166" s="20" t="inlineStr">
        <x:is>
          <x:t xml:space="preserve">YES</x:t>
        </x:is>
      </x:c>
      <x:c r="H166" s="20" t="inlineStr">
        <x:is>
          <x:t xml:space="preserve">NO</x:t>
        </x:is>
      </x:c>
      <x:c r="I166" s="20" t="inlineStr">
        <x:is>
          <x:t xml:space="preserve"/>
        </x:is>
      </x:c>
      <x:c r="J166" s="20" t="inlineStr">
        <x:is>
          <x:t xml:space="preserve">NO</x:t>
        </x:is>
      </x:c>
      <x:c r="K166" s="20" t="inlineStr">
        <x:is>
          <x:t xml:space="preserve"/>
        </x:is>
      </x:c>
      <x:c r="L166" s="20" t="inlineStr">
        <x:is>
          <x:t xml:space="preserve"/>
        </x:is>
      </x:c>
      <x:c r="M166" s="20" t="inlineStr">
        <x:is>
          <x:t xml:space="preserve"/>
        </x:is>
      </x:c>
      <x:c r="N166" s="20" t="inlineStr">
        <x:is>
          <x:t xml:space="preserve"/>
        </x:is>
      </x:c>
      <x:c r="O166" s="20" t="inlineStr">
        <x:is>
          <x:t xml:space="preserve"/>
        </x:is>
      </x:c>
      <x:c r="P166" s="20" t="inlineStr">
        <x:is>
          <x:t xml:space="preserve"/>
        </x:is>
      </x:c>
      <x:c r="Q166" s="20" t="inlineStr">
        <x:is>
          <x:t xml:space="preserve">https://www.fldoe.org/file/18534/SchoolGrades25.xlsx</x:t>
        </x:is>
      </x:c>
      <x:c r="R166" s="20" t="inlineStr">
        <x:is>
          <x:t xml:space="preserve">School type code 01; Title I=YES; Alternative/ESE=N; coordinates pending NCES/district GIS pull.</x:t>
        </x:is>
      </x:c>
    </x:row>
    <x:row r="167">
      <x:c r="A167" s="20" t="inlineStr">
        <x:is>
          <x:t xml:space="preserve">POLK</x:t>
        </x:is>
      </x:c>
      <x:c r="B167" s="20" t="inlineStr">
        <x:is>
          <x:t xml:space="preserve">POLK</x:t>
        </x:is>
      </x:c>
      <x:c r="C167" s="20" t="inlineStr">
        <x:is>
          <x:t xml:space="preserve">530811</x:t>
        </x:is>
      </x:c>
      <x:c r="D167" s="20" t="inlineStr">
        <x:is>
          <x:t xml:space="preserve"/>
        </x:is>
      </x:c>
      <x:c r="E167" s="20" t="inlineStr">
        <x:is>
          <x:t xml:space="preserve">AUBURNDALE SENIOR HIGH SCHOOL</x:t>
        </x:is>
      </x:c>
      <x:c r="F167" s="20" t="inlineStr">
        <x:is>
          <x:t xml:space="preserve">Senior High</x:t>
        </x:is>
      </x:c>
      <x:c r="G167" s="20" t="inlineStr">
        <x:is>
          <x:t xml:space="preserve">YES</x:t>
        </x:is>
      </x:c>
      <x:c r="H167" s="20" t="inlineStr">
        <x:is>
          <x:t xml:space="preserve">NO</x:t>
        </x:is>
      </x:c>
      <x:c r="I167" s="20" t="inlineStr">
        <x:is>
          <x:t xml:space="preserve"/>
        </x:is>
      </x:c>
      <x:c r="J167" s="20" t="inlineStr">
        <x:is>
          <x:t xml:space="preserve">NO</x:t>
        </x:is>
      </x:c>
      <x:c r="K167" s="20" t="inlineStr">
        <x:is>
          <x:t xml:space="preserve"/>
        </x:is>
      </x:c>
      <x:c r="L167" s="20" t="inlineStr">
        <x:is>
          <x:t xml:space="preserve"/>
        </x:is>
      </x:c>
      <x:c r="M167" s="20" t="inlineStr">
        <x:is>
          <x:t xml:space="preserve"/>
        </x:is>
      </x:c>
      <x:c r="N167" s="20" t="inlineStr">
        <x:is>
          <x:t xml:space="preserve"/>
        </x:is>
      </x:c>
      <x:c r="O167" s="20" t="inlineStr">
        <x:is>
          <x:t xml:space="preserve"/>
        </x:is>
      </x:c>
      <x:c r="P167" s="20" t="inlineStr">
        <x:is>
          <x:t xml:space="preserve"/>
        </x:is>
      </x:c>
      <x:c r="Q167" s="20" t="inlineStr">
        <x:is>
          <x:t xml:space="preserve">https://www.fldoe.org/file/18534/SchoolGrades25.xlsx</x:t>
        </x:is>
      </x:c>
      <x:c r="R167" s="20" t="inlineStr">
        <x:is>
          <x:t xml:space="preserve">School type code 03; Title I=YES; Alternative/ESE=N; coordinates pending NCES/district GIS pull.</x:t>
        </x:is>
      </x:c>
    </x:row>
    <x:row r="168">
      <x:c r="A168" s="20" t="inlineStr">
        <x:is>
          <x:t xml:space="preserve">POLK</x:t>
        </x:is>
      </x:c>
      <x:c r="B168" s="20" t="inlineStr">
        <x:is>
          <x:t xml:space="preserve">POLK</x:t>
        </x:is>
      </x:c>
      <x:c r="C168" s="20" t="inlineStr">
        <x:is>
          <x:t xml:space="preserve">530821</x:t>
        </x:is>
      </x:c>
      <x:c r="D168" s="20" t="inlineStr">
        <x:is>
          <x:t xml:space="preserve"/>
        </x:is>
      </x:c>
      <x:c r="E168" s="20" t="inlineStr">
        <x:is>
          <x:t xml:space="preserve">JERE L. STAMBAUGH MIDDLE</x:t>
        </x:is>
      </x:c>
      <x:c r="F168" s="20" t="inlineStr">
        <x:is>
          <x:t xml:space="preserve">Middle/Junior</x:t>
        </x:is>
      </x:c>
      <x:c r="G168" s="20" t="inlineStr">
        <x:is>
          <x:t xml:space="preserve">YES</x:t>
        </x:is>
      </x:c>
      <x:c r="H168" s="20" t="inlineStr">
        <x:is>
          <x:t xml:space="preserve">NO</x:t>
        </x:is>
      </x:c>
      <x:c r="I168" s="20" t="inlineStr">
        <x:is>
          <x:t xml:space="preserve"/>
        </x:is>
      </x:c>
      <x:c r="J168" s="20" t="inlineStr">
        <x:is>
          <x:t xml:space="preserve">NO</x:t>
        </x:is>
      </x:c>
      <x:c r="K168" s="20" t="inlineStr">
        <x:is>
          <x:t xml:space="preserve"/>
        </x:is>
      </x:c>
      <x:c r="L168" s="20" t="inlineStr">
        <x:is>
          <x:t xml:space="preserve"/>
        </x:is>
      </x:c>
      <x:c r="M168" s="20" t="inlineStr">
        <x:is>
          <x:t xml:space="preserve"/>
        </x:is>
      </x:c>
      <x:c r="N168" s="20" t="inlineStr">
        <x:is>
          <x:t xml:space="preserve"/>
        </x:is>
      </x:c>
      <x:c r="O168" s="20" t="inlineStr">
        <x:is>
          <x:t xml:space="preserve"/>
        </x:is>
      </x:c>
      <x:c r="P168" s="20" t="inlineStr">
        <x:is>
          <x:t xml:space="preserve"/>
        </x:is>
      </x:c>
      <x:c r="Q168" s="20" t="inlineStr">
        <x:is>
          <x:t xml:space="preserve">https://www.fldoe.org/file/18534/SchoolGrades25.xlsx</x:t>
        </x:is>
      </x:c>
      <x:c r="R168" s="20" t="inlineStr">
        <x:is>
          <x:t xml:space="preserve">School type code 02; Title I=YES; Alternative/ESE=N; coordinates pending NCES/district GIS pull.</x:t>
        </x:is>
      </x:c>
    </x:row>
    <x:row r="169">
      <x:c r="A169" s="20" t="inlineStr">
        <x:is>
          <x:t xml:space="preserve">POLK</x:t>
        </x:is>
      </x:c>
      <x:c r="B169" s="20" t="inlineStr">
        <x:is>
          <x:t xml:space="preserve">POLK</x:t>
        </x:is>
      </x:c>
      <x:c r="C169" s="20" t="inlineStr">
        <x:is>
          <x:t xml:space="preserve">530841</x:t>
        </x:is>
      </x:c>
      <x:c r="D169" s="20" t="inlineStr">
        <x:is>
          <x:t xml:space="preserve"/>
        </x:is>
      </x:c>
      <x:c r="E169" s="20" t="inlineStr">
        <x:is>
          <x:t xml:space="preserve">LENA VISTA ELEMENTARY SCHOOL</x:t>
        </x:is>
      </x:c>
      <x:c r="F169" s="20" t="inlineStr">
        <x:is>
          <x:t xml:space="preserve">Elementary</x:t>
        </x:is>
      </x:c>
      <x:c r="G169" s="20" t="inlineStr">
        <x:is>
          <x:t xml:space="preserve">YES</x:t>
        </x:is>
      </x:c>
      <x:c r="H169" s="20" t="inlineStr">
        <x:is>
          <x:t xml:space="preserve">NO</x:t>
        </x:is>
      </x:c>
      <x:c r="I169" s="20" t="inlineStr">
        <x:is>
          <x:t xml:space="preserve"/>
        </x:is>
      </x:c>
      <x:c r="J169" s="20" t="inlineStr">
        <x:is>
          <x:t xml:space="preserve">NO</x:t>
        </x:is>
      </x:c>
      <x:c r="K169" s="20" t="inlineStr">
        <x:is>
          <x:t xml:space="preserve"/>
        </x:is>
      </x:c>
      <x:c r="L169" s="20" t="inlineStr">
        <x:is>
          <x:t xml:space="preserve"/>
        </x:is>
      </x:c>
      <x:c r="M169" s="20" t="inlineStr">
        <x:is>
          <x:t xml:space="preserve"/>
        </x:is>
      </x:c>
      <x:c r="N169" s="20" t="inlineStr">
        <x:is>
          <x:t xml:space="preserve"/>
        </x:is>
      </x:c>
      <x:c r="O169" s="20" t="inlineStr">
        <x:is>
          <x:t xml:space="preserve"/>
        </x:is>
      </x:c>
      <x:c r="P169" s="20" t="inlineStr">
        <x:is>
          <x:t xml:space="preserve"/>
        </x:is>
      </x:c>
      <x:c r="Q169" s="20" t="inlineStr">
        <x:is>
          <x:t xml:space="preserve">https://www.fldoe.org/file/18534/SchoolGrades25.xlsx</x:t>
        </x:is>
      </x:c>
      <x:c r="R169" s="20" t="inlineStr">
        <x:is>
          <x:t xml:space="preserve">School type code 01; Title I=YES; Alternative/ESE=N; coordinates pending NCES/district GIS pull.</x:t>
        </x:is>
      </x:c>
    </x:row>
    <x:row r="170">
      <x:c r="A170" s="20" t="inlineStr">
        <x:is>
          <x:t xml:space="preserve">POLK</x:t>
        </x:is>
      </x:c>
      <x:c r="B170" s="20" t="inlineStr">
        <x:is>
          <x:t xml:space="preserve">POLK</x:t>
        </x:is>
      </x:c>
      <x:c r="C170" s="20" t="inlineStr">
        <x:is>
          <x:t xml:space="preserve">530851</x:t>
        </x:is>
      </x:c>
      <x:c r="D170" s="20" t="inlineStr">
        <x:is>
          <x:t xml:space="preserve"/>
        </x:is>
      </x:c>
      <x:c r="E170" s="20" t="inlineStr">
        <x:is>
          <x:t xml:space="preserve">AUBURNDALE CENTRAL ELEMENTARY SCHOOL</x:t>
        </x:is>
      </x:c>
      <x:c r="F170" s="20" t="inlineStr">
        <x:is>
          <x:t xml:space="preserve">Elementary</x:t>
        </x:is>
      </x:c>
      <x:c r="G170" s="20" t="inlineStr">
        <x:is>
          <x:t xml:space="preserve">YES</x:t>
        </x:is>
      </x:c>
      <x:c r="H170" s="20" t="inlineStr">
        <x:is>
          <x:t xml:space="preserve">NO</x:t>
        </x:is>
      </x:c>
      <x:c r="I170" s="20" t="inlineStr">
        <x:is>
          <x:t xml:space="preserve"/>
        </x:is>
      </x:c>
      <x:c r="J170" s="20" t="inlineStr">
        <x:is>
          <x:t xml:space="preserve">NO</x:t>
        </x:is>
      </x:c>
      <x:c r="K170" s="20" t="inlineStr">
        <x:is>
          <x:t xml:space="preserve"/>
        </x:is>
      </x:c>
      <x:c r="L170" s="20" t="inlineStr">
        <x:is>
          <x:t xml:space="preserve"/>
        </x:is>
      </x:c>
      <x:c r="M170" s="20" t="inlineStr">
        <x:is>
          <x:t xml:space="preserve"/>
        </x:is>
      </x:c>
      <x:c r="N170" s="20" t="inlineStr">
        <x:is>
          <x:t xml:space="preserve"/>
        </x:is>
      </x:c>
      <x:c r="O170" s="20" t="inlineStr">
        <x:is>
          <x:t xml:space="preserve"/>
        </x:is>
      </x:c>
      <x:c r="P170" s="20" t="inlineStr">
        <x:is>
          <x:t xml:space="preserve"/>
        </x:is>
      </x:c>
      <x:c r="Q170" s="20" t="inlineStr">
        <x:is>
          <x:t xml:space="preserve">https://www.fldoe.org/file/18534/SchoolGrades25.xlsx</x:t>
        </x:is>
      </x:c>
      <x:c r="R170" s="20" t="inlineStr">
        <x:is>
          <x:t xml:space="preserve">School type code 01; Title I=YES; Alternative/ESE=N; coordinates pending NCES/district GIS pull.</x:t>
        </x:is>
      </x:c>
    </x:row>
    <x:row r="171">
      <x:c r="A171" s="20" t="inlineStr">
        <x:is>
          <x:t xml:space="preserve">POLK</x:t>
        </x:is>
      </x:c>
      <x:c r="B171" s="20" t="inlineStr">
        <x:is>
          <x:t xml:space="preserve">POLK</x:t>
        </x:is>
      </x:c>
      <x:c r="C171" s="20" t="inlineStr">
        <x:is>
          <x:t xml:space="preserve">530861</x:t>
        </x:is>
      </x:c>
      <x:c r="D171" s="20" t="inlineStr">
        <x:is>
          <x:t xml:space="preserve"/>
        </x:is>
      </x:c>
      <x:c r="E171" s="20" t="inlineStr">
        <x:is>
          <x:t xml:space="preserve">WALTER CALDWELL ELEMENTARY SCHOOL</x:t>
        </x:is>
      </x:c>
      <x:c r="F171" s="20" t="inlineStr">
        <x:is>
          <x:t xml:space="preserve">Elementary</x:t>
        </x:is>
      </x:c>
      <x:c r="G171" s="20" t="inlineStr">
        <x:is>
          <x:t xml:space="preserve">YES</x:t>
        </x:is>
      </x:c>
      <x:c r="H171" s="20" t="inlineStr">
        <x:is>
          <x:t xml:space="preserve">NO</x:t>
        </x:is>
      </x:c>
      <x:c r="I171" s="20" t="inlineStr">
        <x:is>
          <x:t xml:space="preserve"/>
        </x:is>
      </x:c>
      <x:c r="J171" s="20" t="inlineStr">
        <x:is>
          <x:t xml:space="preserve">NO</x:t>
        </x:is>
      </x:c>
      <x:c r="K171" s="20" t="inlineStr">
        <x:is>
          <x:t xml:space="preserve"/>
        </x:is>
      </x:c>
      <x:c r="L171" s="20" t="inlineStr">
        <x:is>
          <x:t xml:space="preserve"/>
        </x:is>
      </x:c>
      <x:c r="M171" s="20" t="inlineStr">
        <x:is>
          <x:t xml:space="preserve"/>
        </x:is>
      </x:c>
      <x:c r="N171" s="20" t="inlineStr">
        <x:is>
          <x:t xml:space="preserve"/>
        </x:is>
      </x:c>
      <x:c r="O171" s="20" t="inlineStr">
        <x:is>
          <x:t xml:space="preserve"/>
        </x:is>
      </x:c>
      <x:c r="P171" s="20" t="inlineStr">
        <x:is>
          <x:t xml:space="preserve"/>
        </x:is>
      </x:c>
      <x:c r="Q171" s="20" t="inlineStr">
        <x:is>
          <x:t xml:space="preserve">https://www.fldoe.org/file/18534/SchoolGrades25.xlsx</x:t>
        </x:is>
      </x:c>
      <x:c r="R171" s="20" t="inlineStr">
        <x:is>
          <x:t xml:space="preserve">School type code 01; Title I=YES; Alternative/ESE=N; coordinates pending NCES/district GIS pull.</x:t>
        </x:is>
      </x:c>
    </x:row>
    <x:row r="172">
      <x:c r="A172" s="20" t="inlineStr">
        <x:is>
          <x:t xml:space="preserve">POLK</x:t>
        </x:is>
      </x:c>
      <x:c r="B172" s="20" t="inlineStr">
        <x:is>
          <x:t xml:space="preserve">POLK</x:t>
        </x:is>
      </x:c>
      <x:c r="C172" s="20" t="inlineStr">
        <x:is>
          <x:t xml:space="preserve">530881</x:t>
        </x:is>
      </x:c>
      <x:c r="D172" s="20" t="inlineStr">
        <x:is>
          <x:t xml:space="preserve"/>
        </x:is>
      </x:c>
      <x:c r="E172" s="20" t="inlineStr">
        <x:is>
          <x:t xml:space="preserve">POLK CITY ELEMENTARY SCHOOL</x:t>
        </x:is>
      </x:c>
      <x:c r="F172" s="20" t="inlineStr">
        <x:is>
          <x:t xml:space="preserve">Elementary</x:t>
        </x:is>
      </x:c>
      <x:c r="G172" s="20" t="inlineStr">
        <x:is>
          <x:t xml:space="preserve">YES</x:t>
        </x:is>
      </x:c>
      <x:c r="H172" s="20" t="inlineStr">
        <x:is>
          <x:t xml:space="preserve">NO</x:t>
        </x:is>
      </x:c>
      <x:c r="I172" s="20" t="inlineStr">
        <x:is>
          <x:t xml:space="preserve"/>
        </x:is>
      </x:c>
      <x:c r="J172" s="20" t="inlineStr">
        <x:is>
          <x:t xml:space="preserve">NO</x:t>
        </x:is>
      </x:c>
      <x:c r="K172" s="20" t="inlineStr">
        <x:is>
          <x:t xml:space="preserve"/>
        </x:is>
      </x:c>
      <x:c r="L172" s="20" t="inlineStr">
        <x:is>
          <x:t xml:space="preserve"/>
        </x:is>
      </x:c>
      <x:c r="M172" s="20" t="inlineStr">
        <x:is>
          <x:t xml:space="preserve"/>
        </x:is>
      </x:c>
      <x:c r="N172" s="20" t="inlineStr">
        <x:is>
          <x:t xml:space="preserve"/>
        </x:is>
      </x:c>
      <x:c r="O172" s="20" t="inlineStr">
        <x:is>
          <x:t xml:space="preserve"/>
        </x:is>
      </x:c>
      <x:c r="P172" s="20" t="inlineStr">
        <x:is>
          <x:t xml:space="preserve"/>
        </x:is>
      </x:c>
      <x:c r="Q172" s="20" t="inlineStr">
        <x:is>
          <x:t xml:space="preserve">https://www.fldoe.org/file/18534/SchoolGrades25.xlsx</x:t>
        </x:is>
      </x:c>
      <x:c r="R172" s="20" t="inlineStr">
        <x:is>
          <x:t xml:space="preserve">School type code 01; Title I=YES; Alternative/ESE=N; coordinates pending NCES/district GIS pull.</x:t>
        </x:is>
      </x:c>
    </x:row>
    <x:row r="173">
      <x:c r="A173" s="20" t="inlineStr">
        <x:is>
          <x:t xml:space="preserve">POLK</x:t>
        </x:is>
      </x:c>
      <x:c r="B173" s="20" t="inlineStr">
        <x:is>
          <x:t xml:space="preserve">POLK</x:t>
        </x:is>
      </x:c>
      <x:c r="C173" s="20" t="inlineStr">
        <x:is>
          <x:t xml:space="preserve">530901</x:t>
        </x:is>
      </x:c>
      <x:c r="D173" s="20" t="inlineStr">
        <x:is>
          <x:t xml:space="preserve"/>
        </x:is>
      </x:c>
      <x:c r="E173" s="20" t="inlineStr">
        <x:is>
          <x:t xml:space="preserve">BARTOW SENIOR HIGH SCHOOL</x:t>
        </x:is>
      </x:c>
      <x:c r="F173" s="20" t="inlineStr">
        <x:is>
          <x:t xml:space="preserve">Senior High</x:t>
        </x:is>
      </x:c>
      <x:c r="G173" s="20" t="inlineStr">
        <x:is>
          <x:t xml:space="preserve">YES</x:t>
        </x:is>
      </x:c>
      <x:c r="H173" s="20" t="inlineStr">
        <x:is>
          <x:t xml:space="preserve">NO</x:t>
        </x:is>
      </x:c>
      <x:c r="I173" s="20" t="inlineStr">
        <x:is>
          <x:t xml:space="preserve"/>
        </x:is>
      </x:c>
      <x:c r="J173" s="20" t="inlineStr">
        <x:is>
          <x:t xml:space="preserve">NO</x:t>
        </x:is>
      </x:c>
      <x:c r="K173" s="20" t="inlineStr">
        <x:is>
          <x:t xml:space="preserve"/>
        </x:is>
      </x:c>
      <x:c r="L173" s="20" t="inlineStr">
        <x:is>
          <x:t xml:space="preserve"/>
        </x:is>
      </x:c>
      <x:c r="M173" s="20" t="inlineStr">
        <x:is>
          <x:t xml:space="preserve"/>
        </x:is>
      </x:c>
      <x:c r="N173" s="20" t="inlineStr">
        <x:is>
          <x:t xml:space="preserve"/>
        </x:is>
      </x:c>
      <x:c r="O173" s="20" t="inlineStr">
        <x:is>
          <x:t xml:space="preserve"/>
        </x:is>
      </x:c>
      <x:c r="P173" s="20" t="inlineStr">
        <x:is>
          <x:t xml:space="preserve"/>
        </x:is>
      </x:c>
      <x:c r="Q173" s="20" t="inlineStr">
        <x:is>
          <x:t xml:space="preserve">https://www.fldoe.org/file/18534/SchoolGrades25.xlsx</x:t>
        </x:is>
      </x:c>
      <x:c r="R173" s="20" t="inlineStr">
        <x:is>
          <x:t xml:space="preserve">School type code 03; Title I=YES; Alternative/ESE=N; coordinates pending NCES/district GIS pull.</x:t>
        </x:is>
      </x:c>
    </x:row>
    <x:row r="174">
      <x:c r="A174" s="20" t="inlineStr">
        <x:is>
          <x:t xml:space="preserve">POLK</x:t>
        </x:is>
      </x:c>
      <x:c r="B174" s="20" t="inlineStr">
        <x:is>
          <x:t xml:space="preserve">POLK</x:t>
        </x:is>
      </x:c>
      <x:c r="C174" s="20" t="inlineStr">
        <x:is>
          <x:t xml:space="preserve">530925</x:t>
        </x:is>
      </x:c>
      <x:c r="D174" s="20" t="inlineStr">
        <x:is>
          <x:t xml:space="preserve"/>
        </x:is>
      </x:c>
      <x:c r="E174" s="20" t="inlineStr">
        <x:is>
          <x:t xml:space="preserve">DAVENPORT ELEMENTARY</x:t>
        </x:is>
      </x:c>
      <x:c r="F174" s="20" t="inlineStr">
        <x:is>
          <x:t xml:space="preserve">Elementary</x:t>
        </x:is>
      </x:c>
      <x:c r="G174" s="20" t="inlineStr">
        <x:is>
          <x:t xml:space="preserve">YES</x:t>
        </x:is>
      </x:c>
      <x:c r="H174" s="20" t="inlineStr">
        <x:is>
          <x:t xml:space="preserve">NO</x:t>
        </x:is>
      </x:c>
      <x:c r="I174" s="20" t="inlineStr">
        <x:is>
          <x:t xml:space="preserve"/>
        </x:is>
      </x:c>
      <x:c r="J174" s="20" t="inlineStr">
        <x:is>
          <x:t xml:space="preserve">NO</x:t>
        </x:is>
      </x:c>
      <x:c r="K174" s="20" t="inlineStr">
        <x:is>
          <x:t xml:space="preserve"/>
        </x:is>
      </x:c>
      <x:c r="L174" s="20" t="inlineStr">
        <x:is>
          <x:t xml:space="preserve"/>
        </x:is>
      </x:c>
      <x:c r="M174" s="20" t="inlineStr">
        <x:is>
          <x:t xml:space="preserve"/>
        </x:is>
      </x:c>
      <x:c r="N174" s="20" t="inlineStr">
        <x:is>
          <x:t xml:space="preserve"/>
        </x:is>
      </x:c>
      <x:c r="O174" s="20" t="inlineStr">
        <x:is>
          <x:t xml:space="preserve"/>
        </x:is>
      </x:c>
      <x:c r="P174" s="20" t="inlineStr">
        <x:is>
          <x:t xml:space="preserve"/>
        </x:is>
      </x:c>
      <x:c r="Q174" s="20" t="inlineStr">
        <x:is>
          <x:t xml:space="preserve">https://www.fldoe.org/file/18534/SchoolGrades25.xlsx</x:t>
        </x:is>
      </x:c>
      <x:c r="R174" s="20" t="inlineStr">
        <x:is>
          <x:t xml:space="preserve">School type code 01; Title I=YES; Alternative/ESE=N; coordinates pending NCES/district GIS pull.</x:t>
        </x:is>
      </x:c>
    </x:row>
    <x:row r="175">
      <x:c r="A175" s="20" t="inlineStr">
        <x:is>
          <x:t xml:space="preserve">POLK</x:t>
        </x:is>
      </x:c>
      <x:c r="B175" s="20" t="inlineStr">
        <x:is>
          <x:t xml:space="preserve">POLK</x:t>
        </x:is>
      </x:c>
      <x:c r="C175" s="20" t="inlineStr">
        <x:is>
          <x:t xml:space="preserve">530931</x:t>
        </x:is>
      </x:c>
      <x:c r="D175" s="20" t="inlineStr">
        <x:is>
          <x:t xml:space="preserve"/>
        </x:is>
      </x:c>
      <x:c r="E175" s="20" t="inlineStr">
        <x:is>
          <x:t xml:space="preserve">BARTOW MIDDLE SCHOOL</x:t>
        </x:is>
      </x:c>
      <x:c r="F175" s="20" t="inlineStr">
        <x:is>
          <x:t xml:space="preserve">Middle/Junior</x:t>
        </x:is>
      </x:c>
      <x:c r="G175" s="20" t="inlineStr">
        <x:is>
          <x:t xml:space="preserve">YES</x:t>
        </x:is>
      </x:c>
      <x:c r="H175" s="20" t="inlineStr">
        <x:is>
          <x:t xml:space="preserve">NO</x:t>
        </x:is>
      </x:c>
      <x:c r="I175" s="20" t="inlineStr">
        <x:is>
          <x:t xml:space="preserve"/>
        </x:is>
      </x:c>
      <x:c r="J175" s="20" t="inlineStr">
        <x:is>
          <x:t xml:space="preserve">NO</x:t>
        </x:is>
      </x:c>
      <x:c r="K175" s="20" t="inlineStr">
        <x:is>
          <x:t xml:space="preserve"/>
        </x:is>
      </x:c>
      <x:c r="L175" s="20" t="inlineStr">
        <x:is>
          <x:t xml:space="preserve"/>
        </x:is>
      </x:c>
      <x:c r="M175" s="20" t="inlineStr">
        <x:is>
          <x:t xml:space="preserve"/>
        </x:is>
      </x:c>
      <x:c r="N175" s="20" t="inlineStr">
        <x:is>
          <x:t xml:space="preserve"/>
        </x:is>
      </x:c>
      <x:c r="O175" s="20" t="inlineStr">
        <x:is>
          <x:t xml:space="preserve"/>
        </x:is>
      </x:c>
      <x:c r="P175" s="20" t="inlineStr">
        <x:is>
          <x:t xml:space="preserve"/>
        </x:is>
      </x:c>
      <x:c r="Q175" s="20" t="inlineStr">
        <x:is>
          <x:t xml:space="preserve">https://www.fldoe.org/file/18534/SchoolGrades25.xlsx</x:t>
        </x:is>
      </x:c>
      <x:c r="R175" s="20" t="inlineStr">
        <x:is>
          <x:t xml:space="preserve">School type code 02; Title I=YES; Alternative/ESE=N; coordinates pending NCES/district GIS pull.</x:t>
        </x:is>
      </x:c>
    </x:row>
    <x:row r="176">
      <x:c r="A176" s="20" t="inlineStr">
        <x:is>
          <x:t xml:space="preserve">POLK</x:t>
        </x:is>
      </x:c>
      <x:c r="B176" s="20" t="inlineStr">
        <x:is>
          <x:t xml:space="preserve">POLK</x:t>
        </x:is>
      </x:c>
      <x:c r="C176" s="20" t="inlineStr">
        <x:is>
          <x:t xml:space="preserve">530933</x:t>
        </x:is>
      </x:c>
      <x:c r="D176" s="20" t="inlineStr">
        <x:is>
          <x:t xml:space="preserve"/>
        </x:is>
      </x:c>
      <x:c r="E176" s="20" t="inlineStr">
        <x:is>
          <x:t xml:space="preserve">CHAIN OF LAKES ELEMENTARY SCHOOL</x:t>
        </x:is>
      </x:c>
      <x:c r="F176" s="20" t="inlineStr">
        <x:is>
          <x:t xml:space="preserve">Elementary</x:t>
        </x:is>
      </x:c>
      <x:c r="G176" s="20" t="inlineStr">
        <x:is>
          <x:t xml:space="preserve">YES</x:t>
        </x:is>
      </x:c>
      <x:c r="H176" s="20" t="inlineStr">
        <x:is>
          <x:t xml:space="preserve">NO</x:t>
        </x:is>
      </x:c>
      <x:c r="I176" s="20" t="inlineStr">
        <x:is>
          <x:t xml:space="preserve"/>
        </x:is>
      </x:c>
      <x:c r="J176" s="20" t="inlineStr">
        <x:is>
          <x:t xml:space="preserve">NO</x:t>
        </x:is>
      </x:c>
      <x:c r="K176" s="20" t="inlineStr">
        <x:is>
          <x:t xml:space="preserve"/>
        </x:is>
      </x:c>
      <x:c r="L176" s="20" t="inlineStr">
        <x:is>
          <x:t xml:space="preserve"/>
        </x:is>
      </x:c>
      <x:c r="M176" s="20" t="inlineStr">
        <x:is>
          <x:t xml:space="preserve"/>
        </x:is>
      </x:c>
      <x:c r="N176" s="20" t="inlineStr">
        <x:is>
          <x:t xml:space="preserve"/>
        </x:is>
      </x:c>
      <x:c r="O176" s="20" t="inlineStr">
        <x:is>
          <x:t xml:space="preserve"/>
        </x:is>
      </x:c>
      <x:c r="P176" s="20" t="inlineStr">
        <x:is>
          <x:t xml:space="preserve"/>
        </x:is>
      </x:c>
      <x:c r="Q176" s="20" t="inlineStr">
        <x:is>
          <x:t xml:space="preserve">https://www.fldoe.org/file/18534/SchoolGrades25.xlsx</x:t>
        </x:is>
      </x:c>
      <x:c r="R176" s="20" t="inlineStr">
        <x:is>
          <x:t xml:space="preserve">School type code 01; Title I=YES; Alternative/ESE=N; coordinates pending NCES/district GIS pull.</x:t>
        </x:is>
      </x:c>
    </x:row>
    <x:row r="177">
      <x:c r="A177" s="20" t="inlineStr">
        <x:is>
          <x:t xml:space="preserve">POLK</x:t>
        </x:is>
      </x:c>
      <x:c r="B177" s="20" t="inlineStr">
        <x:is>
          <x:t xml:space="preserve">POLK</x:t>
        </x:is>
      </x:c>
      <x:c r="C177" s="20" t="inlineStr">
        <x:is>
          <x:t xml:space="preserve">530937</x:t>
        </x:is>
      </x:c>
      <x:c r="D177" s="20" t="inlineStr">
        <x:is>
          <x:t xml:space="preserve"/>
        </x:is>
      </x:c>
      <x:c r="E177" s="20" t="inlineStr">
        <x:is>
          <x:t xml:space="preserve">RIDGE COMMUNITY HIGH SCHOOL</x:t>
        </x:is>
      </x:c>
      <x:c r="F177" s="20" t="inlineStr">
        <x:is>
          <x:t xml:space="preserve">Senior High</x:t>
        </x:is>
      </x:c>
      <x:c r="G177" s="20" t="inlineStr">
        <x:is>
          <x:t xml:space="preserve">YES</x:t>
        </x:is>
      </x:c>
      <x:c r="H177" s="20" t="inlineStr">
        <x:is>
          <x:t xml:space="preserve">NO</x:t>
        </x:is>
      </x:c>
      <x:c r="I177" s="20" t="inlineStr">
        <x:is>
          <x:t xml:space="preserve"/>
        </x:is>
      </x:c>
      <x:c r="J177" s="20" t="inlineStr">
        <x:is>
          <x:t xml:space="preserve">NO</x:t>
        </x:is>
      </x:c>
      <x:c r="K177" s="20" t="inlineStr">
        <x:is>
          <x:t xml:space="preserve"/>
        </x:is>
      </x:c>
      <x:c r="L177" s="20" t="inlineStr">
        <x:is>
          <x:t xml:space="preserve"/>
        </x:is>
      </x:c>
      <x:c r="M177" s="20" t="inlineStr">
        <x:is>
          <x:t xml:space="preserve"/>
        </x:is>
      </x:c>
      <x:c r="N177" s="20" t="inlineStr">
        <x:is>
          <x:t xml:space="preserve"/>
        </x:is>
      </x:c>
      <x:c r="O177" s="20" t="inlineStr">
        <x:is>
          <x:t xml:space="preserve"/>
        </x:is>
      </x:c>
      <x:c r="P177" s="20" t="inlineStr">
        <x:is>
          <x:t xml:space="preserve"/>
        </x:is>
      </x:c>
      <x:c r="Q177" s="20" t="inlineStr">
        <x:is>
          <x:t xml:space="preserve">https://www.fldoe.org/file/18534/SchoolGrades25.xlsx</x:t>
        </x:is>
      </x:c>
      <x:c r="R177" s="20" t="inlineStr">
        <x:is>
          <x:t xml:space="preserve">School type code 03; Title I=YES; Alternative/ESE=N; coordinates pending NCES/district GIS pull.</x:t>
        </x:is>
      </x:c>
    </x:row>
    <x:row r="178">
      <x:c r="A178" s="20" t="inlineStr">
        <x:is>
          <x:t xml:space="preserve">POLK</x:t>
        </x:is>
      </x:c>
      <x:c r="B178" s="20" t="inlineStr">
        <x:is>
          <x:t xml:space="preserve">POLK</x:t>
        </x:is>
      </x:c>
      <x:c r="C178" s="20" t="inlineStr">
        <x:is>
          <x:t xml:space="preserve">530941</x:t>
        </x:is>
      </x:c>
      <x:c r="D178" s="20" t="inlineStr">
        <x:is>
          <x:t xml:space="preserve"/>
        </x:is>
      </x:c>
      <x:c r="E178" s="20" t="inlineStr">
        <x:is>
          <x:t xml:space="preserve">BARTOW ELEMENTARY ACADEMY</x:t>
        </x:is>
      </x:c>
      <x:c r="F178" s="20" t="inlineStr">
        <x:is>
          <x:t xml:space="preserve">Elementary</x:t>
        </x:is>
      </x:c>
      <x:c r="G178" s="20" t="inlineStr">
        <x:is>
          <x:t xml:space="preserve">YES</x:t>
        </x:is>
      </x:c>
      <x:c r="H178" s="20" t="inlineStr">
        <x:is>
          <x:t xml:space="preserve">NO</x:t>
        </x:is>
      </x:c>
      <x:c r="I178" s="20" t="inlineStr">
        <x:is>
          <x:t xml:space="preserve"/>
        </x:is>
      </x:c>
      <x:c r="J178" s="20" t="inlineStr">
        <x:is>
          <x:t xml:space="preserve">NO</x:t>
        </x:is>
      </x:c>
      <x:c r="K178" s="20" t="inlineStr">
        <x:is>
          <x:t xml:space="preserve"/>
        </x:is>
      </x:c>
      <x:c r="L178" s="20" t="inlineStr">
        <x:is>
          <x:t xml:space="preserve"/>
        </x:is>
      </x:c>
      <x:c r="M178" s="20" t="inlineStr">
        <x:is>
          <x:t xml:space="preserve"/>
        </x:is>
      </x:c>
      <x:c r="N178" s="20" t="inlineStr">
        <x:is>
          <x:t xml:space="preserve"/>
        </x:is>
      </x:c>
      <x:c r="O178" s="20" t="inlineStr">
        <x:is>
          <x:t xml:space="preserve"/>
        </x:is>
      </x:c>
      <x:c r="P178" s="20" t="inlineStr">
        <x:is>
          <x:t xml:space="preserve"/>
        </x:is>
      </x:c>
      <x:c r="Q178" s="20" t="inlineStr">
        <x:is>
          <x:t xml:space="preserve">https://www.fldoe.org/file/18534/SchoolGrades25.xlsx</x:t>
        </x:is>
      </x:c>
      <x:c r="R178" s="20" t="inlineStr">
        <x:is>
          <x:t xml:space="preserve">School type code 01; Title I=YES; Alternative/ESE=N; coordinates pending NCES/district GIS pull.</x:t>
        </x:is>
      </x:c>
    </x:row>
    <x:row r="179">
      <x:c r="A179" s="20" t="inlineStr">
        <x:is>
          <x:t xml:space="preserve">POLK</x:t>
        </x:is>
      </x:c>
      <x:c r="B179" s="20" t="inlineStr">
        <x:is>
          <x:t xml:space="preserve">POLK</x:t>
        </x:is>
      </x:c>
      <x:c r="C179" s="20" t="inlineStr">
        <x:is>
          <x:t xml:space="preserve">530961</x:t>
        </x:is>
      </x:c>
      <x:c r="D179" s="20" t="inlineStr">
        <x:is>
          <x:t xml:space="preserve"/>
        </x:is>
      </x:c>
      <x:c r="E179" s="20" t="inlineStr">
        <x:is>
          <x:t xml:space="preserve">FLORAL AVENUE ELEMENTARY SCHOOL</x:t>
        </x:is>
      </x:c>
      <x:c r="F179" s="20" t="inlineStr">
        <x:is>
          <x:t xml:space="preserve">Elementary</x:t>
        </x:is>
      </x:c>
      <x:c r="G179" s="20" t="inlineStr">
        <x:is>
          <x:t xml:space="preserve">YES</x:t>
        </x:is>
      </x:c>
      <x:c r="H179" s="20" t="inlineStr">
        <x:is>
          <x:t xml:space="preserve">NO</x:t>
        </x:is>
      </x:c>
      <x:c r="I179" s="20" t="inlineStr">
        <x:is>
          <x:t xml:space="preserve"/>
        </x:is>
      </x:c>
      <x:c r="J179" s="20" t="inlineStr">
        <x:is>
          <x:t xml:space="preserve">NO</x:t>
        </x:is>
      </x:c>
      <x:c r="K179" s="20" t="inlineStr">
        <x:is>
          <x:t xml:space="preserve"/>
        </x:is>
      </x:c>
      <x:c r="L179" s="20" t="inlineStr">
        <x:is>
          <x:t xml:space="preserve"/>
        </x:is>
      </x:c>
      <x:c r="M179" s="20" t="inlineStr">
        <x:is>
          <x:t xml:space="preserve"/>
        </x:is>
      </x:c>
      <x:c r="N179" s="20" t="inlineStr">
        <x:is>
          <x:t xml:space="preserve"/>
        </x:is>
      </x:c>
      <x:c r="O179" s="20" t="inlineStr">
        <x:is>
          <x:t xml:space="preserve"/>
        </x:is>
      </x:c>
      <x:c r="P179" s="20" t="inlineStr">
        <x:is>
          <x:t xml:space="preserve"/>
        </x:is>
      </x:c>
      <x:c r="Q179" s="20" t="inlineStr">
        <x:is>
          <x:t xml:space="preserve">https://www.fldoe.org/file/18534/SchoolGrades25.xlsx</x:t>
        </x:is>
      </x:c>
      <x:c r="R179" s="20" t="inlineStr">
        <x:is>
          <x:t xml:space="preserve">School type code 01; Title I=YES; Alternative/ESE=N; coordinates pending NCES/district GIS pull.</x:t>
        </x:is>
      </x:c>
    </x:row>
    <x:row r="180">
      <x:c r="A180" s="20" t="inlineStr">
        <x:is>
          <x:t xml:space="preserve">POLK</x:t>
        </x:is>
      </x:c>
      <x:c r="B180" s="20" t="inlineStr">
        <x:is>
          <x:t xml:space="preserve">POLK</x:t>
        </x:is>
      </x:c>
      <x:c r="C180" s="20" t="inlineStr">
        <x:is>
          <x:t xml:space="preserve">530971</x:t>
        </x:is>
      </x:c>
      <x:c r="D180" s="20" t="inlineStr">
        <x:is>
          <x:t xml:space="preserve"/>
        </x:is>
      </x:c>
      <x:c r="E180" s="20" t="inlineStr">
        <x:is>
          <x:t xml:space="preserve">UNION ACADEMY</x:t>
        </x:is>
      </x:c>
      <x:c r="F180" s="20" t="inlineStr">
        <x:is>
          <x:t xml:space="preserve">Middle/Junior</x:t>
        </x:is>
      </x:c>
      <x:c r="G180" s="20" t="inlineStr">
        <x:is>
          <x:t xml:space="preserve">YES</x:t>
        </x:is>
      </x:c>
      <x:c r="H180" s="20" t="inlineStr">
        <x:is>
          <x:t xml:space="preserve">NO</x:t>
        </x:is>
      </x:c>
      <x:c r="I180" s="20" t="inlineStr">
        <x:is>
          <x:t xml:space="preserve"/>
        </x:is>
      </x:c>
      <x:c r="J180" s="20" t="inlineStr">
        <x:is>
          <x:t xml:space="preserve">NO</x:t>
        </x:is>
      </x:c>
      <x:c r="K180" s="20" t="inlineStr">
        <x:is>
          <x:t xml:space="preserve"/>
        </x:is>
      </x:c>
      <x:c r="L180" s="20" t="inlineStr">
        <x:is>
          <x:t xml:space="preserve"/>
        </x:is>
      </x:c>
      <x:c r="M180" s="20" t="inlineStr">
        <x:is>
          <x:t xml:space="preserve"/>
        </x:is>
      </x:c>
      <x:c r="N180" s="20" t="inlineStr">
        <x:is>
          <x:t xml:space="preserve"/>
        </x:is>
      </x:c>
      <x:c r="O180" s="20" t="inlineStr">
        <x:is>
          <x:t xml:space="preserve"/>
        </x:is>
      </x:c>
      <x:c r="P180" s="20" t="inlineStr">
        <x:is>
          <x:t xml:space="preserve"/>
        </x:is>
      </x:c>
      <x:c r="Q180" s="20" t="inlineStr">
        <x:is>
          <x:t xml:space="preserve">https://www.fldoe.org/file/18534/SchoolGrades25.xlsx</x:t>
        </x:is>
      </x:c>
      <x:c r="R180" s="20" t="inlineStr">
        <x:is>
          <x:t xml:space="preserve">School type code 02; Title I=NO; Alternative/ESE=N; coordinates pending NCES/district GIS pull.</x:t>
        </x:is>
      </x:c>
    </x:row>
    <x:row r="181">
      <x:c r="A181" s="20" t="inlineStr">
        <x:is>
          <x:t xml:space="preserve">POLK</x:t>
        </x:is>
      </x:c>
      <x:c r="B181" s="20" t="inlineStr">
        <x:is>
          <x:t xml:space="preserve">POLK</x:t>
        </x:is>
      </x:c>
      <x:c r="C181" s="20" t="inlineStr">
        <x:is>
          <x:t xml:space="preserve">531032</x:t>
        </x:is>
      </x:c>
      <x:c r="D181" s="20" t="inlineStr">
        <x:is>
          <x:t xml:space="preserve"/>
        </x:is>
      </x:c>
      <x:c r="E181" s="20" t="inlineStr">
        <x:is>
          <x:t xml:space="preserve">CITRUS RIDGE A CIVICS ACADEMY</x:t>
        </x:is>
      </x:c>
      <x:c r="F181" s="20" t="inlineStr">
        <x:is>
          <x:t xml:space="preserve">Combination</x:t>
        </x:is>
      </x:c>
      <x:c r="G181" s="20" t="inlineStr">
        <x:is>
          <x:t xml:space="preserve">YES</x:t>
        </x:is>
      </x:c>
      <x:c r="H181" s="20" t="inlineStr">
        <x:is>
          <x:t xml:space="preserve">NO</x:t>
        </x:is>
      </x:c>
      <x:c r="I181" s="20" t="inlineStr">
        <x:is>
          <x:t xml:space="preserve"/>
        </x:is>
      </x:c>
      <x:c r="J181" s="20" t="inlineStr">
        <x:is>
          <x:t xml:space="preserve">NO</x:t>
        </x:is>
      </x:c>
      <x:c r="K181" s="20" t="inlineStr">
        <x:is>
          <x:t xml:space="preserve"/>
        </x:is>
      </x:c>
      <x:c r="L181" s="20" t="inlineStr">
        <x:is>
          <x:t xml:space="preserve"/>
        </x:is>
      </x:c>
      <x:c r="M181" s="20" t="inlineStr">
        <x:is>
          <x:t xml:space="preserve"/>
        </x:is>
      </x:c>
      <x:c r="N181" s="20" t="inlineStr">
        <x:is>
          <x:t xml:space="preserve"/>
        </x:is>
      </x:c>
      <x:c r="O181" s="20" t="inlineStr">
        <x:is>
          <x:t xml:space="preserve"/>
        </x:is>
      </x:c>
      <x:c r="P181" s="20" t="inlineStr">
        <x:is>
          <x:t xml:space="preserve"/>
        </x:is>
      </x:c>
      <x:c r="Q181" s="20" t="inlineStr">
        <x:is>
          <x:t xml:space="preserve">https://www.fldoe.org/file/18534/SchoolGrades25.xlsx</x:t>
        </x:is>
      </x:c>
      <x:c r="R181" s="20" t="inlineStr">
        <x:is>
          <x:t xml:space="preserve">School type code 04; Title I=YES; Alternative/ESE=N; coordinates pending NCES/district GIS pull.</x:t>
        </x:is>
      </x:c>
    </x:row>
    <x:row r="182">
      <x:c r="A182" s="20" t="inlineStr">
        <x:is>
          <x:t xml:space="preserve">POLK</x:t>
        </x:is>
      </x:c>
      <x:c r="B182" s="20" t="inlineStr">
        <x:is>
          <x:t xml:space="preserve">POLK</x:t>
        </x:is>
      </x:c>
      <x:c r="C182" s="20" t="inlineStr">
        <x:is>
          <x:t xml:space="preserve">531041</x:t>
        </x:is>
      </x:c>
      <x:c r="D182" s="20" t="inlineStr">
        <x:is>
          <x:t xml:space="preserve"/>
        </x:is>
      </x:c>
      <x:c r="E182" s="20" t="inlineStr">
        <x:is>
          <x:t xml:space="preserve">ALTURAS ELEMENTARY SCHOOL</x:t>
        </x:is>
      </x:c>
      <x:c r="F182" s="20" t="inlineStr">
        <x:is>
          <x:t xml:space="preserve">Elementary</x:t>
        </x:is>
      </x:c>
      <x:c r="G182" s="20" t="inlineStr">
        <x:is>
          <x:t xml:space="preserve">YES</x:t>
        </x:is>
      </x:c>
      <x:c r="H182" s="20" t="inlineStr">
        <x:is>
          <x:t xml:space="preserve">NO</x:t>
        </x:is>
      </x:c>
      <x:c r="I182" s="20" t="inlineStr">
        <x:is>
          <x:t xml:space="preserve"/>
        </x:is>
      </x:c>
      <x:c r="J182" s="20" t="inlineStr">
        <x:is>
          <x:t xml:space="preserve">NO</x:t>
        </x:is>
      </x:c>
      <x:c r="K182" s="20" t="inlineStr">
        <x:is>
          <x:t xml:space="preserve"/>
        </x:is>
      </x:c>
      <x:c r="L182" s="20" t="inlineStr">
        <x:is>
          <x:t xml:space="preserve"/>
        </x:is>
      </x:c>
      <x:c r="M182" s="20" t="inlineStr">
        <x:is>
          <x:t xml:space="preserve"/>
        </x:is>
      </x:c>
      <x:c r="N182" s="20" t="inlineStr">
        <x:is>
          <x:t xml:space="preserve"/>
        </x:is>
      </x:c>
      <x:c r="O182" s="20" t="inlineStr">
        <x:is>
          <x:t xml:space="preserve"/>
        </x:is>
      </x:c>
      <x:c r="P182" s="20" t="inlineStr">
        <x:is>
          <x:t xml:space="preserve"/>
        </x:is>
      </x:c>
      <x:c r="Q182" s="20" t="inlineStr">
        <x:is>
          <x:t xml:space="preserve">https://www.fldoe.org/file/18534/SchoolGrades25.xlsx</x:t>
        </x:is>
      </x:c>
      <x:c r="R182" s="20" t="inlineStr">
        <x:is>
          <x:t xml:space="preserve">School type code 01; Title I=YES; Alternative/ESE=N; coordinates pending NCES/district GIS pull.</x:t>
        </x:is>
      </x:c>
    </x:row>
    <x:row r="183">
      <x:c r="A183" s="20" t="inlineStr">
        <x:is>
          <x:t xml:space="preserve">POLK</x:t>
        </x:is>
      </x:c>
      <x:c r="B183" s="20" t="inlineStr">
        <x:is>
          <x:t xml:space="preserve">POLK</x:t>
        </x:is>
      </x:c>
      <x:c r="C183" s="20" t="inlineStr">
        <x:is>
          <x:t xml:space="preserve">531051</x:t>
        </x:is>
      </x:c>
      <x:c r="D183" s="20" t="inlineStr">
        <x:is>
          <x:t xml:space="preserve"/>
        </x:is>
      </x:c>
      <x:c r="E183" s="20" t="inlineStr">
        <x:is>
          <x:t xml:space="preserve">TENOROC HIGH SCHOOL</x:t>
        </x:is>
      </x:c>
      <x:c r="F183" s="20" t="inlineStr">
        <x:is>
          <x:t xml:space="preserve">Senior High</x:t>
        </x:is>
      </x:c>
      <x:c r="G183" s="20" t="inlineStr">
        <x:is>
          <x:t xml:space="preserve">YES</x:t>
        </x:is>
      </x:c>
      <x:c r="H183" s="20" t="inlineStr">
        <x:is>
          <x:t xml:space="preserve">NO</x:t>
        </x:is>
      </x:c>
      <x:c r="I183" s="20" t="inlineStr">
        <x:is>
          <x:t xml:space="preserve"/>
        </x:is>
      </x:c>
      <x:c r="J183" s="20" t="inlineStr">
        <x:is>
          <x:t xml:space="preserve">NO</x:t>
        </x:is>
      </x:c>
      <x:c r="K183" s="20" t="inlineStr">
        <x:is>
          <x:t xml:space="preserve"/>
        </x:is>
      </x:c>
      <x:c r="L183" s="20" t="inlineStr">
        <x:is>
          <x:t xml:space="preserve"/>
        </x:is>
      </x:c>
      <x:c r="M183" s="20" t="inlineStr">
        <x:is>
          <x:t xml:space="preserve"/>
        </x:is>
      </x:c>
      <x:c r="N183" s="20" t="inlineStr">
        <x:is>
          <x:t xml:space="preserve"/>
        </x:is>
      </x:c>
      <x:c r="O183" s="20" t="inlineStr">
        <x:is>
          <x:t xml:space="preserve"/>
        </x:is>
      </x:c>
      <x:c r="P183" s="20" t="inlineStr">
        <x:is>
          <x:t xml:space="preserve"/>
        </x:is>
      </x:c>
      <x:c r="Q183" s="20" t="inlineStr">
        <x:is>
          <x:t xml:space="preserve">https://www.fldoe.org/file/18534/SchoolGrades25.xlsx</x:t>
        </x:is>
      </x:c>
      <x:c r="R183" s="20" t="inlineStr">
        <x:is>
          <x:t xml:space="preserve">School type code 03; Title I=YES; Alternative/ESE=N; coordinates pending NCES/district GIS pull.</x:t>
        </x:is>
      </x:c>
    </x:row>
    <x:row r="184">
      <x:c r="A184" s="20" t="inlineStr">
        <x:is>
          <x:t xml:space="preserve">POLK</x:t>
        </x:is>
      </x:c>
      <x:c r="B184" s="20" t="inlineStr">
        <x:is>
          <x:t xml:space="preserve">POLK</x:t>
        </x:is>
      </x:c>
      <x:c r="C184" s="20" t="inlineStr">
        <x:is>
          <x:t xml:space="preserve">531061</x:t>
        </x:is>
      </x:c>
      <x:c r="D184" s="20" t="inlineStr">
        <x:is>
          <x:t xml:space="preserve"/>
        </x:is>
      </x:c>
      <x:c r="E184" s="20" t="inlineStr">
        <x:is>
          <x:t xml:space="preserve">HIGHLAND CITY ELEMENTARY SCHOOL</x:t>
        </x:is>
      </x:c>
      <x:c r="F184" s="20" t="inlineStr">
        <x:is>
          <x:t xml:space="preserve">Elementary</x:t>
        </x:is>
      </x:c>
      <x:c r="G184" s="20" t="inlineStr">
        <x:is>
          <x:t xml:space="preserve">YES</x:t>
        </x:is>
      </x:c>
      <x:c r="H184" s="20" t="inlineStr">
        <x:is>
          <x:t xml:space="preserve">NO</x:t>
        </x:is>
      </x:c>
      <x:c r="I184" s="20" t="inlineStr">
        <x:is>
          <x:t xml:space="preserve"/>
        </x:is>
      </x:c>
      <x:c r="J184" s="20" t="inlineStr">
        <x:is>
          <x:t xml:space="preserve">NO</x:t>
        </x:is>
      </x:c>
      <x:c r="K184" s="20" t="inlineStr">
        <x:is>
          <x:t xml:space="preserve"/>
        </x:is>
      </x:c>
      <x:c r="L184" s="20" t="inlineStr">
        <x:is>
          <x:t xml:space="preserve"/>
        </x:is>
      </x:c>
      <x:c r="M184" s="20" t="inlineStr">
        <x:is>
          <x:t xml:space="preserve"/>
        </x:is>
      </x:c>
      <x:c r="N184" s="20" t="inlineStr">
        <x:is>
          <x:t xml:space="preserve"/>
        </x:is>
      </x:c>
      <x:c r="O184" s="20" t="inlineStr">
        <x:is>
          <x:t xml:space="preserve"/>
        </x:is>
      </x:c>
      <x:c r="P184" s="20" t="inlineStr">
        <x:is>
          <x:t xml:space="preserve"/>
        </x:is>
      </x:c>
      <x:c r="Q184" s="20" t="inlineStr">
        <x:is>
          <x:t xml:space="preserve">https://www.fldoe.org/file/18534/SchoolGrades25.xlsx</x:t>
        </x:is>
      </x:c>
      <x:c r="R184" s="20" t="inlineStr">
        <x:is>
          <x:t xml:space="preserve">School type code 01; Title I=YES; Alternative/ESE=N; coordinates pending NCES/district GIS pull.</x:t>
        </x:is>
      </x:c>
    </x:row>
    <x:row r="185">
      <x:c r="A185" s="20" t="inlineStr">
        <x:is>
          <x:t xml:space="preserve">POLK</x:t>
        </x:is>
      </x:c>
      <x:c r="B185" s="20" t="inlineStr">
        <x:is>
          <x:t xml:space="preserve">POLK</x:t>
        </x:is>
      </x:c>
      <x:c r="C185" s="20" t="inlineStr">
        <x:is>
          <x:t xml:space="preserve">531131</x:t>
        </x:is>
      </x:c>
      <x:c r="D185" s="20" t="inlineStr">
        <x:is>
          <x:t xml:space="preserve"/>
        </x:is>
      </x:c>
      <x:c r="E185" s="20" t="inlineStr">
        <x:is>
          <x:t xml:space="preserve">MULBERRY SENIOR HIGH SCHOOL</x:t>
        </x:is>
      </x:c>
      <x:c r="F185" s="20" t="inlineStr">
        <x:is>
          <x:t xml:space="preserve">Senior High</x:t>
        </x:is>
      </x:c>
      <x:c r="G185" s="20" t="inlineStr">
        <x:is>
          <x:t xml:space="preserve">YES</x:t>
        </x:is>
      </x:c>
      <x:c r="H185" s="20" t="inlineStr">
        <x:is>
          <x:t xml:space="preserve">NO</x:t>
        </x:is>
      </x:c>
      <x:c r="I185" s="20" t="inlineStr">
        <x:is>
          <x:t xml:space="preserve"/>
        </x:is>
      </x:c>
      <x:c r="J185" s="20" t="inlineStr">
        <x:is>
          <x:t xml:space="preserve">NO</x:t>
        </x:is>
      </x:c>
      <x:c r="K185" s="20" t="inlineStr">
        <x:is>
          <x:t xml:space="preserve"/>
        </x:is>
      </x:c>
      <x:c r="L185" s="20" t="inlineStr">
        <x:is>
          <x:t xml:space="preserve"/>
        </x:is>
      </x:c>
      <x:c r="M185" s="20" t="inlineStr">
        <x:is>
          <x:t xml:space="preserve"/>
        </x:is>
      </x:c>
      <x:c r="N185" s="20" t="inlineStr">
        <x:is>
          <x:t xml:space="preserve"/>
        </x:is>
      </x:c>
      <x:c r="O185" s="20" t="inlineStr">
        <x:is>
          <x:t xml:space="preserve"/>
        </x:is>
      </x:c>
      <x:c r="P185" s="20" t="inlineStr">
        <x:is>
          <x:t xml:space="preserve"/>
        </x:is>
      </x:c>
      <x:c r="Q185" s="20" t="inlineStr">
        <x:is>
          <x:t xml:space="preserve">https://www.fldoe.org/file/18534/SchoolGrades25.xlsx</x:t>
        </x:is>
      </x:c>
      <x:c r="R185" s="20" t="inlineStr">
        <x:is>
          <x:t xml:space="preserve">School type code 03; Title I=YES; Alternative/ESE=N; coordinates pending NCES/district GIS pull.</x:t>
        </x:is>
      </x:c>
    </x:row>
    <x:row r="186">
      <x:c r="A186" s="20" t="inlineStr">
        <x:is>
          <x:t xml:space="preserve">POLK</x:t>
        </x:is>
      </x:c>
      <x:c r="B186" s="20" t="inlineStr">
        <x:is>
          <x:t xml:space="preserve">POLK</x:t>
        </x:is>
      </x:c>
      <x:c r="C186" s="20" t="inlineStr">
        <x:is>
          <x:t xml:space="preserve">531141</x:t>
        </x:is>
      </x:c>
      <x:c r="D186" s="20" t="inlineStr">
        <x:is>
          <x:t xml:space="preserve"/>
        </x:is>
      </x:c>
      <x:c r="E186" s="20" t="inlineStr">
        <x:is>
          <x:t xml:space="preserve">PURCELL ELEMENTARY SCHOOL</x:t>
        </x:is>
      </x:c>
      <x:c r="F186" s="20" t="inlineStr">
        <x:is>
          <x:t xml:space="preserve">Elementary</x:t>
        </x:is>
      </x:c>
      <x:c r="G186" s="20" t="inlineStr">
        <x:is>
          <x:t xml:space="preserve">YES</x:t>
        </x:is>
      </x:c>
      <x:c r="H186" s="20" t="inlineStr">
        <x:is>
          <x:t xml:space="preserve">NO</x:t>
        </x:is>
      </x:c>
      <x:c r="I186" s="20" t="inlineStr">
        <x:is>
          <x:t xml:space="preserve"/>
        </x:is>
      </x:c>
      <x:c r="J186" s="20" t="inlineStr">
        <x:is>
          <x:t xml:space="preserve">NO</x:t>
        </x:is>
      </x:c>
      <x:c r="K186" s="20" t="inlineStr">
        <x:is>
          <x:t xml:space="preserve"/>
        </x:is>
      </x:c>
      <x:c r="L186" s="20" t="inlineStr">
        <x:is>
          <x:t xml:space="preserve"/>
        </x:is>
      </x:c>
      <x:c r="M186" s="20" t="inlineStr">
        <x:is>
          <x:t xml:space="preserve"/>
        </x:is>
      </x:c>
      <x:c r="N186" s="20" t="inlineStr">
        <x:is>
          <x:t xml:space="preserve"/>
        </x:is>
      </x:c>
      <x:c r="O186" s="20" t="inlineStr">
        <x:is>
          <x:t xml:space="preserve"/>
        </x:is>
      </x:c>
      <x:c r="P186" s="20" t="inlineStr">
        <x:is>
          <x:t xml:space="preserve"/>
        </x:is>
      </x:c>
      <x:c r="Q186" s="20" t="inlineStr">
        <x:is>
          <x:t xml:space="preserve">https://www.fldoe.org/file/18534/SchoolGrades25.xlsx</x:t>
        </x:is>
      </x:c>
      <x:c r="R186" s="20" t="inlineStr">
        <x:is>
          <x:t xml:space="preserve">School type code 01; Title I=YES; Alternative/ESE=N; coordinates pending NCES/district GIS pull.</x:t>
        </x:is>
      </x:c>
    </x:row>
    <x:row r="187">
      <x:c r="A187" s="20" t="inlineStr">
        <x:is>
          <x:t xml:space="preserve">POLK</x:t>
        </x:is>
      </x:c>
      <x:c r="B187" s="20" t="inlineStr">
        <x:is>
          <x:t xml:space="preserve">POLK</x:t>
        </x:is>
      </x:c>
      <x:c r="C187" s="20" t="inlineStr">
        <x:is>
          <x:t xml:space="preserve">531161</x:t>
        </x:is>
      </x:c>
      <x:c r="D187" s="20" t="inlineStr">
        <x:is>
          <x:t xml:space="preserve"/>
        </x:is>
      </x:c>
      <x:c r="E187" s="20" t="inlineStr">
        <x:is>
          <x:t xml:space="preserve">MULBERRY MIDDLE SCHOOL</x:t>
        </x:is>
      </x:c>
      <x:c r="F187" s="20" t="inlineStr">
        <x:is>
          <x:t xml:space="preserve">Middle/Junior</x:t>
        </x:is>
      </x:c>
      <x:c r="G187" s="20" t="inlineStr">
        <x:is>
          <x:t xml:space="preserve">YES</x:t>
        </x:is>
      </x:c>
      <x:c r="H187" s="20" t="inlineStr">
        <x:is>
          <x:t xml:space="preserve">NO</x:t>
        </x:is>
      </x:c>
      <x:c r="I187" s="20" t="inlineStr">
        <x:is>
          <x:t xml:space="preserve"/>
        </x:is>
      </x:c>
      <x:c r="J187" s="20" t="inlineStr">
        <x:is>
          <x:t xml:space="preserve">NO</x:t>
        </x:is>
      </x:c>
      <x:c r="K187" s="20" t="inlineStr">
        <x:is>
          <x:t xml:space="preserve"/>
        </x:is>
      </x:c>
      <x:c r="L187" s="20" t="inlineStr">
        <x:is>
          <x:t xml:space="preserve"/>
        </x:is>
      </x:c>
      <x:c r="M187" s="20" t="inlineStr">
        <x:is>
          <x:t xml:space="preserve"/>
        </x:is>
      </x:c>
      <x:c r="N187" s="20" t="inlineStr">
        <x:is>
          <x:t xml:space="preserve"/>
        </x:is>
      </x:c>
      <x:c r="O187" s="20" t="inlineStr">
        <x:is>
          <x:t xml:space="preserve"/>
        </x:is>
      </x:c>
      <x:c r="P187" s="20" t="inlineStr">
        <x:is>
          <x:t xml:space="preserve"/>
        </x:is>
      </x:c>
      <x:c r="Q187" s="20" t="inlineStr">
        <x:is>
          <x:t xml:space="preserve">https://www.fldoe.org/file/18534/SchoolGrades25.xlsx</x:t>
        </x:is>
      </x:c>
      <x:c r="R187" s="20" t="inlineStr">
        <x:is>
          <x:t xml:space="preserve">School type code 02; Title I=YES; Alternative/ESE=N; coordinates pending NCES/district GIS pull.</x:t>
        </x:is>
      </x:c>
    </x:row>
    <x:row r="188">
      <x:c r="A188" s="20" t="inlineStr">
        <x:is>
          <x:t xml:space="preserve">POLK</x:t>
        </x:is>
      </x:c>
      <x:c r="B188" s="20" t="inlineStr">
        <x:is>
          <x:t xml:space="preserve">POLK</x:t>
        </x:is>
      </x:c>
      <x:c r="C188" s="20" t="inlineStr">
        <x:is>
          <x:t xml:space="preserve">531181</x:t>
        </x:is>
      </x:c>
      <x:c r="D188" s="20" t="inlineStr">
        <x:is>
          <x:t xml:space="preserve"/>
        </x:is>
      </x:c>
      <x:c r="E188" s="20" t="inlineStr">
        <x:is>
          <x:t xml:space="preserve">KATHLEEN SENIOR HIGH SCHOOL</x:t>
        </x:is>
      </x:c>
      <x:c r="F188" s="20" t="inlineStr">
        <x:is>
          <x:t xml:space="preserve">Senior High</x:t>
        </x:is>
      </x:c>
      <x:c r="G188" s="20" t="inlineStr">
        <x:is>
          <x:t xml:space="preserve">YES</x:t>
        </x:is>
      </x:c>
      <x:c r="H188" s="20" t="inlineStr">
        <x:is>
          <x:t xml:space="preserve">NO</x:t>
        </x:is>
      </x:c>
      <x:c r="I188" s="20" t="inlineStr">
        <x:is>
          <x:t xml:space="preserve"/>
        </x:is>
      </x:c>
      <x:c r="J188" s="20" t="inlineStr">
        <x:is>
          <x:t xml:space="preserve">NO</x:t>
        </x:is>
      </x:c>
      <x:c r="K188" s="20" t="inlineStr">
        <x:is>
          <x:t xml:space="preserve"/>
        </x:is>
      </x:c>
      <x:c r="L188" s="20" t="inlineStr">
        <x:is>
          <x:t xml:space="preserve"/>
        </x:is>
      </x:c>
      <x:c r="M188" s="20" t="inlineStr">
        <x:is>
          <x:t xml:space="preserve"/>
        </x:is>
      </x:c>
      <x:c r="N188" s="20" t="inlineStr">
        <x:is>
          <x:t xml:space="preserve"/>
        </x:is>
      </x:c>
      <x:c r="O188" s="20" t="inlineStr">
        <x:is>
          <x:t xml:space="preserve"/>
        </x:is>
      </x:c>
      <x:c r="P188" s="20" t="inlineStr">
        <x:is>
          <x:t xml:space="preserve"/>
        </x:is>
      </x:c>
      <x:c r="Q188" s="20" t="inlineStr">
        <x:is>
          <x:t xml:space="preserve">https://www.fldoe.org/file/18534/SchoolGrades25.xlsx</x:t>
        </x:is>
      </x:c>
      <x:c r="R188" s="20" t="inlineStr">
        <x:is>
          <x:t xml:space="preserve">School type code 03; Title I=YES; Alternative/ESE=N; coordinates pending NCES/district GIS pull.</x:t>
        </x:is>
      </x:c>
    </x:row>
    <x:row r="189">
      <x:c r="A189" s="20" t="inlineStr">
        <x:is>
          <x:t xml:space="preserve">POLK</x:t>
        </x:is>
      </x:c>
      <x:c r="B189" s="20" t="inlineStr">
        <x:is>
          <x:t xml:space="preserve">POLK</x:t>
        </x:is>
      </x:c>
      <x:c r="C189" s="20" t="inlineStr">
        <x:is>
          <x:t xml:space="preserve">531191</x:t>
        </x:is>
      </x:c>
      <x:c r="D189" s="20" t="inlineStr">
        <x:is>
          <x:t xml:space="preserve"/>
        </x:is>
      </x:c>
      <x:c r="E189" s="20" t="inlineStr">
        <x:is>
          <x:t xml:space="preserve">KATHLEEN MIDDLE SCHOOL</x:t>
        </x:is>
      </x:c>
      <x:c r="F189" s="20" t="inlineStr">
        <x:is>
          <x:t xml:space="preserve">Middle/Junior</x:t>
        </x:is>
      </x:c>
      <x:c r="G189" s="20" t="inlineStr">
        <x:is>
          <x:t xml:space="preserve">YES</x:t>
        </x:is>
      </x:c>
      <x:c r="H189" s="20" t="inlineStr">
        <x:is>
          <x:t xml:space="preserve">NO</x:t>
        </x:is>
      </x:c>
      <x:c r="I189" s="20" t="inlineStr">
        <x:is>
          <x:t xml:space="preserve"/>
        </x:is>
      </x:c>
      <x:c r="J189" s="20" t="inlineStr">
        <x:is>
          <x:t xml:space="preserve">NO</x:t>
        </x:is>
      </x:c>
      <x:c r="K189" s="20" t="inlineStr">
        <x:is>
          <x:t xml:space="preserve"/>
        </x:is>
      </x:c>
      <x:c r="L189" s="20" t="inlineStr">
        <x:is>
          <x:t xml:space="preserve"/>
        </x:is>
      </x:c>
      <x:c r="M189" s="20" t="inlineStr">
        <x:is>
          <x:t xml:space="preserve"/>
        </x:is>
      </x:c>
      <x:c r="N189" s="20" t="inlineStr">
        <x:is>
          <x:t xml:space="preserve"/>
        </x:is>
      </x:c>
      <x:c r="O189" s="20" t="inlineStr">
        <x:is>
          <x:t xml:space="preserve"/>
        </x:is>
      </x:c>
      <x:c r="P189" s="20" t="inlineStr">
        <x:is>
          <x:t xml:space="preserve"/>
        </x:is>
      </x:c>
      <x:c r="Q189" s="20" t="inlineStr">
        <x:is>
          <x:t xml:space="preserve">https://www.fldoe.org/file/18534/SchoolGrades25.xlsx</x:t>
        </x:is>
      </x:c>
      <x:c r="R189" s="20" t="inlineStr">
        <x:is>
          <x:t xml:space="preserve">School type code 02; Title I=YES; Alternative/ESE=N; coordinates pending NCES/district GIS pull.</x:t>
        </x:is>
      </x:c>
    </x:row>
    <x:row r="190">
      <x:c r="A190" s="20" t="inlineStr">
        <x:is>
          <x:t xml:space="preserve">POLK</x:t>
        </x:is>
      </x:c>
      <x:c r="B190" s="20" t="inlineStr">
        <x:is>
          <x:t xml:space="preserve">POLK</x:t>
        </x:is>
      </x:c>
      <x:c r="C190" s="20" t="inlineStr">
        <x:is>
          <x:t xml:space="preserve">531221</x:t>
        </x:is>
      </x:c>
      <x:c r="D190" s="20" t="inlineStr">
        <x:is>
          <x:t xml:space="preserve"/>
        </x:is>
      </x:c>
      <x:c r="E190" s="20" t="inlineStr">
        <x:is>
          <x:t xml:space="preserve">KATHLEEN ELEMENTARY SCHOOL</x:t>
        </x:is>
      </x:c>
      <x:c r="F190" s="20" t="inlineStr">
        <x:is>
          <x:t xml:space="preserve">Elementary</x:t>
        </x:is>
      </x:c>
      <x:c r="G190" s="20" t="inlineStr">
        <x:is>
          <x:t xml:space="preserve">YES</x:t>
        </x:is>
      </x:c>
      <x:c r="H190" s="20" t="inlineStr">
        <x:is>
          <x:t xml:space="preserve">NO</x:t>
        </x:is>
      </x:c>
      <x:c r="I190" s="20" t="inlineStr">
        <x:is>
          <x:t xml:space="preserve"/>
        </x:is>
      </x:c>
      <x:c r="J190" s="20" t="inlineStr">
        <x:is>
          <x:t xml:space="preserve">NO</x:t>
        </x:is>
      </x:c>
      <x:c r="K190" s="20" t="inlineStr">
        <x:is>
          <x:t xml:space="preserve"/>
        </x:is>
      </x:c>
      <x:c r="L190" s="20" t="inlineStr">
        <x:is>
          <x:t xml:space="preserve"/>
        </x:is>
      </x:c>
      <x:c r="M190" s="20" t="inlineStr">
        <x:is>
          <x:t xml:space="preserve"/>
        </x:is>
      </x:c>
      <x:c r="N190" s="20" t="inlineStr">
        <x:is>
          <x:t xml:space="preserve"/>
        </x:is>
      </x:c>
      <x:c r="O190" s="20" t="inlineStr">
        <x:is>
          <x:t xml:space="preserve"/>
        </x:is>
      </x:c>
      <x:c r="P190" s="20" t="inlineStr">
        <x:is>
          <x:t xml:space="preserve"/>
        </x:is>
      </x:c>
      <x:c r="Q190" s="20" t="inlineStr">
        <x:is>
          <x:t xml:space="preserve">https://www.fldoe.org/file/18534/SchoolGrades25.xlsx</x:t>
        </x:is>
      </x:c>
      <x:c r="R190" s="20" t="inlineStr">
        <x:is>
          <x:t xml:space="preserve">School type code 01; Title I=YES; Alternative/ESE=N; coordinates pending NCES/district GIS pull.</x:t>
        </x:is>
      </x:c>
    </x:row>
    <x:row r="191">
      <x:c r="A191" s="20" t="inlineStr">
        <x:is>
          <x:t xml:space="preserve">POLK</x:t>
        </x:is>
      </x:c>
      <x:c r="B191" s="20" t="inlineStr">
        <x:is>
          <x:t xml:space="preserve">POLK</x:t>
        </x:is>
      </x:c>
      <x:c r="C191" s="20" t="inlineStr">
        <x:is>
          <x:t xml:space="preserve">531231</x:t>
        </x:is>
      </x:c>
      <x:c r="D191" s="20" t="inlineStr">
        <x:is>
          <x:t xml:space="preserve"/>
        </x:is>
      </x:c>
      <x:c r="E191" s="20" t="inlineStr">
        <x:is>
          <x:t xml:space="preserve">GRIFFIN ELEMENTARY SCHOOL</x:t>
        </x:is>
      </x:c>
      <x:c r="F191" s="20" t="inlineStr">
        <x:is>
          <x:t xml:space="preserve">Elementary</x:t>
        </x:is>
      </x:c>
      <x:c r="G191" s="20" t="inlineStr">
        <x:is>
          <x:t xml:space="preserve">YES</x:t>
        </x:is>
      </x:c>
      <x:c r="H191" s="20" t="inlineStr">
        <x:is>
          <x:t xml:space="preserve">NO</x:t>
        </x:is>
      </x:c>
      <x:c r="I191" s="20" t="inlineStr">
        <x:is>
          <x:t xml:space="preserve"/>
        </x:is>
      </x:c>
      <x:c r="J191" s="20" t="inlineStr">
        <x:is>
          <x:t xml:space="preserve">NO</x:t>
        </x:is>
      </x:c>
      <x:c r="K191" s="20" t="inlineStr">
        <x:is>
          <x:t xml:space="preserve"/>
        </x:is>
      </x:c>
      <x:c r="L191" s="20" t="inlineStr">
        <x:is>
          <x:t xml:space="preserve"/>
        </x:is>
      </x:c>
      <x:c r="M191" s="20" t="inlineStr">
        <x:is>
          <x:t xml:space="preserve"/>
        </x:is>
      </x:c>
      <x:c r="N191" s="20" t="inlineStr">
        <x:is>
          <x:t xml:space="preserve"/>
        </x:is>
      </x:c>
      <x:c r="O191" s="20" t="inlineStr">
        <x:is>
          <x:t xml:space="preserve"/>
        </x:is>
      </x:c>
      <x:c r="P191" s="20" t="inlineStr">
        <x:is>
          <x:t xml:space="preserve"/>
        </x:is>
      </x:c>
      <x:c r="Q191" s="20" t="inlineStr">
        <x:is>
          <x:t xml:space="preserve">https://www.fldoe.org/file/18534/SchoolGrades25.xlsx</x:t>
        </x:is>
      </x:c>
      <x:c r="R191" s="20" t="inlineStr">
        <x:is>
          <x:t xml:space="preserve">School type code 01; Title I=YES; Alternative/ESE=N; coordinates pending NCES/district GIS pull.</x:t>
        </x:is>
      </x:c>
    </x:row>
    <x:row r="192">
      <x:c r="A192" s="20" t="inlineStr">
        <x:is>
          <x:t xml:space="preserve">POLK</x:t>
        </x:is>
      </x:c>
      <x:c r="B192" s="20" t="inlineStr">
        <x:is>
          <x:t xml:space="preserve">POLK</x:t>
        </x:is>
      </x:c>
      <x:c r="C192" s="20" t="inlineStr">
        <x:is>
          <x:t xml:space="preserve">531241</x:t>
        </x:is>
      </x:c>
      <x:c r="D192" s="20" t="inlineStr">
        <x:is>
          <x:t xml:space="preserve"/>
        </x:is>
      </x:c>
      <x:c r="E192" s="20" t="inlineStr">
        <x:is>
          <x:t xml:space="preserve">JESSE KEEN ELEMENTARY SCHOOL</x:t>
        </x:is>
      </x:c>
      <x:c r="F192" s="20" t="inlineStr">
        <x:is>
          <x:t xml:space="preserve">Elementary</x:t>
        </x:is>
      </x:c>
      <x:c r="G192" s="20" t="inlineStr">
        <x:is>
          <x:t xml:space="preserve">YES</x:t>
        </x:is>
      </x:c>
      <x:c r="H192" s="20" t="inlineStr">
        <x:is>
          <x:t xml:space="preserve">NO</x:t>
        </x:is>
      </x:c>
      <x:c r="I192" s="20" t="inlineStr">
        <x:is>
          <x:t xml:space="preserve"/>
        </x:is>
      </x:c>
      <x:c r="J192" s="20" t="inlineStr">
        <x:is>
          <x:t xml:space="preserve">NO</x:t>
        </x:is>
      </x:c>
      <x:c r="K192" s="20" t="inlineStr">
        <x:is>
          <x:t xml:space="preserve"/>
        </x:is>
      </x:c>
      <x:c r="L192" s="20" t="inlineStr">
        <x:is>
          <x:t xml:space="preserve"/>
        </x:is>
      </x:c>
      <x:c r="M192" s="20" t="inlineStr">
        <x:is>
          <x:t xml:space="preserve"/>
        </x:is>
      </x:c>
      <x:c r="N192" s="20" t="inlineStr">
        <x:is>
          <x:t xml:space="preserve"/>
        </x:is>
      </x:c>
      <x:c r="O192" s="20" t="inlineStr">
        <x:is>
          <x:t xml:space="preserve"/>
        </x:is>
      </x:c>
      <x:c r="P192" s="20" t="inlineStr">
        <x:is>
          <x:t xml:space="preserve"/>
        </x:is>
      </x:c>
      <x:c r="Q192" s="20" t="inlineStr">
        <x:is>
          <x:t xml:space="preserve">https://www.fldoe.org/file/18534/SchoolGrades25.xlsx</x:t>
        </x:is>
      </x:c>
      <x:c r="R192" s="20" t="inlineStr">
        <x:is>
          <x:t xml:space="preserve">School type code 01; Title I=YES; Alternative/ESE=N; coordinates pending NCES/district GIS pull.</x:t>
        </x:is>
      </x:c>
    </x:row>
    <x:row r="193">
      <x:c r="A193" s="20" t="inlineStr">
        <x:is>
          <x:t xml:space="preserve">POLK</x:t>
        </x:is>
      </x:c>
      <x:c r="B193" s="20" t="inlineStr">
        <x:is>
          <x:t xml:space="preserve">POLK</x:t>
        </x:is>
      </x:c>
      <x:c r="C193" s="20" t="inlineStr">
        <x:is>
          <x:t xml:space="preserve">531251</x:t>
        </x:is>
      </x:c>
      <x:c r="D193" s="20" t="inlineStr">
        <x:is>
          <x:t xml:space="preserve"/>
        </x:is>
      </x:c>
      <x:c r="E193" s="20" t="inlineStr">
        <x:is>
          <x:t xml:space="preserve">WINSTON ACADEMY OF ENGINEERING</x:t>
        </x:is>
      </x:c>
      <x:c r="F193" s="20" t="inlineStr">
        <x:is>
          <x:t xml:space="preserve">Elementary</x:t>
        </x:is>
      </x:c>
      <x:c r="G193" s="20" t="inlineStr">
        <x:is>
          <x:t xml:space="preserve">YES</x:t>
        </x:is>
      </x:c>
      <x:c r="H193" s="20" t="inlineStr">
        <x:is>
          <x:t xml:space="preserve">NO</x:t>
        </x:is>
      </x:c>
      <x:c r="I193" s="20" t="inlineStr">
        <x:is>
          <x:t xml:space="preserve"/>
        </x:is>
      </x:c>
      <x:c r="J193" s="20" t="inlineStr">
        <x:is>
          <x:t xml:space="preserve">NO</x:t>
        </x:is>
      </x:c>
      <x:c r="K193" s="20" t="inlineStr">
        <x:is>
          <x:t xml:space="preserve"/>
        </x:is>
      </x:c>
      <x:c r="L193" s="20" t="inlineStr">
        <x:is>
          <x:t xml:space="preserve"/>
        </x:is>
      </x:c>
      <x:c r="M193" s="20" t="inlineStr">
        <x:is>
          <x:t xml:space="preserve"/>
        </x:is>
      </x:c>
      <x:c r="N193" s="20" t="inlineStr">
        <x:is>
          <x:t xml:space="preserve"/>
        </x:is>
      </x:c>
      <x:c r="O193" s="20" t="inlineStr">
        <x:is>
          <x:t xml:space="preserve"/>
        </x:is>
      </x:c>
      <x:c r="P193" s="20" t="inlineStr">
        <x:is>
          <x:t xml:space="preserve"/>
        </x:is>
      </x:c>
      <x:c r="Q193" s="20" t="inlineStr">
        <x:is>
          <x:t xml:space="preserve">https://www.fldoe.org/file/18534/SchoolGrades25.xlsx</x:t>
        </x:is>
      </x:c>
      <x:c r="R193" s="20" t="inlineStr">
        <x:is>
          <x:t xml:space="preserve">School type code 01; Title I=YES; Alternative/ESE=N; coordinates pending NCES/district GIS pull.</x:t>
        </x:is>
      </x:c>
    </x:row>
    <x:row r="194">
      <x:c r="A194" s="20" t="inlineStr">
        <x:is>
          <x:t xml:space="preserve">POLK</x:t>
        </x:is>
      </x:c>
      <x:c r="B194" s="20" t="inlineStr">
        <x:is>
          <x:t xml:space="preserve">POLK</x:t>
        </x:is>
      </x:c>
      <x:c r="C194" s="20" t="inlineStr">
        <x:is>
          <x:t xml:space="preserve">531271</x:t>
        </x:is>
      </x:c>
      <x:c r="D194" s="20" t="inlineStr">
        <x:is>
          <x:t xml:space="preserve"/>
        </x:is>
      </x:c>
      <x:c r="E194" s="20" t="inlineStr">
        <x:is>
          <x:t xml:space="preserve">SLEEPY HILL ELEMENTARY SCHOOL</x:t>
        </x:is>
      </x:c>
      <x:c r="F194" s="20" t="inlineStr">
        <x:is>
          <x:t xml:space="preserve">Elementary</x:t>
        </x:is>
      </x:c>
      <x:c r="G194" s="20" t="inlineStr">
        <x:is>
          <x:t xml:space="preserve">YES</x:t>
        </x:is>
      </x:c>
      <x:c r="H194" s="20" t="inlineStr">
        <x:is>
          <x:t xml:space="preserve">NO</x:t>
        </x:is>
      </x:c>
      <x:c r="I194" s="20" t="inlineStr">
        <x:is>
          <x:t xml:space="preserve"/>
        </x:is>
      </x:c>
      <x:c r="J194" s="20" t="inlineStr">
        <x:is>
          <x:t xml:space="preserve">NO</x:t>
        </x:is>
      </x:c>
      <x:c r="K194" s="20" t="inlineStr">
        <x:is>
          <x:t xml:space="preserve"/>
        </x:is>
      </x:c>
      <x:c r="L194" s="20" t="inlineStr">
        <x:is>
          <x:t xml:space="preserve"/>
        </x:is>
      </x:c>
      <x:c r="M194" s="20" t="inlineStr">
        <x:is>
          <x:t xml:space="preserve"/>
        </x:is>
      </x:c>
      <x:c r="N194" s="20" t="inlineStr">
        <x:is>
          <x:t xml:space="preserve"/>
        </x:is>
      </x:c>
      <x:c r="O194" s="20" t="inlineStr">
        <x:is>
          <x:t xml:space="preserve"/>
        </x:is>
      </x:c>
      <x:c r="P194" s="20" t="inlineStr">
        <x:is>
          <x:t xml:space="preserve"/>
        </x:is>
      </x:c>
      <x:c r="Q194" s="20" t="inlineStr">
        <x:is>
          <x:t xml:space="preserve">https://www.fldoe.org/file/18534/SchoolGrades25.xlsx</x:t>
        </x:is>
      </x:c>
      <x:c r="R194" s="20" t="inlineStr">
        <x:is>
          <x:t xml:space="preserve">School type code 01; Title I=YES; Alternative/ESE=N; coordinates pending NCES/district GIS pull.</x:t>
        </x:is>
      </x:c>
    </x:row>
    <x:row r="195">
      <x:c r="A195" s="20" t="inlineStr">
        <x:is>
          <x:t xml:space="preserve">POLK</x:t>
        </x:is>
      </x:c>
      <x:c r="B195" s="20" t="inlineStr">
        <x:is>
          <x:t xml:space="preserve">POLK</x:t>
        </x:is>
      </x:c>
      <x:c r="C195" s="20" t="inlineStr">
        <x:is>
          <x:t xml:space="preserve">531281</x:t>
        </x:is>
      </x:c>
      <x:c r="D195" s="20" t="inlineStr">
        <x:is>
          <x:t xml:space="preserve"/>
        </x:is>
      </x:c>
      <x:c r="E195" s="20" t="inlineStr">
        <x:is>
          <x:t xml:space="preserve">HIGHLANDS GROVE ELEMENTARY SCHOOL</x:t>
        </x:is>
      </x:c>
      <x:c r="F195" s="20" t="inlineStr">
        <x:is>
          <x:t xml:space="preserve">Elementary</x:t>
        </x:is>
      </x:c>
      <x:c r="G195" s="20" t="inlineStr">
        <x:is>
          <x:t xml:space="preserve">YES</x:t>
        </x:is>
      </x:c>
      <x:c r="H195" s="20" t="inlineStr">
        <x:is>
          <x:t xml:space="preserve">NO</x:t>
        </x:is>
      </x:c>
      <x:c r="I195" s="20" t="inlineStr">
        <x:is>
          <x:t xml:space="preserve"/>
        </x:is>
      </x:c>
      <x:c r="J195" s="20" t="inlineStr">
        <x:is>
          <x:t xml:space="preserve">NO</x:t>
        </x:is>
      </x:c>
      <x:c r="K195" s="20" t="inlineStr">
        <x:is>
          <x:t xml:space="preserve"/>
        </x:is>
      </x:c>
      <x:c r="L195" s="20" t="inlineStr">
        <x:is>
          <x:t xml:space="preserve"/>
        </x:is>
      </x:c>
      <x:c r="M195" s="20" t="inlineStr">
        <x:is>
          <x:t xml:space="preserve"/>
        </x:is>
      </x:c>
      <x:c r="N195" s="20" t="inlineStr">
        <x:is>
          <x:t xml:space="preserve"/>
        </x:is>
      </x:c>
      <x:c r="O195" s="20" t="inlineStr">
        <x:is>
          <x:t xml:space="preserve"/>
        </x:is>
      </x:c>
      <x:c r="P195" s="20" t="inlineStr">
        <x:is>
          <x:t xml:space="preserve"/>
        </x:is>
      </x:c>
      <x:c r="Q195" s="20" t="inlineStr">
        <x:is>
          <x:t xml:space="preserve">https://www.fldoe.org/file/18534/SchoolGrades25.xlsx</x:t>
        </x:is>
      </x:c>
      <x:c r="R195" s="20" t="inlineStr">
        <x:is>
          <x:t xml:space="preserve">School type code 01; Title I=YES; Alternative/ESE=N; coordinates pending NCES/district GIS pull.</x:t>
        </x:is>
      </x:c>
    </x:row>
    <x:row r="196">
      <x:c r="A196" s="20" t="inlineStr">
        <x:is>
          <x:t xml:space="preserve">POLK</x:t>
        </x:is>
      </x:c>
      <x:c r="B196" s="20" t="inlineStr">
        <x:is>
          <x:t xml:space="preserve">POLK</x:t>
        </x:is>
      </x:c>
      <x:c r="C196" s="20" t="inlineStr">
        <x:is>
          <x:t xml:space="preserve">531341</x:t>
        </x:is>
      </x:c>
      <x:c r="D196" s="20" t="inlineStr">
        <x:is>
          <x:t xml:space="preserve"/>
        </x:is>
      </x:c>
      <x:c r="E196" s="20" t="inlineStr">
        <x:is>
          <x:t xml:space="preserve">MCLAUGHLIN ACADEMY OF EXCELLENCE</x:t>
        </x:is>
      </x:c>
      <x:c r="F196" s="20" t="inlineStr">
        <x:is>
          <x:t xml:space="preserve">Combination</x:t>
        </x:is>
      </x:c>
      <x:c r="G196" s="20" t="inlineStr">
        <x:is>
          <x:t xml:space="preserve">YES</x:t>
        </x:is>
      </x:c>
      <x:c r="H196" s="20" t="inlineStr">
        <x:is>
          <x:t xml:space="preserve">NO</x:t>
        </x:is>
      </x:c>
      <x:c r="I196" s="20" t="inlineStr">
        <x:is>
          <x:t xml:space="preserve"/>
        </x:is>
      </x:c>
      <x:c r="J196" s="20" t="inlineStr">
        <x:is>
          <x:t xml:space="preserve">NO</x:t>
        </x:is>
      </x:c>
      <x:c r="K196" s="20" t="inlineStr">
        <x:is>
          <x:t xml:space="preserve"/>
        </x:is>
      </x:c>
      <x:c r="L196" s="20" t="inlineStr">
        <x:is>
          <x:t xml:space="preserve"/>
        </x:is>
      </x:c>
      <x:c r="M196" s="20" t="inlineStr">
        <x:is>
          <x:t xml:space="preserve"/>
        </x:is>
      </x:c>
      <x:c r="N196" s="20" t="inlineStr">
        <x:is>
          <x:t xml:space="preserve"/>
        </x:is>
      </x:c>
      <x:c r="O196" s="20" t="inlineStr">
        <x:is>
          <x:t xml:space="preserve"/>
        </x:is>
      </x:c>
      <x:c r="P196" s="20" t="inlineStr">
        <x:is>
          <x:t xml:space="preserve"/>
        </x:is>
      </x:c>
      <x:c r="Q196" s="20" t="inlineStr">
        <x:is>
          <x:t xml:space="preserve">https://www.fldoe.org/file/18534/SchoolGrades25.xlsx</x:t>
        </x:is>
      </x:c>
      <x:c r="R196" s="20" t="inlineStr">
        <x:is>
          <x:t xml:space="preserve">School type code 04; Title I=YES; Alternative/ESE=N; coordinates pending NCES/district GIS pull.</x:t>
        </x:is>
      </x:c>
    </x:row>
    <x:row r="197">
      <x:c r="A197" s="20" t="inlineStr">
        <x:is>
          <x:t xml:space="preserve">POLK</x:t>
        </x:is>
      </x:c>
      <x:c r="B197" s="20" t="inlineStr">
        <x:is>
          <x:t xml:space="preserve">POLK</x:t>
        </x:is>
      </x:c>
      <x:c r="C197" s="20" t="inlineStr">
        <x:is>
          <x:t xml:space="preserve">531351</x:t>
        </x:is>
      </x:c>
      <x:c r="D197" s="20" t="inlineStr">
        <x:is>
          <x:t xml:space="preserve"/>
        </x:is>
      </x:c>
      <x:c r="E197" s="20" t="inlineStr">
        <x:is>
          <x:t xml:space="preserve">POLK AVENUE ELEMENTARY SCHOOL</x:t>
        </x:is>
      </x:c>
      <x:c r="F197" s="20" t="inlineStr">
        <x:is>
          <x:t xml:space="preserve">Elementary</x:t>
        </x:is>
      </x:c>
      <x:c r="G197" s="20" t="inlineStr">
        <x:is>
          <x:t xml:space="preserve">NO</x:t>
        </x:is>
      </x:c>
      <x:c r="H197" s="20" t="inlineStr">
        <x:is>
          <x:t xml:space="preserve">YES</x:t>
        </x:is>
      </x:c>
      <x:c r="I197" s="20" t="inlineStr">
        <x:is>
          <x:t xml:space="preserve"/>
        </x:is>
      </x:c>
      <x:c r="J197" s="20" t="inlineStr">
        <x:is>
          <x:t xml:space="preserve">NO</x:t>
        </x:is>
      </x:c>
      <x:c r="K197" s="20" t="inlineStr">
        <x:is>
          <x:t xml:space="preserve"/>
        </x:is>
      </x:c>
      <x:c r="L197" s="20" t="inlineStr">
        <x:is>
          <x:t xml:space="preserve"/>
        </x:is>
      </x:c>
      <x:c r="M197" s="20" t="inlineStr">
        <x:is>
          <x:t xml:space="preserve"/>
        </x:is>
      </x:c>
      <x:c r="N197" s="20" t="inlineStr">
        <x:is>
          <x:t xml:space="preserve"/>
        </x:is>
      </x:c>
      <x:c r="O197" s="20" t="inlineStr">
        <x:is>
          <x:t xml:space="preserve"/>
        </x:is>
      </x:c>
      <x:c r="P197" s="20" t="inlineStr">
        <x:is>
          <x:t xml:space="preserve"/>
        </x:is>
      </x:c>
      <x:c r="Q197" s="20" t="inlineStr">
        <x:is>
          <x:t xml:space="preserve">https://www.fldoe.org/file/18534/SchoolGrades25.xlsx</x:t>
        </x:is>
      </x:c>
      <x:c r="R197" s="20" t="inlineStr">
        <x:is>
          <x:t xml:space="preserve">School type code 01; Title I=YES; Alternative/ESE=N; coordinates pending NCES/district GIS pull.</x:t>
        </x:is>
      </x:c>
    </x:row>
    <x:row r="198">
      <x:c r="A198" s="20" t="inlineStr">
        <x:is>
          <x:t xml:space="preserve">POLK</x:t>
        </x:is>
      </x:c>
      <x:c r="B198" s="20" t="inlineStr">
        <x:is>
          <x:t xml:space="preserve">POLK</x:t>
        </x:is>
      </x:c>
      <x:c r="C198" s="20" t="inlineStr">
        <x:is>
          <x:t xml:space="preserve">531361</x:t>
        </x:is>
      </x:c>
      <x:c r="D198" s="20" t="inlineStr">
        <x:is>
          <x:t xml:space="preserve"/>
        </x:is>
      </x:c>
      <x:c r="E198" s="20" t="inlineStr">
        <x:is>
          <x:t xml:space="preserve">HILLCREST ELEMENTARY SCHOOL</x:t>
        </x:is>
      </x:c>
      <x:c r="F198" s="20" t="inlineStr">
        <x:is>
          <x:t xml:space="preserve">Elementary</x:t>
        </x:is>
      </x:c>
      <x:c r="G198" s="20" t="inlineStr">
        <x:is>
          <x:t xml:space="preserve">NO</x:t>
        </x:is>
      </x:c>
      <x:c r="H198" s="20" t="inlineStr">
        <x:is>
          <x:t xml:space="preserve">YES</x:t>
        </x:is>
      </x:c>
      <x:c r="I198" s="20" t="inlineStr">
        <x:is>
          <x:t xml:space="preserve"/>
        </x:is>
      </x:c>
      <x:c r="J198" s="20" t="inlineStr">
        <x:is>
          <x:t xml:space="preserve">NO</x:t>
        </x:is>
      </x:c>
      <x:c r="K198" s="20" t="inlineStr">
        <x:is>
          <x:t xml:space="preserve"/>
        </x:is>
      </x:c>
      <x:c r="L198" s="20" t="inlineStr">
        <x:is>
          <x:t xml:space="preserve"/>
        </x:is>
      </x:c>
      <x:c r="M198" s="20" t="inlineStr">
        <x:is>
          <x:t xml:space="preserve"/>
        </x:is>
      </x:c>
      <x:c r="N198" s="20" t="inlineStr">
        <x:is>
          <x:t xml:space="preserve"/>
        </x:is>
      </x:c>
      <x:c r="O198" s="20" t="inlineStr">
        <x:is>
          <x:t xml:space="preserve"/>
        </x:is>
      </x:c>
      <x:c r="P198" s="20" t="inlineStr">
        <x:is>
          <x:t xml:space="preserve"/>
        </x:is>
      </x:c>
      <x:c r="Q198" s="20" t="inlineStr">
        <x:is>
          <x:t xml:space="preserve">https://www.fldoe.org/file/18534/SchoolGrades25.xlsx</x:t>
        </x:is>
      </x:c>
      <x:c r="R198" s="20" t="inlineStr">
        <x:is>
          <x:t xml:space="preserve">School type code 01; Title I=YES; Alternative/ESE=N; coordinates pending NCES/district GIS pull.</x:t>
        </x:is>
      </x:c>
    </x:row>
    <x:row r="199">
      <x:c r="A199" s="20" t="inlineStr">
        <x:is>
          <x:t xml:space="preserve">POLK</x:t>
        </x:is>
      </x:c>
      <x:c r="B199" s="20" t="inlineStr">
        <x:is>
          <x:t xml:space="preserve">POLK</x:t>
        </x:is>
      </x:c>
      <x:c r="C199" s="20" t="inlineStr">
        <x:is>
          <x:t xml:space="preserve">531362</x:t>
        </x:is>
      </x:c>
      <x:c r="D199" s="20" t="inlineStr">
        <x:is>
          <x:t xml:space="preserve"/>
        </x:is>
      </x:c>
      <x:c r="E199" s="20" t="inlineStr">
        <x:is>
          <x:t xml:space="preserve">HORIZONS ELEMENTARY SCHOOL</x:t>
        </x:is>
      </x:c>
      <x:c r="F199" s="20" t="inlineStr">
        <x:is>
          <x:t xml:space="preserve">Elementary</x:t>
        </x:is>
      </x:c>
      <x:c r="G199" s="20" t="inlineStr">
        <x:is>
          <x:t xml:space="preserve">YES</x:t>
        </x:is>
      </x:c>
      <x:c r="H199" s="20" t="inlineStr">
        <x:is>
          <x:t xml:space="preserve">NO</x:t>
        </x:is>
      </x:c>
      <x:c r="I199" s="20" t="inlineStr">
        <x:is>
          <x:t xml:space="preserve"/>
        </x:is>
      </x:c>
      <x:c r="J199" s="20" t="inlineStr">
        <x:is>
          <x:t xml:space="preserve">NO</x:t>
        </x:is>
      </x:c>
      <x:c r="K199" s="20" t="inlineStr">
        <x:is>
          <x:t xml:space="preserve"/>
        </x:is>
      </x:c>
      <x:c r="L199" s="20" t="inlineStr">
        <x:is>
          <x:t xml:space="preserve"/>
        </x:is>
      </x:c>
      <x:c r="M199" s="20" t="inlineStr">
        <x:is>
          <x:t xml:space="preserve"/>
        </x:is>
      </x:c>
      <x:c r="N199" s="20" t="inlineStr">
        <x:is>
          <x:t xml:space="preserve"/>
        </x:is>
      </x:c>
      <x:c r="O199" s="20" t="inlineStr">
        <x:is>
          <x:t xml:space="preserve"/>
        </x:is>
      </x:c>
      <x:c r="P199" s="20" t="inlineStr">
        <x:is>
          <x:t xml:space="preserve"/>
        </x:is>
      </x:c>
      <x:c r="Q199" s="20" t="inlineStr">
        <x:is>
          <x:t xml:space="preserve">https://www.fldoe.org/file/18534/SchoolGrades25.xlsx</x:t>
        </x:is>
      </x:c>
      <x:c r="R199" s="20" t="inlineStr">
        <x:is>
          <x:t xml:space="preserve">School type code 01; Title I=YES; Alternative/ESE=N; coordinates pending NCES/district GIS pull.</x:t>
        </x:is>
      </x:c>
    </x:row>
    <x:row r="200">
      <x:c r="A200" s="20" t="inlineStr">
        <x:is>
          <x:t xml:space="preserve">POLK</x:t>
        </x:is>
      </x:c>
      <x:c r="B200" s="20" t="inlineStr">
        <x:is>
          <x:t xml:space="preserve">POLK</x:t>
        </x:is>
      </x:c>
      <x:c r="C200" s="20" t="inlineStr">
        <x:is>
          <x:t xml:space="preserve">531371</x:t>
        </x:is>
      </x:c>
      <x:c r="D200" s="20" t="inlineStr">
        <x:is>
          <x:t xml:space="preserve"/>
        </x:is>
      </x:c>
      <x:c r="E200" s="20" t="inlineStr">
        <x:is>
          <x:t xml:space="preserve">SPOOK HILL ELEMENTARY SCHOOL</x:t>
        </x:is>
      </x:c>
      <x:c r="F200" s="20" t="inlineStr">
        <x:is>
          <x:t xml:space="preserve">Elementary</x:t>
        </x:is>
      </x:c>
      <x:c r="G200" s="20" t="inlineStr">
        <x:is>
          <x:t xml:space="preserve">YES</x:t>
        </x:is>
      </x:c>
      <x:c r="H200" s="20" t="inlineStr">
        <x:is>
          <x:t xml:space="preserve">NO</x:t>
        </x:is>
      </x:c>
      <x:c r="I200" s="20" t="inlineStr">
        <x:is>
          <x:t xml:space="preserve"/>
        </x:is>
      </x:c>
      <x:c r="J200" s="20" t="inlineStr">
        <x:is>
          <x:t xml:space="preserve">NO</x:t>
        </x:is>
      </x:c>
      <x:c r="K200" s="20" t="inlineStr">
        <x:is>
          <x:t xml:space="preserve"/>
        </x:is>
      </x:c>
      <x:c r="L200" s="20" t="inlineStr">
        <x:is>
          <x:t xml:space="preserve"/>
        </x:is>
      </x:c>
      <x:c r="M200" s="20" t="inlineStr">
        <x:is>
          <x:t xml:space="preserve"/>
        </x:is>
      </x:c>
      <x:c r="N200" s="20" t="inlineStr">
        <x:is>
          <x:t xml:space="preserve"/>
        </x:is>
      </x:c>
      <x:c r="O200" s="20" t="inlineStr">
        <x:is>
          <x:t xml:space="preserve"/>
        </x:is>
      </x:c>
      <x:c r="P200" s="20" t="inlineStr">
        <x:is>
          <x:t xml:space="preserve"/>
        </x:is>
      </x:c>
      <x:c r="Q200" s="20" t="inlineStr">
        <x:is>
          <x:t xml:space="preserve">https://www.fldoe.org/file/18534/SchoolGrades25.xlsx</x:t>
        </x:is>
      </x:c>
      <x:c r="R200" s="20" t="inlineStr">
        <x:is>
          <x:t xml:space="preserve">School type code 01; Title I=YES; Alternative/ESE=N; coordinates pending NCES/district GIS pull.</x:t>
        </x:is>
      </x:c>
    </x:row>
    <x:row r="201">
      <x:c r="A201" s="20" t="inlineStr">
        <x:is>
          <x:t xml:space="preserve">POLK</x:t>
        </x:is>
      </x:c>
      <x:c r="B201" s="20" t="inlineStr">
        <x:is>
          <x:t xml:space="preserve">POLK</x:t>
        </x:is>
      </x:c>
      <x:c r="C201" s="20" t="inlineStr">
        <x:is>
          <x:t xml:space="preserve">531401</x:t>
        </x:is>
      </x:c>
      <x:c r="D201" s="20" t="inlineStr">
        <x:is>
          <x:t xml:space="preserve"/>
        </x:is>
      </x:c>
      <x:c r="E201" s="20" t="inlineStr">
        <x:is>
          <x:t xml:space="preserve">JANIE HOWARD WILSON SCHOOL</x:t>
        </x:is>
      </x:c>
      <x:c r="F201" s="20" t="inlineStr">
        <x:is>
          <x:t xml:space="preserve">Elementary</x:t>
        </x:is>
      </x:c>
      <x:c r="G201" s="20" t="inlineStr">
        <x:is>
          <x:t xml:space="preserve">NO</x:t>
        </x:is>
      </x:c>
      <x:c r="H201" s="20" t="inlineStr">
        <x:is>
          <x:t xml:space="preserve">YES</x:t>
        </x:is>
      </x:c>
      <x:c r="I201" s="20" t="inlineStr">
        <x:is>
          <x:t xml:space="preserve"/>
        </x:is>
      </x:c>
      <x:c r="J201" s="20" t="inlineStr">
        <x:is>
          <x:t xml:space="preserve">NO</x:t>
        </x:is>
      </x:c>
      <x:c r="K201" s="20" t="inlineStr">
        <x:is>
          <x:t xml:space="preserve"/>
        </x:is>
      </x:c>
      <x:c r="L201" s="20" t="inlineStr">
        <x:is>
          <x:t xml:space="preserve"/>
        </x:is>
      </x:c>
      <x:c r="M201" s="20" t="inlineStr">
        <x:is>
          <x:t xml:space="preserve"/>
        </x:is>
      </x:c>
      <x:c r="N201" s="20" t="inlineStr">
        <x:is>
          <x:t xml:space="preserve"/>
        </x:is>
      </x:c>
      <x:c r="O201" s="20" t="inlineStr">
        <x:is>
          <x:t xml:space="preserve"/>
        </x:is>
      </x:c>
      <x:c r="P201" s="20" t="inlineStr">
        <x:is>
          <x:t xml:space="preserve"/>
        </x:is>
      </x:c>
      <x:c r="Q201" s="20" t="inlineStr">
        <x:is>
          <x:t xml:space="preserve">https://www.fldoe.org/file/18534/SchoolGrades25.xlsx</x:t>
        </x:is>
      </x:c>
      <x:c r="R201" s="20" t="inlineStr">
        <x:is>
          <x:t xml:space="preserve">School type code 01; Title I=YES; Alternative/ESE=N; coordinates pending NCES/district GIS pull.</x:t>
        </x:is>
      </x:c>
    </x:row>
    <x:row r="202">
      <x:c r="A202" s="20" t="inlineStr">
        <x:is>
          <x:t xml:space="preserve">POLK</x:t>
        </x:is>
      </x:c>
      <x:c r="B202" s="20" t="inlineStr">
        <x:is>
          <x:t xml:space="preserve">POLK</x:t>
        </x:is>
      </x:c>
      <x:c r="C202" s="20" t="inlineStr">
        <x:is>
          <x:t xml:space="preserve">531421</x:t>
        </x:is>
      </x:c>
      <x:c r="D202" s="20" t="inlineStr">
        <x:is>
          <x:t xml:space="preserve"/>
        </x:is>
      </x:c>
      <x:c r="E202" s="20" t="inlineStr">
        <x:is>
          <x:t xml:space="preserve">DALE R FAIR BABSON PARK ELEMENTARY</x:t>
        </x:is>
      </x:c>
      <x:c r="F202" s="20" t="inlineStr">
        <x:is>
          <x:t xml:space="preserve">Elementary</x:t>
        </x:is>
      </x:c>
      <x:c r="G202" s="20" t="inlineStr">
        <x:is>
          <x:t xml:space="preserve">NO</x:t>
        </x:is>
      </x:c>
      <x:c r="H202" s="20" t="inlineStr">
        <x:is>
          <x:t xml:space="preserve">YES</x:t>
        </x:is>
      </x:c>
      <x:c r="I202" s="20" t="inlineStr">
        <x:is>
          <x:t xml:space="preserve"/>
        </x:is>
      </x:c>
      <x:c r="J202" s="20" t="inlineStr">
        <x:is>
          <x:t xml:space="preserve">NO</x:t>
        </x:is>
      </x:c>
      <x:c r="K202" s="20" t="inlineStr">
        <x:is>
          <x:t xml:space="preserve"/>
        </x:is>
      </x:c>
      <x:c r="L202" s="20" t="inlineStr">
        <x:is>
          <x:t xml:space="preserve"/>
        </x:is>
      </x:c>
      <x:c r="M202" s="20" t="inlineStr">
        <x:is>
          <x:t xml:space="preserve"/>
        </x:is>
      </x:c>
      <x:c r="N202" s="20" t="inlineStr">
        <x:is>
          <x:t xml:space="preserve"/>
        </x:is>
      </x:c>
      <x:c r="O202" s="20" t="inlineStr">
        <x:is>
          <x:t xml:space="preserve"/>
        </x:is>
      </x:c>
      <x:c r="P202" s="20" t="inlineStr">
        <x:is>
          <x:t xml:space="preserve"/>
        </x:is>
      </x:c>
      <x:c r="Q202" s="20" t="inlineStr">
        <x:is>
          <x:t xml:space="preserve">https://www.fldoe.org/file/18534/SchoolGrades25.xlsx</x:t>
        </x:is>
      </x:c>
      <x:c r="R202" s="20" t="inlineStr">
        <x:is>
          <x:t xml:space="preserve">School type code 01; Title I=YES; Alternative/ESE=N; coordinates pending NCES/district GIS pull.</x:t>
        </x:is>
      </x:c>
    </x:row>
    <x:row r="203">
      <x:c r="A203" s="20" t="inlineStr">
        <x:is>
          <x:t xml:space="preserve">POLK</x:t>
        </x:is>
      </x:c>
      <x:c r="B203" s="20" t="inlineStr">
        <x:is>
          <x:t xml:space="preserve">POLK</x:t>
        </x:is>
      </x:c>
      <x:c r="C203" s="20" t="inlineStr">
        <x:is>
          <x:t xml:space="preserve">531441</x:t>
        </x:is>
      </x:c>
      <x:c r="D203" s="20" t="inlineStr">
        <x:is>
          <x:t xml:space="preserve"/>
        </x:is>
      </x:c>
      <x:c r="E203" s="20" t="inlineStr">
        <x:is>
          <x:t xml:space="preserve">WILLOW OAK SCHOOL</x:t>
        </x:is>
      </x:c>
      <x:c r="F203" s="20" t="inlineStr">
        <x:is>
          <x:t xml:space="preserve">Elementary</x:t>
        </x:is>
      </x:c>
      <x:c r="G203" s="20" t="inlineStr">
        <x:is>
          <x:t xml:space="preserve">YES</x:t>
        </x:is>
      </x:c>
      <x:c r="H203" s="20" t="inlineStr">
        <x:is>
          <x:t xml:space="preserve">NO</x:t>
        </x:is>
      </x:c>
      <x:c r="I203" s="20" t="inlineStr">
        <x:is>
          <x:t xml:space="preserve"/>
        </x:is>
      </x:c>
      <x:c r="J203" s="20" t="inlineStr">
        <x:is>
          <x:t xml:space="preserve">NO</x:t>
        </x:is>
      </x:c>
      <x:c r="K203" s="20" t="inlineStr">
        <x:is>
          <x:t xml:space="preserve"/>
        </x:is>
      </x:c>
      <x:c r="L203" s="20" t="inlineStr">
        <x:is>
          <x:t xml:space="preserve"/>
        </x:is>
      </x:c>
      <x:c r="M203" s="20" t="inlineStr">
        <x:is>
          <x:t xml:space="preserve"/>
        </x:is>
      </x:c>
      <x:c r="N203" s="20" t="inlineStr">
        <x:is>
          <x:t xml:space="preserve"/>
        </x:is>
      </x:c>
      <x:c r="O203" s="20" t="inlineStr">
        <x:is>
          <x:t xml:space="preserve"/>
        </x:is>
      </x:c>
      <x:c r="P203" s="20" t="inlineStr">
        <x:is>
          <x:t xml:space="preserve"/>
        </x:is>
      </x:c>
      <x:c r="Q203" s="20" t="inlineStr">
        <x:is>
          <x:t xml:space="preserve">https://www.fldoe.org/file/18534/SchoolGrades25.xlsx</x:t>
        </x:is>
      </x:c>
      <x:c r="R203" s="20" t="inlineStr">
        <x:is>
          <x:t xml:space="preserve">School type code 01; Title I=YES; Alternative/ESE=N; coordinates pending NCES/district GIS pull.</x:t>
        </x:is>
      </x:c>
    </x:row>
    <x:row r="204">
      <x:c r="A204" s="20" t="inlineStr">
        <x:is>
          <x:t xml:space="preserve">POLK</x:t>
        </x:is>
      </x:c>
      <x:c r="B204" s="20" t="inlineStr">
        <x:is>
          <x:t xml:space="preserve">POLK</x:t>
        </x:is>
      </x:c>
      <x:c r="C204" s="20" t="inlineStr">
        <x:is>
          <x:t xml:space="preserve">531451</x:t>
        </x:is>
      </x:c>
      <x:c r="D204" s="20" t="inlineStr">
        <x:is>
          <x:t xml:space="preserve"/>
        </x:is>
      </x:c>
      <x:c r="E204" s="20" t="inlineStr">
        <x:is>
          <x:t xml:space="preserve">EDGAR L. PADGETT ELEMENTARY</x:t>
        </x:is>
      </x:c>
      <x:c r="F204" s="20" t="inlineStr">
        <x:is>
          <x:t xml:space="preserve">Elementary</x:t>
        </x:is>
      </x:c>
      <x:c r="G204" s="20" t="inlineStr">
        <x:is>
          <x:t xml:space="preserve">YES</x:t>
        </x:is>
      </x:c>
      <x:c r="H204" s="20" t="inlineStr">
        <x:is>
          <x:t xml:space="preserve">NO</x:t>
        </x:is>
      </x:c>
      <x:c r="I204" s="20" t="inlineStr">
        <x:is>
          <x:t xml:space="preserve"/>
        </x:is>
      </x:c>
      <x:c r="J204" s="20" t="inlineStr">
        <x:is>
          <x:t xml:space="preserve">NO</x:t>
        </x:is>
      </x:c>
      <x:c r="K204" s="20" t="inlineStr">
        <x:is>
          <x:t xml:space="preserve"/>
        </x:is>
      </x:c>
      <x:c r="L204" s="20" t="inlineStr">
        <x:is>
          <x:t xml:space="preserve"/>
        </x:is>
      </x:c>
      <x:c r="M204" s="20" t="inlineStr">
        <x:is>
          <x:t xml:space="preserve"/>
        </x:is>
      </x:c>
      <x:c r="N204" s="20" t="inlineStr">
        <x:is>
          <x:t xml:space="preserve"/>
        </x:is>
      </x:c>
      <x:c r="O204" s="20" t="inlineStr">
        <x:is>
          <x:t xml:space="preserve"/>
        </x:is>
      </x:c>
      <x:c r="P204" s="20" t="inlineStr">
        <x:is>
          <x:t xml:space="preserve"/>
        </x:is>
      </x:c>
      <x:c r="Q204" s="20" t="inlineStr">
        <x:is>
          <x:t xml:space="preserve">https://www.fldoe.org/file/18534/SchoolGrades25.xlsx</x:t>
        </x:is>
      </x:c>
      <x:c r="R204" s="20" t="inlineStr">
        <x:is>
          <x:t xml:space="preserve">School type code 01; Title I=YES; Alternative/ESE=N; coordinates pending NCES/district GIS pull.</x:t>
        </x:is>
      </x:c>
    </x:row>
    <x:row r="205">
      <x:c r="A205" s="20" t="inlineStr">
        <x:is>
          <x:t xml:space="preserve">POLK</x:t>
        </x:is>
      </x:c>
      <x:c r="B205" s="20" t="inlineStr">
        <x:is>
          <x:t xml:space="preserve">POLK</x:t>
        </x:is>
      </x:c>
      <x:c r="C205" s="20" t="inlineStr">
        <x:is>
          <x:t xml:space="preserve">531501</x:t>
        </x:is>
      </x:c>
      <x:c r="D205" s="20" t="inlineStr">
        <x:is>
          <x:t xml:space="preserve"/>
        </x:is>
      </x:c>
      <x:c r="E205" s="20" t="inlineStr">
        <x:is>
          <x:t xml:space="preserve">CRYSTAL LAKE MIDDLE SCHOOL</x:t>
        </x:is>
      </x:c>
      <x:c r="F205" s="20" t="inlineStr">
        <x:is>
          <x:t xml:space="preserve">Middle/Junior</x:t>
        </x:is>
      </x:c>
      <x:c r="G205" s="20" t="inlineStr">
        <x:is>
          <x:t xml:space="preserve">YES</x:t>
        </x:is>
      </x:c>
      <x:c r="H205" s="20" t="inlineStr">
        <x:is>
          <x:t xml:space="preserve">NO</x:t>
        </x:is>
      </x:c>
      <x:c r="I205" s="20" t="inlineStr">
        <x:is>
          <x:t xml:space="preserve"/>
        </x:is>
      </x:c>
      <x:c r="J205" s="20" t="inlineStr">
        <x:is>
          <x:t xml:space="preserve">NO</x:t>
        </x:is>
      </x:c>
      <x:c r="K205" s="20" t="inlineStr">
        <x:is>
          <x:t xml:space="preserve"/>
        </x:is>
      </x:c>
      <x:c r="L205" s="20" t="inlineStr">
        <x:is>
          <x:t xml:space="preserve"/>
        </x:is>
      </x:c>
      <x:c r="M205" s="20" t="inlineStr">
        <x:is>
          <x:t xml:space="preserve"/>
        </x:is>
      </x:c>
      <x:c r="N205" s="20" t="inlineStr">
        <x:is>
          <x:t xml:space="preserve"/>
        </x:is>
      </x:c>
      <x:c r="O205" s="20" t="inlineStr">
        <x:is>
          <x:t xml:space="preserve"/>
        </x:is>
      </x:c>
      <x:c r="P205" s="20" t="inlineStr">
        <x:is>
          <x:t xml:space="preserve"/>
        </x:is>
      </x:c>
      <x:c r="Q205" s="20" t="inlineStr">
        <x:is>
          <x:t xml:space="preserve">https://www.fldoe.org/file/18534/SchoolGrades25.xlsx</x:t>
        </x:is>
      </x:c>
      <x:c r="R205" s="20" t="inlineStr">
        <x:is>
          <x:t xml:space="preserve">School type code 02; Title I=YES; Alternative/ESE=N; coordinates pending NCES/district GIS pull.</x:t>
        </x:is>
      </x:c>
    </x:row>
    <x:row r="206">
      <x:c r="A206" s="20" t="inlineStr">
        <x:is>
          <x:t xml:space="preserve">POLK</x:t>
        </x:is>
      </x:c>
      <x:c r="B206" s="20" t="inlineStr">
        <x:is>
          <x:t xml:space="preserve">POLK</x:t>
        </x:is>
      </x:c>
      <x:c r="C206" s="20" t="inlineStr">
        <x:is>
          <x:t xml:space="preserve">531521</x:t>
        </x:is>
      </x:c>
      <x:c r="D206" s="20" t="inlineStr">
        <x:is>
          <x:t xml:space="preserve"/>
        </x:is>
      </x:c>
      <x:c r="E206" s="20" t="inlineStr">
        <x:is>
          <x:t xml:space="preserve">OSCAR J. POPE ELEMENTARY SCHOOL</x:t>
        </x:is>
      </x:c>
      <x:c r="F206" s="20" t="inlineStr">
        <x:is>
          <x:t xml:space="preserve">Elementary</x:t>
        </x:is>
      </x:c>
      <x:c r="G206" s="20" t="inlineStr">
        <x:is>
          <x:t xml:space="preserve">YES</x:t>
        </x:is>
      </x:c>
      <x:c r="H206" s="20" t="inlineStr">
        <x:is>
          <x:t xml:space="preserve">NO</x:t>
        </x:is>
      </x:c>
      <x:c r="I206" s="20" t="inlineStr">
        <x:is>
          <x:t xml:space="preserve"/>
        </x:is>
      </x:c>
      <x:c r="J206" s="20" t="inlineStr">
        <x:is>
          <x:t xml:space="preserve">NO</x:t>
        </x:is>
      </x:c>
      <x:c r="K206" s="20" t="inlineStr">
        <x:is>
          <x:t xml:space="preserve"/>
        </x:is>
      </x:c>
      <x:c r="L206" s="20" t="inlineStr">
        <x:is>
          <x:t xml:space="preserve"/>
        </x:is>
      </x:c>
      <x:c r="M206" s="20" t="inlineStr">
        <x:is>
          <x:t xml:space="preserve"/>
        </x:is>
      </x:c>
      <x:c r="N206" s="20" t="inlineStr">
        <x:is>
          <x:t xml:space="preserve"/>
        </x:is>
      </x:c>
      <x:c r="O206" s="20" t="inlineStr">
        <x:is>
          <x:t xml:space="preserve"/>
        </x:is>
      </x:c>
      <x:c r="P206" s="20" t="inlineStr">
        <x:is>
          <x:t xml:space="preserve"/>
        </x:is>
      </x:c>
      <x:c r="Q206" s="20" t="inlineStr">
        <x:is>
          <x:t xml:space="preserve">https://www.fldoe.org/file/18534/SchoolGrades25.xlsx</x:t>
        </x:is>
      </x:c>
      <x:c r="R206" s="20" t="inlineStr">
        <x:is>
          <x:t xml:space="preserve">School type code 01; Title I=YES; Alternative/ESE=N; coordinates pending NCES/district GIS pull.</x:t>
        </x:is>
      </x:c>
    </x:row>
    <x:row r="207">
      <x:c r="A207" s="20" t="inlineStr">
        <x:is>
          <x:t xml:space="preserve">POLK</x:t>
        </x:is>
      </x:c>
      <x:c r="B207" s="20" t="inlineStr">
        <x:is>
          <x:t xml:space="preserve">POLK</x:t>
        </x:is>
      </x:c>
      <x:c r="C207" s="20" t="inlineStr">
        <x:is>
          <x:t xml:space="preserve">531601</x:t>
        </x:is>
      </x:c>
      <x:c r="D207" s="20" t="inlineStr">
        <x:is>
          <x:t xml:space="preserve"/>
        </x:is>
      </x:c>
      <x:c r="E207" s="20" t="inlineStr">
        <x:is>
          <x:t xml:space="preserve">BOK ACADEMY</x:t>
        </x:is>
      </x:c>
      <x:c r="F207" s="20" t="inlineStr">
        <x:is>
          <x:t xml:space="preserve">Middle/Junior</x:t>
        </x:is>
      </x:c>
      <x:c r="G207" s="20" t="inlineStr">
        <x:is>
          <x:t xml:space="preserve">NO</x:t>
        </x:is>
      </x:c>
      <x:c r="H207" s="20" t="inlineStr">
        <x:is>
          <x:t xml:space="preserve">YES</x:t>
        </x:is>
      </x:c>
      <x:c r="I207" s="20" t="inlineStr">
        <x:is>
          <x:t xml:space="preserve"/>
        </x:is>
      </x:c>
      <x:c r="J207" s="20" t="inlineStr">
        <x:is>
          <x:t xml:space="preserve">NO</x:t>
        </x:is>
      </x:c>
      <x:c r="K207" s="20" t="inlineStr">
        <x:is>
          <x:t xml:space="preserve"/>
        </x:is>
      </x:c>
      <x:c r="L207" s="20" t="inlineStr">
        <x:is>
          <x:t xml:space="preserve"/>
        </x:is>
      </x:c>
      <x:c r="M207" s="20" t="inlineStr">
        <x:is>
          <x:t xml:space="preserve"/>
        </x:is>
      </x:c>
      <x:c r="N207" s="20" t="inlineStr">
        <x:is>
          <x:t xml:space="preserve"/>
        </x:is>
      </x:c>
      <x:c r="O207" s="20" t="inlineStr">
        <x:is>
          <x:t xml:space="preserve"/>
        </x:is>
      </x:c>
      <x:c r="P207" s="20" t="inlineStr">
        <x:is>
          <x:t xml:space="preserve"/>
        </x:is>
      </x:c>
      <x:c r="Q207" s="20" t="inlineStr">
        <x:is>
          <x:t xml:space="preserve">https://www.fldoe.org/file/18534/SchoolGrades25.xlsx</x:t>
        </x:is>
      </x:c>
      <x:c r="R207" s="20" t="inlineStr">
        <x:is>
          <x:t xml:space="preserve">School type code 02; Title I=YES; Alternative/ESE=N; coordinates pending NCES/district GIS pull.</x:t>
        </x:is>
      </x:c>
    </x:row>
    <x:row r="208">
      <x:c r="A208" s="20" t="inlineStr">
        <x:is>
          <x:t xml:space="preserve">POLK</x:t>
        </x:is>
      </x:c>
      <x:c r="B208" s="20" t="inlineStr">
        <x:is>
          <x:t xml:space="preserve">POLK</x:t>
        </x:is>
      </x:c>
      <x:c r="C208" s="20" t="inlineStr">
        <x:is>
          <x:t xml:space="preserve">531611</x:t>
        </x:is>
      </x:c>
      <x:c r="D208" s="20" t="inlineStr">
        <x:is>
          <x:t xml:space="preserve"/>
        </x:is>
      </x:c>
      <x:c r="E208" s="20" t="inlineStr">
        <x:is>
          <x:t xml:space="preserve">LAUREL ELEMENTARY SCHOOL</x:t>
        </x:is>
      </x:c>
      <x:c r="F208" s="20" t="inlineStr">
        <x:is>
          <x:t xml:space="preserve">Elementary</x:t>
        </x:is>
      </x:c>
      <x:c r="G208" s="20" t="inlineStr">
        <x:is>
          <x:t xml:space="preserve">YES</x:t>
        </x:is>
      </x:c>
      <x:c r="H208" s="20" t="inlineStr">
        <x:is>
          <x:t xml:space="preserve">NO</x:t>
        </x:is>
      </x:c>
      <x:c r="I208" s="20" t="inlineStr">
        <x:is>
          <x:t xml:space="preserve"/>
        </x:is>
      </x:c>
      <x:c r="J208" s="20" t="inlineStr">
        <x:is>
          <x:t xml:space="preserve">NO</x:t>
        </x:is>
      </x:c>
      <x:c r="K208" s="20" t="inlineStr">
        <x:is>
          <x:t xml:space="preserve"/>
        </x:is>
      </x:c>
      <x:c r="L208" s="20" t="inlineStr">
        <x:is>
          <x:t xml:space="preserve"/>
        </x:is>
      </x:c>
      <x:c r="M208" s="20" t="inlineStr">
        <x:is>
          <x:t xml:space="preserve"/>
        </x:is>
      </x:c>
      <x:c r="N208" s="20" t="inlineStr">
        <x:is>
          <x:t xml:space="preserve"/>
        </x:is>
      </x:c>
      <x:c r="O208" s="20" t="inlineStr">
        <x:is>
          <x:t xml:space="preserve"/>
        </x:is>
      </x:c>
      <x:c r="P208" s="20" t="inlineStr">
        <x:is>
          <x:t xml:space="preserve"/>
        </x:is>
      </x:c>
      <x:c r="Q208" s="20" t="inlineStr">
        <x:is>
          <x:t xml:space="preserve">https://www.fldoe.org/file/18534/SchoolGrades25.xlsx</x:t>
        </x:is>
      </x:c>
      <x:c r="R208" s="20" t="inlineStr">
        <x:is>
          <x:t xml:space="preserve">School type code 01; Title I=YES; Alternative/ESE=N; coordinates pending NCES/district GIS pull.</x:t>
        </x:is>
      </x:c>
    </x:row>
    <x:row r="209">
      <x:c r="A209" s="20" t="inlineStr">
        <x:is>
          <x:t xml:space="preserve">POLK</x:t>
        </x:is>
      </x:c>
      <x:c r="B209" s="20" t="inlineStr">
        <x:is>
          <x:t xml:space="preserve">POLK</x:t>
        </x:is>
      </x:c>
      <x:c r="C209" s="20" t="inlineStr">
        <x:is>
          <x:t xml:space="preserve">531621</x:t>
        </x:is>
      </x:c>
      <x:c r="D209" s="20" t="inlineStr">
        <x:is>
          <x:t xml:space="preserve"/>
        </x:is>
      </x:c>
      <x:c r="E209" s="20" t="inlineStr">
        <x:is>
          <x:t xml:space="preserve">EDWARD W BOK ACADEMY NORTH</x:t>
        </x:is>
      </x:c>
      <x:c r="F209" s="20" t="inlineStr">
        <x:is>
          <x:t xml:space="preserve">Middle/Junior</x:t>
        </x:is>
      </x:c>
      <x:c r="G209" s="20" t="inlineStr">
        <x:is>
          <x:t xml:space="preserve">NO</x:t>
        </x:is>
      </x:c>
      <x:c r="H209" s="20" t="inlineStr">
        <x:is>
          <x:t xml:space="preserve">YES</x:t>
        </x:is>
      </x:c>
      <x:c r="I209" s="20" t="inlineStr">
        <x:is>
          <x:t xml:space="preserve"/>
        </x:is>
      </x:c>
      <x:c r="J209" s="20" t="inlineStr">
        <x:is>
          <x:t xml:space="preserve">NO</x:t>
        </x:is>
      </x:c>
      <x:c r="K209" s="20" t="inlineStr">
        <x:is>
          <x:t xml:space="preserve"/>
        </x:is>
      </x:c>
      <x:c r="L209" s="20" t="inlineStr">
        <x:is>
          <x:t xml:space="preserve"/>
        </x:is>
      </x:c>
      <x:c r="M209" s="20" t="inlineStr">
        <x:is>
          <x:t xml:space="preserve"/>
        </x:is>
      </x:c>
      <x:c r="N209" s="20" t="inlineStr">
        <x:is>
          <x:t xml:space="preserve"/>
        </x:is>
      </x:c>
      <x:c r="O209" s="20" t="inlineStr">
        <x:is>
          <x:t xml:space="preserve"/>
        </x:is>
      </x:c>
      <x:c r="P209" s="20" t="inlineStr">
        <x:is>
          <x:t xml:space="preserve"/>
        </x:is>
      </x:c>
      <x:c r="Q209" s="20" t="inlineStr">
        <x:is>
          <x:t xml:space="preserve">https://www.fldoe.org/file/18534/SchoolGrades25.xlsx</x:t>
        </x:is>
      </x:c>
      <x:c r="R209" s="20" t="inlineStr">
        <x:is>
          <x:t xml:space="preserve">School type code 02; Title I=YES; Alternative/ESE=N; coordinates pending NCES/district GIS pull.</x:t>
        </x:is>
      </x:c>
    </x:row>
    <x:row r="210">
      <x:c r="A210" s="20" t="inlineStr">
        <x:is>
          <x:t xml:space="preserve">POLK</x:t>
        </x:is>
      </x:c>
      <x:c r="B210" s="20" t="inlineStr">
        <x:is>
          <x:t xml:space="preserve">POLK</x:t>
        </x:is>
      </x:c>
      <x:c r="C210" s="20" t="inlineStr">
        <x:is>
          <x:t xml:space="preserve">531662</x:t>
        </x:is>
      </x:c>
      <x:c r="D210" s="20" t="inlineStr">
        <x:is>
          <x:t xml:space="preserve"/>
        </x:is>
      </x:c>
      <x:c r="E210" s="20" t="inlineStr">
        <x:is>
          <x:t xml:space="preserve">LAKE ALFRED POLYTECH ACADEMY</x:t>
        </x:is>
      </x:c>
      <x:c r="F210" s="20" t="inlineStr">
        <x:is>
          <x:t xml:space="preserve">Middle/Junior</x:t>
        </x:is>
      </x:c>
      <x:c r="G210" s="20" t="inlineStr">
        <x:is>
          <x:t xml:space="preserve">YES</x:t>
        </x:is>
      </x:c>
      <x:c r="H210" s="20" t="inlineStr">
        <x:is>
          <x:t xml:space="preserve">NO</x:t>
        </x:is>
      </x:c>
      <x:c r="I210" s="20" t="inlineStr">
        <x:is>
          <x:t xml:space="preserve"/>
        </x:is>
      </x:c>
      <x:c r="J210" s="20" t="inlineStr">
        <x:is>
          <x:t xml:space="preserve">NO</x:t>
        </x:is>
      </x:c>
      <x:c r="K210" s="20" t="inlineStr">
        <x:is>
          <x:t xml:space="preserve"/>
        </x:is>
      </x:c>
      <x:c r="L210" s="20" t="inlineStr">
        <x:is>
          <x:t xml:space="preserve"/>
        </x:is>
      </x:c>
      <x:c r="M210" s="20" t="inlineStr">
        <x:is>
          <x:t xml:space="preserve"/>
        </x:is>
      </x:c>
      <x:c r="N210" s="20" t="inlineStr">
        <x:is>
          <x:t xml:space="preserve"/>
        </x:is>
      </x:c>
      <x:c r="O210" s="20" t="inlineStr">
        <x:is>
          <x:t xml:space="preserve"/>
        </x:is>
      </x:c>
      <x:c r="P210" s="20" t="inlineStr">
        <x:is>
          <x:t xml:space="preserve"/>
        </x:is>
      </x:c>
      <x:c r="Q210" s="20" t="inlineStr">
        <x:is>
          <x:t xml:space="preserve">https://www.fldoe.org/file/18534/SchoolGrades25.xlsx</x:t>
        </x:is>
      </x:c>
      <x:c r="R210" s="20" t="inlineStr">
        <x:is>
          <x:t xml:space="preserve">School type code 02; Title I=YES; Alternative/ESE=N; coordinates pending NCES/district GIS pull.</x:t>
        </x:is>
      </x:c>
    </x:row>
    <x:row r="211">
      <x:c r="A211" s="20" t="inlineStr">
        <x:is>
          <x:t xml:space="preserve">POLK</x:t>
        </x:is>
      </x:c>
      <x:c r="B211" s="20" t="inlineStr">
        <x:is>
          <x:t xml:space="preserve">POLK</x:t>
        </x:is>
      </x:c>
      <x:c r="C211" s="20" t="inlineStr">
        <x:is>
          <x:t xml:space="preserve">531671</x:t>
        </x:is>
      </x:c>
      <x:c r="D211" s="20" t="inlineStr">
        <x:is>
          <x:t xml:space="preserve"/>
        </x:is>
      </x:c>
      <x:c r="E211" s="20" t="inlineStr">
        <x:is>
          <x:t xml:space="preserve">MCKEEL ACADEMY OF TECHNOLOGY</x:t>
        </x:is>
      </x:c>
      <x:c r="F211" s="20" t="inlineStr">
        <x:is>
          <x:t xml:space="preserve">Combination</x:t>
        </x:is>
      </x:c>
      <x:c r="G211" s="20" t="inlineStr">
        <x:is>
          <x:t xml:space="preserve">NO</x:t>
        </x:is>
      </x:c>
      <x:c r="H211" s="20" t="inlineStr">
        <x:is>
          <x:t xml:space="preserve">YES</x:t>
        </x:is>
      </x:c>
      <x:c r="I211" s="20" t="inlineStr">
        <x:is>
          <x:t xml:space="preserve"/>
        </x:is>
      </x:c>
      <x:c r="J211" s="20" t="inlineStr">
        <x:is>
          <x:t xml:space="preserve">NO</x:t>
        </x:is>
      </x:c>
      <x:c r="K211" s="20" t="inlineStr">
        <x:is>
          <x:t xml:space="preserve"/>
        </x:is>
      </x:c>
      <x:c r="L211" s="20" t="inlineStr">
        <x:is>
          <x:t xml:space="preserve"/>
        </x:is>
      </x:c>
      <x:c r="M211" s="20" t="inlineStr">
        <x:is>
          <x:t xml:space="preserve"/>
        </x:is>
      </x:c>
      <x:c r="N211" s="20" t="inlineStr">
        <x:is>
          <x:t xml:space="preserve"/>
        </x:is>
      </x:c>
      <x:c r="O211" s="20" t="inlineStr">
        <x:is>
          <x:t xml:space="preserve"/>
        </x:is>
      </x:c>
      <x:c r="P211" s="20" t="inlineStr">
        <x:is>
          <x:t xml:space="preserve"/>
        </x:is>
      </x:c>
      <x:c r="Q211" s="20" t="inlineStr">
        <x:is>
          <x:t xml:space="preserve">https://www.fldoe.org/file/18534/SchoolGrades25.xlsx</x:t>
        </x:is>
      </x:c>
      <x:c r="R211" s="20" t="inlineStr">
        <x:is>
          <x:t xml:space="preserve">School type code 04; Title I=NO; Alternative/ESE=N; coordinates pending NCES/district GIS pull.</x:t>
        </x:is>
      </x:c>
    </x:row>
    <x:row r="212">
      <x:c r="A212" s="20" t="inlineStr">
        <x:is>
          <x:t xml:space="preserve">POLK</x:t>
        </x:is>
      </x:c>
      <x:c r="B212" s="20" t="inlineStr">
        <x:is>
          <x:t xml:space="preserve">POLK</x:t>
        </x:is>
      </x:c>
      <x:c r="C212" s="20" t="inlineStr">
        <x:is>
          <x:t xml:space="preserve">531681</x:t>
        </x:is>
      </x:c>
      <x:c r="D212" s="20" t="inlineStr">
        <x:is>
          <x:t xml:space="preserve"/>
        </x:is>
      </x:c>
      <x:c r="E212" s="20" t="inlineStr">
        <x:is>
          <x:t xml:space="preserve">SCOTT LAKE ELEMENTARY SCHOOL</x:t>
        </x:is>
      </x:c>
      <x:c r="F212" s="20" t="inlineStr">
        <x:is>
          <x:t xml:space="preserve">Elementary</x:t>
        </x:is>
      </x:c>
      <x:c r="G212" s="20" t="inlineStr">
        <x:is>
          <x:t xml:space="preserve">YES</x:t>
        </x:is>
      </x:c>
      <x:c r="H212" s="20" t="inlineStr">
        <x:is>
          <x:t xml:space="preserve">NO</x:t>
        </x:is>
      </x:c>
      <x:c r="I212" s="20" t="inlineStr">
        <x:is>
          <x:t xml:space="preserve"/>
        </x:is>
      </x:c>
      <x:c r="J212" s="20" t="inlineStr">
        <x:is>
          <x:t xml:space="preserve">NO</x:t>
        </x:is>
      </x:c>
      <x:c r="K212" s="20" t="inlineStr">
        <x:is>
          <x:t xml:space="preserve"/>
        </x:is>
      </x:c>
      <x:c r="L212" s="20" t="inlineStr">
        <x:is>
          <x:t xml:space="preserve"/>
        </x:is>
      </x:c>
      <x:c r="M212" s="20" t="inlineStr">
        <x:is>
          <x:t xml:space="preserve"/>
        </x:is>
      </x:c>
      <x:c r="N212" s="20" t="inlineStr">
        <x:is>
          <x:t xml:space="preserve"/>
        </x:is>
      </x:c>
      <x:c r="O212" s="20" t="inlineStr">
        <x:is>
          <x:t xml:space="preserve"/>
        </x:is>
      </x:c>
      <x:c r="P212" s="20" t="inlineStr">
        <x:is>
          <x:t xml:space="preserve"/>
        </x:is>
      </x:c>
      <x:c r="Q212" s="20" t="inlineStr">
        <x:is>
          <x:t xml:space="preserve">https://www.fldoe.org/file/18534/SchoolGrades25.xlsx</x:t>
        </x:is>
      </x:c>
      <x:c r="R212" s="20" t="inlineStr">
        <x:is>
          <x:t xml:space="preserve">School type code 01; Title I=YES; Alternative/ESE=N; coordinates pending NCES/district GIS pull.</x:t>
        </x:is>
      </x:c>
    </x:row>
    <x:row r="213">
      <x:c r="A213" s="20" t="inlineStr">
        <x:is>
          <x:t xml:space="preserve">POLK</x:t>
        </x:is>
      </x:c>
      <x:c r="B213" s="20" t="inlineStr">
        <x:is>
          <x:t xml:space="preserve">POLK</x:t>
        </x:is>
      </x:c>
      <x:c r="C213" s="20" t="inlineStr">
        <x:is>
          <x:t xml:space="preserve">531682</x:t>
        </x:is>
      </x:c>
      <x:c r="D213" s="20" t="inlineStr">
        <x:is>
          <x:t xml:space="preserve"/>
        </x:is>
      </x:c>
      <x:c r="E213" s="20" t="inlineStr">
        <x:is>
          <x:t xml:space="preserve">MCKEEL ACADEMY CENTRAL</x:t>
        </x:is>
      </x:c>
      <x:c r="F213" s="20" t="inlineStr">
        <x:is>
          <x:t xml:space="preserve">Elementary</x:t>
        </x:is>
      </x:c>
      <x:c r="G213" s="20" t="inlineStr">
        <x:is>
          <x:t xml:space="preserve">NO</x:t>
        </x:is>
      </x:c>
      <x:c r="H213" s="20" t="inlineStr">
        <x:is>
          <x:t xml:space="preserve">YES</x:t>
        </x:is>
      </x:c>
      <x:c r="I213" s="20" t="inlineStr">
        <x:is>
          <x:t xml:space="preserve"/>
        </x:is>
      </x:c>
      <x:c r="J213" s="20" t="inlineStr">
        <x:is>
          <x:t xml:space="preserve">NO</x:t>
        </x:is>
      </x:c>
      <x:c r="K213" s="20" t="inlineStr">
        <x:is>
          <x:t xml:space="preserve"/>
        </x:is>
      </x:c>
      <x:c r="L213" s="20" t="inlineStr">
        <x:is>
          <x:t xml:space="preserve"/>
        </x:is>
      </x:c>
      <x:c r="M213" s="20" t="inlineStr">
        <x:is>
          <x:t xml:space="preserve"/>
        </x:is>
      </x:c>
      <x:c r="N213" s="20" t="inlineStr">
        <x:is>
          <x:t xml:space="preserve"/>
        </x:is>
      </x:c>
      <x:c r="O213" s="20" t="inlineStr">
        <x:is>
          <x:t xml:space="preserve"/>
        </x:is>
      </x:c>
      <x:c r="P213" s="20" t="inlineStr">
        <x:is>
          <x:t xml:space="preserve"/>
        </x:is>
      </x:c>
      <x:c r="Q213" s="20" t="inlineStr">
        <x:is>
          <x:t xml:space="preserve">https://www.fldoe.org/file/18534/SchoolGrades25.xlsx</x:t>
        </x:is>
      </x:c>
      <x:c r="R213" s="20" t="inlineStr">
        <x:is>
          <x:t xml:space="preserve">School type code 01; Title I=NO; Alternative/ESE=N; coordinates pending NCES/district GIS pull.</x:t>
        </x:is>
      </x:c>
    </x:row>
    <x:row r="214">
      <x:c r="A214" s="20" t="inlineStr">
        <x:is>
          <x:t xml:space="preserve">POLK</x:t>
        </x:is>
      </x:c>
      <x:c r="B214" s="20" t="inlineStr">
        <x:is>
          <x:t xml:space="preserve">POLK</x:t>
        </x:is>
      </x:c>
      <x:c r="C214" s="20" t="inlineStr">
        <x:is>
          <x:t xml:space="preserve">531692</x:t>
        </x:is>
      </x:c>
      <x:c r="D214" s="20" t="inlineStr">
        <x:is>
          <x:t xml:space="preserve"/>
        </x:is>
      </x:c>
      <x:c r="E214" s="20" t="inlineStr">
        <x:is>
          <x:t xml:space="preserve">SOUTH MCKEEL ACADEMY</x:t>
        </x:is>
      </x:c>
      <x:c r="F214" s="20" t="inlineStr">
        <x:is>
          <x:t xml:space="preserve">Elementary</x:t>
        </x:is>
      </x:c>
      <x:c r="G214" s="20" t="inlineStr">
        <x:is>
          <x:t xml:space="preserve">NO</x:t>
        </x:is>
      </x:c>
      <x:c r="H214" s="20" t="inlineStr">
        <x:is>
          <x:t xml:space="preserve">YES</x:t>
        </x:is>
      </x:c>
      <x:c r="I214" s="20" t="inlineStr">
        <x:is>
          <x:t xml:space="preserve"/>
        </x:is>
      </x:c>
      <x:c r="J214" s="20" t="inlineStr">
        <x:is>
          <x:t xml:space="preserve">NO</x:t>
        </x:is>
      </x:c>
      <x:c r="K214" s="20" t="inlineStr">
        <x:is>
          <x:t xml:space="preserve"/>
        </x:is>
      </x:c>
      <x:c r="L214" s="20" t="inlineStr">
        <x:is>
          <x:t xml:space="preserve"/>
        </x:is>
      </x:c>
      <x:c r="M214" s="20" t="inlineStr">
        <x:is>
          <x:t xml:space="preserve"/>
        </x:is>
      </x:c>
      <x:c r="N214" s="20" t="inlineStr">
        <x:is>
          <x:t xml:space="preserve"/>
        </x:is>
      </x:c>
      <x:c r="O214" s="20" t="inlineStr">
        <x:is>
          <x:t xml:space="preserve"/>
        </x:is>
      </x:c>
      <x:c r="P214" s="20" t="inlineStr">
        <x:is>
          <x:t xml:space="preserve"/>
        </x:is>
      </x:c>
      <x:c r="Q214" s="20" t="inlineStr">
        <x:is>
          <x:t xml:space="preserve">https://www.fldoe.org/file/18534/SchoolGrades25.xlsx</x:t>
        </x:is>
      </x:c>
      <x:c r="R214" s="20" t="inlineStr">
        <x:is>
          <x:t xml:space="preserve">School type code 01; Title I=NO; Alternative/ESE=N; coordinates pending NCES/district GIS pull.</x:t>
        </x:is>
      </x:c>
    </x:row>
    <x:row r="215">
      <x:c r="A215" s="20" t="inlineStr">
        <x:is>
          <x:t xml:space="preserve">POLK</x:t>
        </x:is>
      </x:c>
      <x:c r="B215" s="20" t="inlineStr">
        <x:is>
          <x:t xml:space="preserve">POLK</x:t>
        </x:is>
      </x:c>
      <x:c r="C215" s="20" t="inlineStr">
        <x:is>
          <x:t xml:space="preserve">531701</x:t>
        </x:is>
      </x:c>
      <x:c r="D215" s="20" t="inlineStr">
        <x:is>
          <x:t xml:space="preserve"/>
        </x:is>
      </x:c>
      <x:c r="E215" s="20" t="inlineStr">
        <x:is>
          <x:t xml:space="preserve">EAGLE LAKE ELEMENTARY SCHOOL</x:t>
        </x:is>
      </x:c>
      <x:c r="F215" s="20" t="inlineStr">
        <x:is>
          <x:t xml:space="preserve">Elementary</x:t>
        </x:is>
      </x:c>
      <x:c r="G215" s="20" t="inlineStr">
        <x:is>
          <x:t xml:space="preserve">YES</x:t>
        </x:is>
      </x:c>
      <x:c r="H215" s="20" t="inlineStr">
        <x:is>
          <x:t xml:space="preserve">NO</x:t>
        </x:is>
      </x:c>
      <x:c r="I215" s="20" t="inlineStr">
        <x:is>
          <x:t xml:space="preserve"/>
        </x:is>
      </x:c>
      <x:c r="J215" s="20" t="inlineStr">
        <x:is>
          <x:t xml:space="preserve">NO</x:t>
        </x:is>
      </x:c>
      <x:c r="K215" s="20" t="inlineStr">
        <x:is>
          <x:t xml:space="preserve"/>
        </x:is>
      </x:c>
      <x:c r="L215" s="20" t="inlineStr">
        <x:is>
          <x:t xml:space="preserve"/>
        </x:is>
      </x:c>
      <x:c r="M215" s="20" t="inlineStr">
        <x:is>
          <x:t xml:space="preserve"/>
        </x:is>
      </x:c>
      <x:c r="N215" s="20" t="inlineStr">
        <x:is>
          <x:t xml:space="preserve"/>
        </x:is>
      </x:c>
      <x:c r="O215" s="20" t="inlineStr">
        <x:is>
          <x:t xml:space="preserve"/>
        </x:is>
      </x:c>
      <x:c r="P215" s="20" t="inlineStr">
        <x:is>
          <x:t xml:space="preserve"/>
        </x:is>
      </x:c>
      <x:c r="Q215" s="20" t="inlineStr">
        <x:is>
          <x:t xml:space="preserve">https://www.fldoe.org/file/18534/SchoolGrades25.xlsx</x:t>
        </x:is>
      </x:c>
      <x:c r="R215" s="20" t="inlineStr">
        <x:is>
          <x:t xml:space="preserve">School type code 01; Title I=YES; Alternative/ESE=N; coordinates pending NCES/district GIS pull.</x:t>
        </x:is>
      </x:c>
    </x:row>
    <x:row r="216">
      <x:c r="A216" s="20" t="inlineStr">
        <x:is>
          <x:t xml:space="preserve">POLK</x:t>
        </x:is>
      </x:c>
      <x:c r="B216" s="20" t="inlineStr">
        <x:is>
          <x:t xml:space="preserve">POLK</x:t>
        </x:is>
      </x:c>
      <x:c r="C216" s="20" t="inlineStr">
        <x:is>
          <x:t xml:space="preserve">531702</x:t>
        </x:is>
      </x:c>
      <x:c r="D216" s="20" t="inlineStr">
        <x:is>
          <x:t xml:space="preserve"/>
        </x:is>
      </x:c>
      <x:c r="E216" s="20" t="inlineStr">
        <x:is>
          <x:t xml:space="preserve">PALMETTO ELEMENTARY SCHOOL</x:t>
        </x:is>
      </x:c>
      <x:c r="F216" s="20" t="inlineStr">
        <x:is>
          <x:t xml:space="preserve">Elementary</x:t>
        </x:is>
      </x:c>
      <x:c r="G216" s="20" t="inlineStr">
        <x:is>
          <x:t xml:space="preserve">YES</x:t>
        </x:is>
      </x:c>
      <x:c r="H216" s="20" t="inlineStr">
        <x:is>
          <x:t xml:space="preserve">NO</x:t>
        </x:is>
      </x:c>
      <x:c r="I216" s="20" t="inlineStr">
        <x:is>
          <x:t xml:space="preserve"/>
        </x:is>
      </x:c>
      <x:c r="J216" s="20" t="inlineStr">
        <x:is>
          <x:t xml:space="preserve">NO</x:t>
        </x:is>
      </x:c>
      <x:c r="K216" s="20" t="inlineStr">
        <x:is>
          <x:t xml:space="preserve"/>
        </x:is>
      </x:c>
      <x:c r="L216" s="20" t="inlineStr">
        <x:is>
          <x:t xml:space="preserve"/>
        </x:is>
      </x:c>
      <x:c r="M216" s="20" t="inlineStr">
        <x:is>
          <x:t xml:space="preserve"/>
        </x:is>
      </x:c>
      <x:c r="N216" s="20" t="inlineStr">
        <x:is>
          <x:t xml:space="preserve"/>
        </x:is>
      </x:c>
      <x:c r="O216" s="20" t="inlineStr">
        <x:is>
          <x:t xml:space="preserve"/>
        </x:is>
      </x:c>
      <x:c r="P216" s="20" t="inlineStr">
        <x:is>
          <x:t xml:space="preserve"/>
        </x:is>
      </x:c>
      <x:c r="Q216" s="20" t="inlineStr">
        <x:is>
          <x:t xml:space="preserve">https://www.fldoe.org/file/18534/SchoolGrades25.xlsx</x:t>
        </x:is>
      </x:c>
      <x:c r="R216" s="20" t="inlineStr">
        <x:is>
          <x:t xml:space="preserve">School type code 01; Title I=YES; Alternative/ESE=N; coordinates pending NCES/district GIS pull.</x:t>
        </x:is>
      </x:c>
    </x:row>
    <x:row r="217">
      <x:c r="A217" s="20" t="inlineStr">
        <x:is>
          <x:t xml:space="preserve">POLK</x:t>
        </x:is>
      </x:c>
      <x:c r="B217" s="20" t="inlineStr">
        <x:is>
          <x:t xml:space="preserve">POLK</x:t>
        </x:is>
      </x:c>
      <x:c r="C217" s="20" t="inlineStr">
        <x:is>
          <x:t xml:space="preserve">531711</x:t>
        </x:is>
      </x:c>
      <x:c r="D217" s="20" t="inlineStr">
        <x:is>
          <x:t xml:space="preserve"/>
        </x:is>
      </x:c>
      <x:c r="E217" s="20" t="inlineStr">
        <x:is>
          <x:t xml:space="preserve">GARDEN GROVE ELEMENTARY SCHOOL</x:t>
        </x:is>
      </x:c>
      <x:c r="F217" s="20" t="inlineStr">
        <x:is>
          <x:t xml:space="preserve">Elementary</x:t>
        </x:is>
      </x:c>
      <x:c r="G217" s="20" t="inlineStr">
        <x:is>
          <x:t xml:space="preserve">YES</x:t>
        </x:is>
      </x:c>
      <x:c r="H217" s="20" t="inlineStr">
        <x:is>
          <x:t xml:space="preserve">NO</x:t>
        </x:is>
      </x:c>
      <x:c r="I217" s="20" t="inlineStr">
        <x:is>
          <x:t xml:space="preserve"/>
        </x:is>
      </x:c>
      <x:c r="J217" s="20" t="inlineStr">
        <x:is>
          <x:t xml:space="preserve">NO</x:t>
        </x:is>
      </x:c>
      <x:c r="K217" s="20" t="inlineStr">
        <x:is>
          <x:t xml:space="preserve"/>
        </x:is>
      </x:c>
      <x:c r="L217" s="20" t="inlineStr">
        <x:is>
          <x:t xml:space="preserve"/>
        </x:is>
      </x:c>
      <x:c r="M217" s="20" t="inlineStr">
        <x:is>
          <x:t xml:space="preserve"/>
        </x:is>
      </x:c>
      <x:c r="N217" s="20" t="inlineStr">
        <x:is>
          <x:t xml:space="preserve"/>
        </x:is>
      </x:c>
      <x:c r="O217" s="20" t="inlineStr">
        <x:is>
          <x:t xml:space="preserve"/>
        </x:is>
      </x:c>
      <x:c r="P217" s="20" t="inlineStr">
        <x:is>
          <x:t xml:space="preserve"/>
        </x:is>
      </x:c>
      <x:c r="Q217" s="20" t="inlineStr">
        <x:is>
          <x:t xml:space="preserve">https://www.fldoe.org/file/18534/SchoolGrades25.xlsx</x:t>
        </x:is>
      </x:c>
      <x:c r="R217" s="20" t="inlineStr">
        <x:is>
          <x:t xml:space="preserve">School type code 01; Title I=YES; Alternative/ESE=N; coordinates pending NCES/district GIS pull.</x:t>
        </x:is>
      </x:c>
    </x:row>
    <x:row r="218">
      <x:c r="A218" s="20" t="inlineStr">
        <x:is>
          <x:t xml:space="preserve">POLK</x:t>
        </x:is>
      </x:c>
      <x:c r="B218" s="20" t="inlineStr">
        <x:is>
          <x:t xml:space="preserve">POLK</x:t>
        </x:is>
      </x:c>
      <x:c r="C218" s="20" t="inlineStr">
        <x:is>
          <x:t xml:space="preserve">531721</x:t>
        </x:is>
      </x:c>
      <x:c r="D218" s="20" t="inlineStr">
        <x:is>
          <x:t xml:space="preserve"/>
        </x:is>
      </x:c>
      <x:c r="E218" s="20" t="inlineStr">
        <x:is>
          <x:t xml:space="preserve">LAKE WALES SENIOR HIGH SCHOOL</x:t>
        </x:is>
      </x:c>
      <x:c r="F218" s="20" t="inlineStr">
        <x:is>
          <x:t xml:space="preserve">Senior High</x:t>
        </x:is>
      </x:c>
      <x:c r="G218" s="20" t="inlineStr">
        <x:is>
          <x:t xml:space="preserve">NO</x:t>
        </x:is>
      </x:c>
      <x:c r="H218" s="20" t="inlineStr">
        <x:is>
          <x:t xml:space="preserve">YES</x:t>
        </x:is>
      </x:c>
      <x:c r="I218" s="20" t="inlineStr">
        <x:is>
          <x:t xml:space="preserve"/>
        </x:is>
      </x:c>
      <x:c r="J218" s="20" t="inlineStr">
        <x:is>
          <x:t xml:space="preserve">NO</x:t>
        </x:is>
      </x:c>
      <x:c r="K218" s="20" t="inlineStr">
        <x:is>
          <x:t xml:space="preserve"/>
        </x:is>
      </x:c>
      <x:c r="L218" s="20" t="inlineStr">
        <x:is>
          <x:t xml:space="preserve"/>
        </x:is>
      </x:c>
      <x:c r="M218" s="20" t="inlineStr">
        <x:is>
          <x:t xml:space="preserve"/>
        </x:is>
      </x:c>
      <x:c r="N218" s="20" t="inlineStr">
        <x:is>
          <x:t xml:space="preserve"/>
        </x:is>
      </x:c>
      <x:c r="O218" s="20" t="inlineStr">
        <x:is>
          <x:t xml:space="preserve"/>
        </x:is>
      </x:c>
      <x:c r="P218" s="20" t="inlineStr">
        <x:is>
          <x:t xml:space="preserve"/>
        </x:is>
      </x:c>
      <x:c r="Q218" s="20" t="inlineStr">
        <x:is>
          <x:t xml:space="preserve">https://www.fldoe.org/file/18534/SchoolGrades25.xlsx</x:t>
        </x:is>
      </x:c>
      <x:c r="R218" s="20" t="inlineStr">
        <x:is>
          <x:t xml:space="preserve">School type code 03; Title I=YES; Alternative/ESE=N; coordinates pending NCES/district GIS pull.</x:t>
        </x:is>
      </x:c>
    </x:row>
    <x:row r="219">
      <x:c r="A219" s="20" t="inlineStr">
        <x:is>
          <x:t xml:space="preserve">POLK</x:t>
        </x:is>
      </x:c>
      <x:c r="B219" s="20" t="inlineStr">
        <x:is>
          <x:t xml:space="preserve">POLK</x:t>
        </x:is>
      </x:c>
      <x:c r="C219" s="20" t="inlineStr">
        <x:is>
          <x:t xml:space="preserve">531731</x:t>
        </x:is>
      </x:c>
      <x:c r="D219" s="20" t="inlineStr">
        <x:is>
          <x:t xml:space="preserve"/>
        </x:is>
      </x:c>
      <x:c r="E219" s="20" t="inlineStr">
        <x:is>
          <x:t xml:space="preserve">PINEWOOD ELEMENTARY SCHOOL</x:t>
        </x:is>
      </x:c>
      <x:c r="F219" s="20" t="inlineStr">
        <x:is>
          <x:t xml:space="preserve">Elementary</x:t>
        </x:is>
      </x:c>
      <x:c r="G219" s="20" t="inlineStr">
        <x:is>
          <x:t xml:space="preserve">YES</x:t>
        </x:is>
      </x:c>
      <x:c r="H219" s="20" t="inlineStr">
        <x:is>
          <x:t xml:space="preserve">NO</x:t>
        </x:is>
      </x:c>
      <x:c r="I219" s="20" t="inlineStr">
        <x:is>
          <x:t xml:space="preserve"/>
        </x:is>
      </x:c>
      <x:c r="J219" s="20" t="inlineStr">
        <x:is>
          <x:t xml:space="preserve">NO</x:t>
        </x:is>
      </x:c>
      <x:c r="K219" s="20" t="inlineStr">
        <x:is>
          <x:t xml:space="preserve"/>
        </x:is>
      </x:c>
      <x:c r="L219" s="20" t="inlineStr">
        <x:is>
          <x:t xml:space="preserve"/>
        </x:is>
      </x:c>
      <x:c r="M219" s="20" t="inlineStr">
        <x:is>
          <x:t xml:space="preserve"/>
        </x:is>
      </x:c>
      <x:c r="N219" s="20" t="inlineStr">
        <x:is>
          <x:t xml:space="preserve"/>
        </x:is>
      </x:c>
      <x:c r="O219" s="20" t="inlineStr">
        <x:is>
          <x:t xml:space="preserve"/>
        </x:is>
      </x:c>
      <x:c r="P219" s="20" t="inlineStr">
        <x:is>
          <x:t xml:space="preserve"/>
        </x:is>
      </x:c>
      <x:c r="Q219" s="20" t="inlineStr">
        <x:is>
          <x:t xml:space="preserve">https://www.fldoe.org/file/18534/SchoolGrades25.xlsx</x:t>
        </x:is>
      </x:c>
      <x:c r="R219" s="20" t="inlineStr">
        <x:is>
          <x:t xml:space="preserve">School type code 01; Title I=YES; Alternative/ESE=N; coordinates pending NCES/district GIS pull.</x:t>
        </x:is>
      </x:c>
    </x:row>
    <x:row r="220">
      <x:c r="A220" s="20" t="inlineStr">
        <x:is>
          <x:t xml:space="preserve">POLK</x:t>
        </x:is>
      </x:c>
      <x:c r="B220" s="20" t="inlineStr">
        <x:is>
          <x:t xml:space="preserve">POLK</x:t>
        </x:is>
      </x:c>
      <x:c r="C220" s="20" t="inlineStr">
        <x:is>
          <x:t xml:space="preserve">531751</x:t>
        </x:is>
      </x:c>
      <x:c r="D220" s="20" t="inlineStr">
        <x:is>
          <x:t xml:space="preserve"/>
        </x:is>
      </x:c>
      <x:c r="E220" s="20" t="inlineStr">
        <x:is>
          <x:t xml:space="preserve">JAMES E. STEPHENS ACADEMY</x:t>
        </x:is>
      </x:c>
      <x:c r="F220" s="20" t="inlineStr">
        <x:is>
          <x:t xml:space="preserve">Elementary</x:t>
        </x:is>
      </x:c>
      <x:c r="G220" s="20" t="inlineStr">
        <x:is>
          <x:t xml:space="preserve">YES</x:t>
        </x:is>
      </x:c>
      <x:c r="H220" s="20" t="inlineStr">
        <x:is>
          <x:t xml:space="preserve">NO</x:t>
        </x:is>
      </x:c>
      <x:c r="I220" s="20" t="inlineStr">
        <x:is>
          <x:t xml:space="preserve"/>
        </x:is>
      </x:c>
      <x:c r="J220" s="20" t="inlineStr">
        <x:is>
          <x:t xml:space="preserve">NO</x:t>
        </x:is>
      </x:c>
      <x:c r="K220" s="20" t="inlineStr">
        <x:is>
          <x:t xml:space="preserve"/>
        </x:is>
      </x:c>
      <x:c r="L220" s="20" t="inlineStr">
        <x:is>
          <x:t xml:space="preserve"/>
        </x:is>
      </x:c>
      <x:c r="M220" s="20" t="inlineStr">
        <x:is>
          <x:t xml:space="preserve"/>
        </x:is>
      </x:c>
      <x:c r="N220" s="20" t="inlineStr">
        <x:is>
          <x:t xml:space="preserve"/>
        </x:is>
      </x:c>
      <x:c r="O220" s="20" t="inlineStr">
        <x:is>
          <x:t xml:space="preserve"/>
        </x:is>
      </x:c>
      <x:c r="P220" s="20" t="inlineStr">
        <x:is>
          <x:t xml:space="preserve"/>
        </x:is>
      </x:c>
      <x:c r="Q220" s="20" t="inlineStr">
        <x:is>
          <x:t xml:space="preserve">https://www.fldoe.org/file/18534/SchoolGrades25.xlsx</x:t>
        </x:is>
      </x:c>
      <x:c r="R220" s="20" t="inlineStr">
        <x:is>
          <x:t xml:space="preserve">School type code 01; Title I=YES; Alternative/ESE=N; coordinates pending NCES/district GIS pull.</x:t>
        </x:is>
      </x:c>
    </x:row>
    <x:row r="221">
      <x:c r="A221" s="20" t="inlineStr">
        <x:is>
          <x:t xml:space="preserve">POLK</x:t>
        </x:is>
      </x:c>
      <x:c r="B221" s="20" t="inlineStr">
        <x:is>
          <x:t xml:space="preserve">POLK</x:t>
        </x:is>
      </x:c>
      <x:c r="C221" s="20" t="inlineStr">
        <x:is>
          <x:t xml:space="preserve">531761</x:t>
        </x:is>
      </x:c>
      <x:c r="D221" s="20" t="inlineStr">
        <x:is>
          <x:t xml:space="preserve"/>
        </x:is>
      </x:c>
      <x:c r="E221" s="20" t="inlineStr">
        <x:is>
          <x:t xml:space="preserve">LAKE GIBSON MIDDLE SCHOOL</x:t>
        </x:is>
      </x:c>
      <x:c r="F221" s="20" t="inlineStr">
        <x:is>
          <x:t xml:space="preserve">Middle/Junior</x:t>
        </x:is>
      </x:c>
      <x:c r="G221" s="20" t="inlineStr">
        <x:is>
          <x:t xml:space="preserve">YES</x:t>
        </x:is>
      </x:c>
      <x:c r="H221" s="20" t="inlineStr">
        <x:is>
          <x:t xml:space="preserve">NO</x:t>
        </x:is>
      </x:c>
      <x:c r="I221" s="20" t="inlineStr">
        <x:is>
          <x:t xml:space="preserve"/>
        </x:is>
      </x:c>
      <x:c r="J221" s="20" t="inlineStr">
        <x:is>
          <x:t xml:space="preserve">NO</x:t>
        </x:is>
      </x:c>
      <x:c r="K221" s="20" t="inlineStr">
        <x:is>
          <x:t xml:space="preserve"/>
        </x:is>
      </x:c>
      <x:c r="L221" s="20" t="inlineStr">
        <x:is>
          <x:t xml:space="preserve"/>
        </x:is>
      </x:c>
      <x:c r="M221" s="20" t="inlineStr">
        <x:is>
          <x:t xml:space="preserve"/>
        </x:is>
      </x:c>
      <x:c r="N221" s="20" t="inlineStr">
        <x:is>
          <x:t xml:space="preserve"/>
        </x:is>
      </x:c>
      <x:c r="O221" s="20" t="inlineStr">
        <x:is>
          <x:t xml:space="preserve"/>
        </x:is>
      </x:c>
      <x:c r="P221" s="20" t="inlineStr">
        <x:is>
          <x:t xml:space="preserve"/>
        </x:is>
      </x:c>
      <x:c r="Q221" s="20" t="inlineStr">
        <x:is>
          <x:t xml:space="preserve">https://www.fldoe.org/file/18534/SchoolGrades25.xlsx</x:t>
        </x:is>
      </x:c>
      <x:c r="R221" s="20" t="inlineStr">
        <x:is>
          <x:t xml:space="preserve">School type code 02; Title I=YES; Alternative/ESE=N; coordinates pending NCES/district GIS pull.</x:t>
        </x:is>
      </x:c>
    </x:row>
    <x:row r="222">
      <x:c r="A222" s="20" t="inlineStr">
        <x:is>
          <x:t xml:space="preserve">POLK</x:t>
        </x:is>
      </x:c>
      <x:c r="B222" s="20" t="inlineStr">
        <x:is>
          <x:t xml:space="preserve">POLK</x:t>
        </x:is>
      </x:c>
      <x:c r="C222" s="20" t="inlineStr">
        <x:is>
          <x:t xml:space="preserve">531762</x:t>
        </x:is>
      </x:c>
      <x:c r="D222" s="20" t="inlineStr">
        <x:is>
          <x:t xml:space="preserve"/>
        </x:is>
      </x:c>
      <x:c r="E222" s="20" t="inlineStr">
        <x:is>
          <x:t xml:space="preserve">LAKE GIBSON SENIOR HIGH SCHOOL</x:t>
        </x:is>
      </x:c>
      <x:c r="F222" s="20" t="inlineStr">
        <x:is>
          <x:t xml:space="preserve">Senior High</x:t>
        </x:is>
      </x:c>
      <x:c r="G222" s="20" t="inlineStr">
        <x:is>
          <x:t xml:space="preserve">YES</x:t>
        </x:is>
      </x:c>
      <x:c r="H222" s="20" t="inlineStr">
        <x:is>
          <x:t xml:space="preserve">NO</x:t>
        </x:is>
      </x:c>
      <x:c r="I222" s="20" t="inlineStr">
        <x:is>
          <x:t xml:space="preserve"/>
        </x:is>
      </x:c>
      <x:c r="J222" s="20" t="inlineStr">
        <x:is>
          <x:t xml:space="preserve">NO</x:t>
        </x:is>
      </x:c>
      <x:c r="K222" s="20" t="inlineStr">
        <x:is>
          <x:t xml:space="preserve"/>
        </x:is>
      </x:c>
      <x:c r="L222" s="20" t="inlineStr">
        <x:is>
          <x:t xml:space="preserve"/>
        </x:is>
      </x:c>
      <x:c r="M222" s="20" t="inlineStr">
        <x:is>
          <x:t xml:space="preserve"/>
        </x:is>
      </x:c>
      <x:c r="N222" s="20" t="inlineStr">
        <x:is>
          <x:t xml:space="preserve"/>
        </x:is>
      </x:c>
      <x:c r="O222" s="20" t="inlineStr">
        <x:is>
          <x:t xml:space="preserve"/>
        </x:is>
      </x:c>
      <x:c r="P222" s="20" t="inlineStr">
        <x:is>
          <x:t xml:space="preserve"/>
        </x:is>
      </x:c>
      <x:c r="Q222" s="20" t="inlineStr">
        <x:is>
          <x:t xml:space="preserve">https://www.fldoe.org/file/18534/SchoolGrades25.xlsx</x:t>
        </x:is>
      </x:c>
      <x:c r="R222" s="20" t="inlineStr">
        <x:is>
          <x:t xml:space="preserve">School type code 03; Title I=YES; Alternative/ESE=N; coordinates pending NCES/district GIS pull.</x:t>
        </x:is>
      </x:c>
    </x:row>
    <x:row r="223">
      <x:c r="A223" s="20" t="inlineStr">
        <x:is>
          <x:t xml:space="preserve">POLK</x:t>
        </x:is>
      </x:c>
      <x:c r="B223" s="20" t="inlineStr">
        <x:is>
          <x:t xml:space="preserve">POLK</x:t>
        </x:is>
      </x:c>
      <x:c r="C223" s="20" t="inlineStr">
        <x:is>
          <x:t xml:space="preserve">531771</x:t>
        </x:is>
      </x:c>
      <x:c r="D223" s="20" t="inlineStr">
        <x:is>
          <x:t xml:space="preserve"/>
        </x:is>
      </x:c>
      <x:c r="E223" s="20" t="inlineStr">
        <x:is>
          <x:t xml:space="preserve">LAKELAND HIGHLANDS MIDDLE SCHOOL</x:t>
        </x:is>
      </x:c>
      <x:c r="F223" s="20" t="inlineStr">
        <x:is>
          <x:t xml:space="preserve">Middle/Junior</x:t>
        </x:is>
      </x:c>
      <x:c r="G223" s="20" t="inlineStr">
        <x:is>
          <x:t xml:space="preserve">YES</x:t>
        </x:is>
      </x:c>
      <x:c r="H223" s="20" t="inlineStr">
        <x:is>
          <x:t xml:space="preserve">NO</x:t>
        </x:is>
      </x:c>
      <x:c r="I223" s="20" t="inlineStr">
        <x:is>
          <x:t xml:space="preserve"/>
        </x:is>
      </x:c>
      <x:c r="J223" s="20" t="inlineStr">
        <x:is>
          <x:t xml:space="preserve">NO</x:t>
        </x:is>
      </x:c>
      <x:c r="K223" s="20" t="inlineStr">
        <x:is>
          <x:t xml:space="preserve"/>
        </x:is>
      </x:c>
      <x:c r="L223" s="20" t="inlineStr">
        <x:is>
          <x:t xml:space="preserve"/>
        </x:is>
      </x:c>
      <x:c r="M223" s="20" t="inlineStr">
        <x:is>
          <x:t xml:space="preserve"/>
        </x:is>
      </x:c>
      <x:c r="N223" s="20" t="inlineStr">
        <x:is>
          <x:t xml:space="preserve"/>
        </x:is>
      </x:c>
      <x:c r="O223" s="20" t="inlineStr">
        <x:is>
          <x:t xml:space="preserve"/>
        </x:is>
      </x:c>
      <x:c r="P223" s="20" t="inlineStr">
        <x:is>
          <x:t xml:space="preserve"/>
        </x:is>
      </x:c>
      <x:c r="Q223" s="20" t="inlineStr">
        <x:is>
          <x:t xml:space="preserve">https://www.fldoe.org/file/18534/SchoolGrades25.xlsx</x:t>
        </x:is>
      </x:c>
      <x:c r="R223" s="20" t="inlineStr">
        <x:is>
          <x:t xml:space="preserve">School type code 02; Title I=YES; Alternative/ESE=N; coordinates pending NCES/district GIS pull.</x:t>
        </x:is>
      </x:c>
    </x:row>
    <x:row r="224">
      <x:c r="A224" s="20" t="inlineStr">
        <x:is>
          <x:t xml:space="preserve">POLK</x:t>
        </x:is>
      </x:c>
      <x:c r="B224" s="20" t="inlineStr">
        <x:is>
          <x:t xml:space="preserve">POLK</x:t>
        </x:is>
      </x:c>
      <x:c r="C224" s="20" t="inlineStr">
        <x:is>
          <x:t xml:space="preserve">531781</x:t>
        </x:is>
      </x:c>
      <x:c r="D224" s="20" t="inlineStr">
        <x:is>
          <x:t xml:space="preserve"/>
        </x:is>
      </x:c>
      <x:c r="E224" s="20" t="inlineStr">
        <x:is>
          <x:t xml:space="preserve">DUNDEE ELEMENTARY ACADEMY</x:t>
        </x:is>
      </x:c>
      <x:c r="F224" s="20" t="inlineStr">
        <x:is>
          <x:t xml:space="preserve">Elementary</x:t>
        </x:is>
      </x:c>
      <x:c r="G224" s="20" t="inlineStr">
        <x:is>
          <x:t xml:space="preserve">YES</x:t>
        </x:is>
      </x:c>
      <x:c r="H224" s="20" t="inlineStr">
        <x:is>
          <x:t xml:space="preserve">NO</x:t>
        </x:is>
      </x:c>
      <x:c r="I224" s="20" t="inlineStr">
        <x:is>
          <x:t xml:space="preserve"/>
        </x:is>
      </x:c>
      <x:c r="J224" s="20" t="inlineStr">
        <x:is>
          <x:t xml:space="preserve">NO</x:t>
        </x:is>
      </x:c>
      <x:c r="K224" s="20" t="inlineStr">
        <x:is>
          <x:t xml:space="preserve"/>
        </x:is>
      </x:c>
      <x:c r="L224" s="20" t="inlineStr">
        <x:is>
          <x:t xml:space="preserve"/>
        </x:is>
      </x:c>
      <x:c r="M224" s="20" t="inlineStr">
        <x:is>
          <x:t xml:space="preserve"/>
        </x:is>
      </x:c>
      <x:c r="N224" s="20" t="inlineStr">
        <x:is>
          <x:t xml:space="preserve"/>
        </x:is>
      </x:c>
      <x:c r="O224" s="20" t="inlineStr">
        <x:is>
          <x:t xml:space="preserve"/>
        </x:is>
      </x:c>
      <x:c r="P224" s="20" t="inlineStr">
        <x:is>
          <x:t xml:space="preserve"/>
        </x:is>
      </x:c>
      <x:c r="Q224" s="20" t="inlineStr">
        <x:is>
          <x:t xml:space="preserve">https://www.fldoe.org/file/18534/SchoolGrades25.xlsx</x:t>
        </x:is>
      </x:c>
      <x:c r="R224" s="20" t="inlineStr">
        <x:is>
          <x:t xml:space="preserve">School type code 01; Title I=YES; Alternative/ESE=N; coordinates pending NCES/district GIS pull.</x:t>
        </x:is>
      </x:c>
    </x:row>
    <x:row r="225">
      <x:c r="A225" s="20" t="inlineStr">
        <x:is>
          <x:t xml:space="preserve">POLK</x:t>
        </x:is>
      </x:c>
      <x:c r="B225" s="20" t="inlineStr">
        <x:is>
          <x:t xml:space="preserve">POLK</x:t>
        </x:is>
      </x:c>
      <x:c r="C225" s="20" t="inlineStr">
        <x:is>
          <x:t xml:space="preserve">531791</x:t>
        </x:is>
      </x:c>
      <x:c r="D225" s="20" t="inlineStr">
        <x:is>
          <x:t xml:space="preserve"/>
        </x:is>
      </x:c>
      <x:c r="E225" s="20" t="inlineStr">
        <x:is>
          <x:t xml:space="preserve">HAINES CITY SENIOR HIGH SCHOOL</x:t>
        </x:is>
      </x:c>
      <x:c r="F225" s="20" t="inlineStr">
        <x:is>
          <x:t xml:space="preserve">Senior High</x:t>
        </x:is>
      </x:c>
      <x:c r="G225" s="20" t="inlineStr">
        <x:is>
          <x:t xml:space="preserve">YES</x:t>
        </x:is>
      </x:c>
      <x:c r="H225" s="20" t="inlineStr">
        <x:is>
          <x:t xml:space="preserve">NO</x:t>
        </x:is>
      </x:c>
      <x:c r="I225" s="20" t="inlineStr">
        <x:is>
          <x:t xml:space="preserve"/>
        </x:is>
      </x:c>
      <x:c r="J225" s="20" t="inlineStr">
        <x:is>
          <x:t xml:space="preserve">NO</x:t>
        </x:is>
      </x:c>
      <x:c r="K225" s="20" t="inlineStr">
        <x:is>
          <x:t xml:space="preserve"/>
        </x:is>
      </x:c>
      <x:c r="L225" s="20" t="inlineStr">
        <x:is>
          <x:t xml:space="preserve"/>
        </x:is>
      </x:c>
      <x:c r="M225" s="20" t="inlineStr">
        <x:is>
          <x:t xml:space="preserve"/>
        </x:is>
      </x:c>
      <x:c r="N225" s="20" t="inlineStr">
        <x:is>
          <x:t xml:space="preserve"/>
        </x:is>
      </x:c>
      <x:c r="O225" s="20" t="inlineStr">
        <x:is>
          <x:t xml:space="preserve"/>
        </x:is>
      </x:c>
      <x:c r="P225" s="20" t="inlineStr">
        <x:is>
          <x:t xml:space="preserve"/>
        </x:is>
      </x:c>
      <x:c r="Q225" s="20" t="inlineStr">
        <x:is>
          <x:t xml:space="preserve">https://www.fldoe.org/file/18534/SchoolGrades25.xlsx</x:t>
        </x:is>
      </x:c>
      <x:c r="R225" s="20" t="inlineStr">
        <x:is>
          <x:t xml:space="preserve">School type code 03; Title I=YES; Alternative/ESE=N; coordinates pending NCES/district GIS pull.</x:t>
        </x:is>
      </x:c>
    </x:row>
    <x:row r="226">
      <x:c r="A226" s="20" t="inlineStr">
        <x:is>
          <x:t xml:space="preserve">POLK</x:t>
        </x:is>
      </x:c>
      <x:c r="B226" s="20" t="inlineStr">
        <x:is>
          <x:t xml:space="preserve">POLK</x:t>
        </x:is>
      </x:c>
      <x:c r="C226" s="20" t="inlineStr">
        <x:is>
          <x:t xml:space="preserve">531801</x:t>
        </x:is>
      </x:c>
      <x:c r="D226" s="20" t="inlineStr">
        <x:is>
          <x:t xml:space="preserve"/>
        </x:is>
      </x:c>
      <x:c r="E226" s="20" t="inlineStr">
        <x:is>
          <x:t xml:space="preserve">FROSTPROOF MIDDLE/SENIOR HIGH</x:t>
        </x:is>
      </x:c>
      <x:c r="F226" s="20" t="inlineStr">
        <x:is>
          <x:t xml:space="preserve">Combination</x:t>
        </x:is>
      </x:c>
      <x:c r="G226" s="20" t="inlineStr">
        <x:is>
          <x:t xml:space="preserve">YES</x:t>
        </x:is>
      </x:c>
      <x:c r="H226" s="20" t="inlineStr">
        <x:is>
          <x:t xml:space="preserve">NO</x:t>
        </x:is>
      </x:c>
      <x:c r="I226" s="20" t="inlineStr">
        <x:is>
          <x:t xml:space="preserve"/>
        </x:is>
      </x:c>
      <x:c r="J226" s="20" t="inlineStr">
        <x:is>
          <x:t xml:space="preserve">NO</x:t>
        </x:is>
      </x:c>
      <x:c r="K226" s="20" t="inlineStr">
        <x:is>
          <x:t xml:space="preserve"/>
        </x:is>
      </x:c>
      <x:c r="L226" s="20" t="inlineStr">
        <x:is>
          <x:t xml:space="preserve"/>
        </x:is>
      </x:c>
      <x:c r="M226" s="20" t="inlineStr">
        <x:is>
          <x:t xml:space="preserve"/>
        </x:is>
      </x:c>
      <x:c r="N226" s="20" t="inlineStr">
        <x:is>
          <x:t xml:space="preserve"/>
        </x:is>
      </x:c>
      <x:c r="O226" s="20" t="inlineStr">
        <x:is>
          <x:t xml:space="preserve"/>
        </x:is>
      </x:c>
      <x:c r="P226" s="20" t="inlineStr">
        <x:is>
          <x:t xml:space="preserve"/>
        </x:is>
      </x:c>
      <x:c r="Q226" s="20" t="inlineStr">
        <x:is>
          <x:t xml:space="preserve">https://www.fldoe.org/file/18534/SchoolGrades25.xlsx</x:t>
        </x:is>
      </x:c>
      <x:c r="R226" s="20" t="inlineStr">
        <x:is>
          <x:t xml:space="preserve">School type code 04; Title I=YES; Alternative/ESE=N; coordinates pending NCES/district GIS pull.</x:t>
        </x:is>
      </x:c>
    </x:row>
    <x:row r="227">
      <x:c r="A227" s="20" t="inlineStr">
        <x:is>
          <x:t xml:space="preserve">POLK</x:t>
        </x:is>
      </x:c>
      <x:c r="B227" s="20" t="inlineStr">
        <x:is>
          <x:t xml:space="preserve">POLK</x:t>
        </x:is>
      </x:c>
      <x:c r="C227" s="20" t="inlineStr">
        <x:is>
          <x:t xml:space="preserve">531811</x:t>
        </x:is>
      </x:c>
      <x:c r="D227" s="20" t="inlineStr">
        <x:is>
          <x:t xml:space="preserve"/>
        </x:is>
      </x:c>
      <x:c r="E227" s="20" t="inlineStr">
        <x:is>
          <x:t xml:space="preserve">CLARENCE BOSWELL ELEMENTARY SCHOOL</x:t>
        </x:is>
      </x:c>
      <x:c r="F227" s="20" t="inlineStr">
        <x:is>
          <x:t xml:space="preserve">Elementary</x:t>
        </x:is>
      </x:c>
      <x:c r="G227" s="20" t="inlineStr">
        <x:is>
          <x:t xml:space="preserve">YES</x:t>
        </x:is>
      </x:c>
      <x:c r="H227" s="20" t="inlineStr">
        <x:is>
          <x:t xml:space="preserve">NO</x:t>
        </x:is>
      </x:c>
      <x:c r="I227" s="20" t="inlineStr">
        <x:is>
          <x:t xml:space="preserve"/>
        </x:is>
      </x:c>
      <x:c r="J227" s="20" t="inlineStr">
        <x:is>
          <x:t xml:space="preserve">NO</x:t>
        </x:is>
      </x:c>
      <x:c r="K227" s="20" t="inlineStr">
        <x:is>
          <x:t xml:space="preserve"/>
        </x:is>
      </x:c>
      <x:c r="L227" s="20" t="inlineStr">
        <x:is>
          <x:t xml:space="preserve"/>
        </x:is>
      </x:c>
      <x:c r="M227" s="20" t="inlineStr">
        <x:is>
          <x:t xml:space="preserve"/>
        </x:is>
      </x:c>
      <x:c r="N227" s="20" t="inlineStr">
        <x:is>
          <x:t xml:space="preserve"/>
        </x:is>
      </x:c>
      <x:c r="O227" s="20" t="inlineStr">
        <x:is>
          <x:t xml:space="preserve"/>
        </x:is>
      </x:c>
      <x:c r="P227" s="20" t="inlineStr">
        <x:is>
          <x:t xml:space="preserve"/>
        </x:is>
      </x:c>
      <x:c r="Q227" s="20" t="inlineStr">
        <x:is>
          <x:t xml:space="preserve">https://www.fldoe.org/file/18534/SchoolGrades25.xlsx</x:t>
        </x:is>
      </x:c>
      <x:c r="R227" s="20" t="inlineStr">
        <x:is>
          <x:t xml:space="preserve">School type code 01; Title I=YES; Alternative/ESE=N; coordinates pending NCES/district GIS pull.</x:t>
        </x:is>
      </x:c>
    </x:row>
    <x:row r="228">
      <x:c r="A228" s="20" t="inlineStr">
        <x:is>
          <x:t xml:space="preserve">POLK</x:t>
        </x:is>
      </x:c>
      <x:c r="B228" s="20" t="inlineStr">
        <x:is>
          <x:t xml:space="preserve">POLK</x:t>
        </x:is>
      </x:c>
      <x:c r="C228" s="20" t="inlineStr">
        <x:is>
          <x:t xml:space="preserve">531821</x:t>
        </x:is>
      </x:c>
      <x:c r="D228" s="20" t="inlineStr">
        <x:is>
          <x:t xml:space="preserve"/>
        </x:is>
      </x:c>
      <x:c r="E228" s="20" t="inlineStr">
        <x:is>
          <x:t xml:space="preserve">JAMES W. SIKES ELEMENTARY SCHOOL</x:t>
        </x:is>
      </x:c>
      <x:c r="F228" s="20" t="inlineStr">
        <x:is>
          <x:t xml:space="preserve">Elementary</x:t>
        </x:is>
      </x:c>
      <x:c r="G228" s="20" t="inlineStr">
        <x:is>
          <x:t xml:space="preserve">YES</x:t>
        </x:is>
      </x:c>
      <x:c r="H228" s="20" t="inlineStr">
        <x:is>
          <x:t xml:space="preserve">NO</x:t>
        </x:is>
      </x:c>
      <x:c r="I228" s="20" t="inlineStr">
        <x:is>
          <x:t xml:space="preserve"/>
        </x:is>
      </x:c>
      <x:c r="J228" s="20" t="inlineStr">
        <x:is>
          <x:t xml:space="preserve">NO</x:t>
        </x:is>
      </x:c>
      <x:c r="K228" s="20" t="inlineStr">
        <x:is>
          <x:t xml:space="preserve"/>
        </x:is>
      </x:c>
      <x:c r="L228" s="20" t="inlineStr">
        <x:is>
          <x:t xml:space="preserve"/>
        </x:is>
      </x:c>
      <x:c r="M228" s="20" t="inlineStr">
        <x:is>
          <x:t xml:space="preserve"/>
        </x:is>
      </x:c>
      <x:c r="N228" s="20" t="inlineStr">
        <x:is>
          <x:t xml:space="preserve"/>
        </x:is>
      </x:c>
      <x:c r="O228" s="20" t="inlineStr">
        <x:is>
          <x:t xml:space="preserve"/>
        </x:is>
      </x:c>
      <x:c r="P228" s="20" t="inlineStr">
        <x:is>
          <x:t xml:space="preserve"/>
        </x:is>
      </x:c>
      <x:c r="Q228" s="20" t="inlineStr">
        <x:is>
          <x:t xml:space="preserve">https://www.fldoe.org/file/18534/SchoolGrades25.xlsx</x:t>
        </x:is>
      </x:c>
      <x:c r="R228" s="20" t="inlineStr">
        <x:is>
          <x:t xml:space="preserve">School type code 01; Title I=YES; Alternative/ESE=N; coordinates pending NCES/district GIS pull.</x:t>
        </x:is>
      </x:c>
    </x:row>
    <x:row r="229">
      <x:c r="A229" s="20" t="inlineStr">
        <x:is>
          <x:t xml:space="preserve">POLK</x:t>
        </x:is>
      </x:c>
      <x:c r="B229" s="20" t="inlineStr">
        <x:is>
          <x:t xml:space="preserve">POLK</x:t>
        </x:is>
      </x:c>
      <x:c r="C229" s="20" t="inlineStr">
        <x:is>
          <x:t xml:space="preserve">531831</x:t>
        </x:is>
      </x:c>
      <x:c r="D229" s="20" t="inlineStr">
        <x:is>
          <x:t xml:space="preserve"/>
        </x:is>
      </x:c>
      <x:c r="E229" s="20" t="inlineStr">
        <x:is>
          <x:t xml:space="preserve">LAKE MARION CREEK MIDDLE SCHOOL</x:t>
        </x:is>
      </x:c>
      <x:c r="F229" s="20" t="inlineStr">
        <x:is>
          <x:t xml:space="preserve">Middle/Junior</x:t>
        </x:is>
      </x:c>
      <x:c r="G229" s="20" t="inlineStr">
        <x:is>
          <x:t xml:space="preserve">YES</x:t>
        </x:is>
      </x:c>
      <x:c r="H229" s="20" t="inlineStr">
        <x:is>
          <x:t xml:space="preserve">NO</x:t>
        </x:is>
      </x:c>
      <x:c r="I229" s="20" t="inlineStr">
        <x:is>
          <x:t xml:space="preserve"/>
        </x:is>
      </x:c>
      <x:c r="J229" s="20" t="inlineStr">
        <x:is>
          <x:t xml:space="preserve">NO</x:t>
        </x:is>
      </x:c>
      <x:c r="K229" s="20" t="inlineStr">
        <x:is>
          <x:t xml:space="preserve"/>
        </x:is>
      </x:c>
      <x:c r="L229" s="20" t="inlineStr">
        <x:is>
          <x:t xml:space="preserve"/>
        </x:is>
      </x:c>
      <x:c r="M229" s="20" t="inlineStr">
        <x:is>
          <x:t xml:space="preserve"/>
        </x:is>
      </x:c>
      <x:c r="N229" s="20" t="inlineStr">
        <x:is>
          <x:t xml:space="preserve"/>
        </x:is>
      </x:c>
      <x:c r="O229" s="20" t="inlineStr">
        <x:is>
          <x:t xml:space="preserve"/>
        </x:is>
      </x:c>
      <x:c r="P229" s="20" t="inlineStr">
        <x:is>
          <x:t xml:space="preserve"/>
        </x:is>
      </x:c>
      <x:c r="Q229" s="20" t="inlineStr">
        <x:is>
          <x:t xml:space="preserve">https://www.fldoe.org/file/18534/SchoolGrades25.xlsx</x:t>
        </x:is>
      </x:c>
      <x:c r="R229" s="20" t="inlineStr">
        <x:is>
          <x:t xml:space="preserve">School type code 02; Title I=YES; Alternative/ESE=N; coordinates pending NCES/district GIS pull.</x:t>
        </x:is>
      </x:c>
    </x:row>
    <x:row r="230">
      <x:c r="A230" s="20" t="inlineStr">
        <x:is>
          <x:t xml:space="preserve">POLK</x:t>
        </x:is>
      </x:c>
      <x:c r="B230" s="20" t="inlineStr">
        <x:is>
          <x:t xml:space="preserve">POLK</x:t>
        </x:is>
      </x:c>
      <x:c r="C230" s="20" t="inlineStr">
        <x:is>
          <x:t xml:space="preserve">531841</x:t>
        </x:is>
      </x:c>
      <x:c r="D230" s="20" t="inlineStr">
        <x:is>
          <x:t xml:space="preserve"/>
        </x:is>
      </x:c>
      <x:c r="E230" s="20" t="inlineStr">
        <x:is>
          <x:t xml:space="preserve">R. CLEM CHURCHWELL ELEMENTARY SCHOOL</x:t>
        </x:is>
      </x:c>
      <x:c r="F230" s="20" t="inlineStr">
        <x:is>
          <x:t xml:space="preserve">Elementary</x:t>
        </x:is>
      </x:c>
      <x:c r="G230" s="20" t="inlineStr">
        <x:is>
          <x:t xml:space="preserve">YES</x:t>
        </x:is>
      </x:c>
      <x:c r="H230" s="20" t="inlineStr">
        <x:is>
          <x:t xml:space="preserve">NO</x:t>
        </x:is>
      </x:c>
      <x:c r="I230" s="20" t="inlineStr">
        <x:is>
          <x:t xml:space="preserve"/>
        </x:is>
      </x:c>
      <x:c r="J230" s="20" t="inlineStr">
        <x:is>
          <x:t xml:space="preserve">NO</x:t>
        </x:is>
      </x:c>
      <x:c r="K230" s="20" t="inlineStr">
        <x:is>
          <x:t xml:space="preserve"/>
        </x:is>
      </x:c>
      <x:c r="L230" s="20" t="inlineStr">
        <x:is>
          <x:t xml:space="preserve"/>
        </x:is>
      </x:c>
      <x:c r="M230" s="20" t="inlineStr">
        <x:is>
          <x:t xml:space="preserve"/>
        </x:is>
      </x:c>
      <x:c r="N230" s="20" t="inlineStr">
        <x:is>
          <x:t xml:space="preserve"/>
        </x:is>
      </x:c>
      <x:c r="O230" s="20" t="inlineStr">
        <x:is>
          <x:t xml:space="preserve"/>
        </x:is>
      </x:c>
      <x:c r="P230" s="20" t="inlineStr">
        <x:is>
          <x:t xml:space="preserve"/>
        </x:is>
      </x:c>
      <x:c r="Q230" s="20" t="inlineStr">
        <x:is>
          <x:t xml:space="preserve">https://www.fldoe.org/file/18534/SchoolGrades25.xlsx</x:t>
        </x:is>
      </x:c>
      <x:c r="R230" s="20" t="inlineStr">
        <x:is>
          <x:t xml:space="preserve">School type code 01; Title I=YES; Alternative/ESE=N; coordinates pending NCES/district GIS pull.</x:t>
        </x:is>
      </x:c>
    </x:row>
    <x:row r="231">
      <x:c r="A231" s="20" t="inlineStr">
        <x:is>
          <x:t xml:space="preserve">POLK</x:t>
        </x:is>
      </x:c>
      <x:c r="B231" s="20" t="inlineStr">
        <x:is>
          <x:t xml:space="preserve">POLK</x:t>
        </x:is>
      </x:c>
      <x:c r="C231" s="20" t="inlineStr">
        <x:is>
          <x:t xml:space="preserve">531851</x:t>
        </x:is>
      </x:c>
      <x:c r="D231" s="20" t="inlineStr">
        <x:is>
          <x:t xml:space="preserve"/>
        </x:is>
      </x:c>
      <x:c r="E231" s="20" t="inlineStr">
        <x:is>
          <x:t xml:space="preserve">DR. NE ROBERTS ELEMENTARY SCHOOL</x:t>
        </x:is>
      </x:c>
      <x:c r="F231" s="20" t="inlineStr">
        <x:is>
          <x:t xml:space="preserve">Elementary</x:t>
        </x:is>
      </x:c>
      <x:c r="G231" s="20" t="inlineStr">
        <x:is>
          <x:t xml:space="preserve">YES</x:t>
        </x:is>
      </x:c>
      <x:c r="H231" s="20" t="inlineStr">
        <x:is>
          <x:t xml:space="preserve">NO</x:t>
        </x:is>
      </x:c>
      <x:c r="I231" s="20" t="inlineStr">
        <x:is>
          <x:t xml:space="preserve"/>
        </x:is>
      </x:c>
      <x:c r="J231" s="20" t="inlineStr">
        <x:is>
          <x:t xml:space="preserve">NO</x:t>
        </x:is>
      </x:c>
      <x:c r="K231" s="20" t="inlineStr">
        <x:is>
          <x:t xml:space="preserve"/>
        </x:is>
      </x:c>
      <x:c r="L231" s="20" t="inlineStr">
        <x:is>
          <x:t xml:space="preserve"/>
        </x:is>
      </x:c>
      <x:c r="M231" s="20" t="inlineStr">
        <x:is>
          <x:t xml:space="preserve"/>
        </x:is>
      </x:c>
      <x:c r="N231" s="20" t="inlineStr">
        <x:is>
          <x:t xml:space="preserve"/>
        </x:is>
      </x:c>
      <x:c r="O231" s="20" t="inlineStr">
        <x:is>
          <x:t xml:space="preserve"/>
        </x:is>
      </x:c>
      <x:c r="P231" s="20" t="inlineStr">
        <x:is>
          <x:t xml:space="preserve"/>
        </x:is>
      </x:c>
      <x:c r="Q231" s="20" t="inlineStr">
        <x:is>
          <x:t xml:space="preserve">https://www.fldoe.org/file/18534/SchoolGrades25.xlsx</x:t>
        </x:is>
      </x:c>
      <x:c r="R231" s="20" t="inlineStr">
        <x:is>
          <x:t xml:space="preserve">School type code 01; Title I=YES; Alternative/ESE=N; coordinates pending NCES/district GIS pull.</x:t>
        </x:is>
      </x:c>
    </x:row>
    <x:row r="232">
      <x:c r="A232" s="20" t="inlineStr">
        <x:is>
          <x:t xml:space="preserve">POLK</x:t>
        </x:is>
      </x:c>
      <x:c r="B232" s="20" t="inlineStr">
        <x:is>
          <x:t xml:space="preserve">POLK</x:t>
        </x:is>
      </x:c>
      <x:c r="C232" s="20" t="inlineStr">
        <x:is>
          <x:t xml:space="preserve">531861</x:t>
        </x:is>
      </x:c>
      <x:c r="D232" s="20" t="inlineStr">
        <x:is>
          <x:t xml:space="preserve"/>
        </x:is>
      </x:c>
      <x:c r="E232" s="20" t="inlineStr">
        <x:is>
          <x:t xml:space="preserve">ROSABELLE W. BLAKE ACADEMY</x:t>
        </x:is>
      </x:c>
      <x:c r="F232" s="20" t="inlineStr">
        <x:is>
          <x:t xml:space="preserve">Combination</x:t>
        </x:is>
      </x:c>
      <x:c r="G232" s="20" t="inlineStr">
        <x:is>
          <x:t xml:space="preserve">YES</x:t>
        </x:is>
      </x:c>
      <x:c r="H232" s="20" t="inlineStr">
        <x:is>
          <x:t xml:space="preserve">NO</x:t>
        </x:is>
      </x:c>
      <x:c r="I232" s="20" t="inlineStr">
        <x:is>
          <x:t xml:space="preserve"/>
        </x:is>
      </x:c>
      <x:c r="J232" s="20" t="inlineStr">
        <x:is>
          <x:t xml:space="preserve">NO</x:t>
        </x:is>
      </x:c>
      <x:c r="K232" s="20" t="inlineStr">
        <x:is>
          <x:t xml:space="preserve"/>
        </x:is>
      </x:c>
      <x:c r="L232" s="20" t="inlineStr">
        <x:is>
          <x:t xml:space="preserve"/>
        </x:is>
      </x:c>
      <x:c r="M232" s="20" t="inlineStr">
        <x:is>
          <x:t xml:space="preserve"/>
        </x:is>
      </x:c>
      <x:c r="N232" s="20" t="inlineStr">
        <x:is>
          <x:t xml:space="preserve"/>
        </x:is>
      </x:c>
      <x:c r="O232" s="20" t="inlineStr">
        <x:is>
          <x:t xml:space="preserve"/>
        </x:is>
      </x:c>
      <x:c r="P232" s="20" t="inlineStr">
        <x:is>
          <x:t xml:space="preserve"/>
        </x:is>
      </x:c>
      <x:c r="Q232" s="20" t="inlineStr">
        <x:is>
          <x:t xml:space="preserve">https://www.fldoe.org/file/18534/SchoolGrades25.xlsx</x:t>
        </x:is>
      </x:c>
      <x:c r="R232" s="20" t="inlineStr">
        <x:is>
          <x:t xml:space="preserve">School type code 04; Title I=YES; Alternative/ESE=N; coordinates pending NCES/district GIS pull.</x:t>
        </x:is>
      </x:c>
    </x:row>
    <x:row r="233">
      <x:c r="A233" s="20" t="inlineStr">
        <x:is>
          <x:t xml:space="preserve">POLK</x:t>
        </x:is>
      </x:c>
      <x:c r="B233" s="20" t="inlineStr">
        <x:is>
          <x:t xml:space="preserve">POLK</x:t>
        </x:is>
      </x:c>
      <x:c r="C233" s="20" t="inlineStr">
        <x:is>
          <x:t xml:space="preserve">531881</x:t>
        </x:is>
      </x:c>
      <x:c r="D233" s="20" t="inlineStr">
        <x:is>
          <x:t xml:space="preserve"/>
        </x:is>
      </x:c>
      <x:c r="E233" s="20" t="inlineStr">
        <x:is>
          <x:t xml:space="preserve">WENDELL WATSON ELEMENTARY SCHOOL</x:t>
        </x:is>
      </x:c>
      <x:c r="F233" s="20" t="inlineStr">
        <x:is>
          <x:t xml:space="preserve">Elementary</x:t>
        </x:is>
      </x:c>
      <x:c r="G233" s="20" t="inlineStr">
        <x:is>
          <x:t xml:space="preserve">YES</x:t>
        </x:is>
      </x:c>
      <x:c r="H233" s="20" t="inlineStr">
        <x:is>
          <x:t xml:space="preserve">NO</x:t>
        </x:is>
      </x:c>
      <x:c r="I233" s="20" t="inlineStr">
        <x:is>
          <x:t xml:space="preserve"/>
        </x:is>
      </x:c>
      <x:c r="J233" s="20" t="inlineStr">
        <x:is>
          <x:t xml:space="preserve">NO</x:t>
        </x:is>
      </x:c>
      <x:c r="K233" s="20" t="inlineStr">
        <x:is>
          <x:t xml:space="preserve"/>
        </x:is>
      </x:c>
      <x:c r="L233" s="20" t="inlineStr">
        <x:is>
          <x:t xml:space="preserve"/>
        </x:is>
      </x:c>
      <x:c r="M233" s="20" t="inlineStr">
        <x:is>
          <x:t xml:space="preserve"/>
        </x:is>
      </x:c>
      <x:c r="N233" s="20" t="inlineStr">
        <x:is>
          <x:t xml:space="preserve"/>
        </x:is>
      </x:c>
      <x:c r="O233" s="20" t="inlineStr">
        <x:is>
          <x:t xml:space="preserve"/>
        </x:is>
      </x:c>
      <x:c r="P233" s="20" t="inlineStr">
        <x:is>
          <x:t xml:space="preserve"/>
        </x:is>
      </x:c>
      <x:c r="Q233" s="20" t="inlineStr">
        <x:is>
          <x:t xml:space="preserve">https://www.fldoe.org/file/18534/SchoolGrades25.xlsx</x:t>
        </x:is>
      </x:c>
      <x:c r="R233" s="20" t="inlineStr">
        <x:is>
          <x:t xml:space="preserve">School type code 01; Title I=YES; Alternative/ESE=N; coordinates pending NCES/district GIS pull.</x:t>
        </x:is>
      </x:c>
    </x:row>
    <x:row r="234">
      <x:c r="A234" s="20" t="inlineStr">
        <x:is>
          <x:t xml:space="preserve">POLK</x:t>
        </x:is>
      </x:c>
      <x:c r="B234" s="20" t="inlineStr">
        <x:is>
          <x:t xml:space="preserve">POLK</x:t>
        </x:is>
      </x:c>
      <x:c r="C234" s="20" t="inlineStr">
        <x:is>
          <x:t xml:space="preserve">531891</x:t>
        </x:is>
      </x:c>
      <x:c r="D234" s="20" t="inlineStr">
        <x:is>
          <x:t xml:space="preserve"/>
        </x:is>
      </x:c>
      <x:c r="E234" s="20" t="inlineStr">
        <x:is>
          <x:t xml:space="preserve">VALLEYVIEW ELEMENTARY SCHOOL</x:t>
        </x:is>
      </x:c>
      <x:c r="F234" s="20" t="inlineStr">
        <x:is>
          <x:t xml:space="preserve">Elementary</x:t>
        </x:is>
      </x:c>
      <x:c r="G234" s="20" t="inlineStr">
        <x:is>
          <x:t xml:space="preserve">YES</x:t>
        </x:is>
      </x:c>
      <x:c r="H234" s="20" t="inlineStr">
        <x:is>
          <x:t xml:space="preserve">NO</x:t>
        </x:is>
      </x:c>
      <x:c r="I234" s="20" t="inlineStr">
        <x:is>
          <x:t xml:space="preserve"/>
        </x:is>
      </x:c>
      <x:c r="J234" s="20" t="inlineStr">
        <x:is>
          <x:t xml:space="preserve">NO</x:t>
        </x:is>
      </x:c>
      <x:c r="K234" s="20" t="inlineStr">
        <x:is>
          <x:t xml:space="preserve"/>
        </x:is>
      </x:c>
      <x:c r="L234" s="20" t="inlineStr">
        <x:is>
          <x:t xml:space="preserve"/>
        </x:is>
      </x:c>
      <x:c r="M234" s="20" t="inlineStr">
        <x:is>
          <x:t xml:space="preserve"/>
        </x:is>
      </x:c>
      <x:c r="N234" s="20" t="inlineStr">
        <x:is>
          <x:t xml:space="preserve"/>
        </x:is>
      </x:c>
      <x:c r="O234" s="20" t="inlineStr">
        <x:is>
          <x:t xml:space="preserve"/>
        </x:is>
      </x:c>
      <x:c r="P234" s="20" t="inlineStr">
        <x:is>
          <x:t xml:space="preserve"/>
        </x:is>
      </x:c>
      <x:c r="Q234" s="20" t="inlineStr">
        <x:is>
          <x:t xml:space="preserve">https://www.fldoe.org/file/18534/SchoolGrades25.xlsx</x:t>
        </x:is>
      </x:c>
      <x:c r="R234" s="20" t="inlineStr">
        <x:is>
          <x:t xml:space="preserve">School type code 01; Title I=NO; Alternative/ESE=N; coordinates pending NCES/district GIS pull.</x:t>
        </x:is>
      </x:c>
    </x:row>
    <x:row r="235">
      <x:c r="A235" s="20" t="inlineStr">
        <x:is>
          <x:t xml:space="preserve">POLK</x:t>
        </x:is>
      </x:c>
      <x:c r="B235" s="20" t="inlineStr">
        <x:is>
          <x:t xml:space="preserve">POLK</x:t>
        </x:is>
      </x:c>
      <x:c r="C235" s="20" t="inlineStr">
        <x:is>
          <x:t xml:space="preserve">531901</x:t>
        </x:is>
      </x:c>
      <x:c r="D235" s="20" t="inlineStr">
        <x:is>
          <x:t xml:space="preserve"/>
        </x:is>
      </x:c>
      <x:c r="E235" s="20" t="inlineStr">
        <x:is>
          <x:t xml:space="preserve">SOCRUM ELEMENTARY SCHOOL</x:t>
        </x:is>
      </x:c>
      <x:c r="F235" s="20" t="inlineStr">
        <x:is>
          <x:t xml:space="preserve">Elementary</x:t>
        </x:is>
      </x:c>
      <x:c r="G235" s="20" t="inlineStr">
        <x:is>
          <x:t xml:space="preserve">YES</x:t>
        </x:is>
      </x:c>
      <x:c r="H235" s="20" t="inlineStr">
        <x:is>
          <x:t xml:space="preserve">NO</x:t>
        </x:is>
      </x:c>
      <x:c r="I235" s="20" t="inlineStr">
        <x:is>
          <x:t xml:space="preserve"/>
        </x:is>
      </x:c>
      <x:c r="J235" s="20" t="inlineStr">
        <x:is>
          <x:t xml:space="preserve">NO</x:t>
        </x:is>
      </x:c>
      <x:c r="K235" s="20" t="inlineStr">
        <x:is>
          <x:t xml:space="preserve"/>
        </x:is>
      </x:c>
      <x:c r="L235" s="20" t="inlineStr">
        <x:is>
          <x:t xml:space="preserve"/>
        </x:is>
      </x:c>
      <x:c r="M235" s="20" t="inlineStr">
        <x:is>
          <x:t xml:space="preserve"/>
        </x:is>
      </x:c>
      <x:c r="N235" s="20" t="inlineStr">
        <x:is>
          <x:t xml:space="preserve"/>
        </x:is>
      </x:c>
      <x:c r="O235" s="20" t="inlineStr">
        <x:is>
          <x:t xml:space="preserve"/>
        </x:is>
      </x:c>
      <x:c r="P235" s="20" t="inlineStr">
        <x:is>
          <x:t xml:space="preserve"/>
        </x:is>
      </x:c>
      <x:c r="Q235" s="20" t="inlineStr">
        <x:is>
          <x:t xml:space="preserve">https://www.fldoe.org/file/18534/SchoolGrades25.xlsx</x:t>
        </x:is>
      </x:c>
      <x:c r="R235" s="20" t="inlineStr">
        <x:is>
          <x:t xml:space="preserve">School type code 01; Title I=YES; Alternative/ESE=N; coordinates pending NCES/district GIS pull.</x:t>
        </x:is>
      </x:c>
    </x:row>
    <x:row r="236">
      <x:c r="A236" s="20" t="inlineStr">
        <x:is>
          <x:t xml:space="preserve">POLK</x:t>
        </x:is>
      </x:c>
      <x:c r="B236" s="20" t="inlineStr">
        <x:is>
          <x:t xml:space="preserve">POLK</x:t>
        </x:is>
      </x:c>
      <x:c r="C236" s="20" t="inlineStr">
        <x:is>
          <x:t xml:space="preserve">531908</x:t>
        </x:is>
      </x:c>
      <x:c r="D236" s="20" t="inlineStr">
        <x:is>
          <x:t xml:space="preserve"/>
        </x:is>
      </x:c>
      <x:c r="E236" s="20" t="inlineStr">
        <x:is>
          <x:t xml:space="preserve">SPESSARD L HOLLAND ELEMENTARY</x:t>
        </x:is>
      </x:c>
      <x:c r="F236" s="20" t="inlineStr">
        <x:is>
          <x:t xml:space="preserve">Elementary</x:t>
        </x:is>
      </x:c>
      <x:c r="G236" s="20" t="inlineStr">
        <x:is>
          <x:t xml:space="preserve">YES</x:t>
        </x:is>
      </x:c>
      <x:c r="H236" s="20" t="inlineStr">
        <x:is>
          <x:t xml:space="preserve">NO</x:t>
        </x:is>
      </x:c>
      <x:c r="I236" s="20" t="inlineStr">
        <x:is>
          <x:t xml:space="preserve"/>
        </x:is>
      </x:c>
      <x:c r="J236" s="20" t="inlineStr">
        <x:is>
          <x:t xml:space="preserve">NO</x:t>
        </x:is>
      </x:c>
      <x:c r="K236" s="20" t="inlineStr">
        <x:is>
          <x:t xml:space="preserve"/>
        </x:is>
      </x:c>
      <x:c r="L236" s="20" t="inlineStr">
        <x:is>
          <x:t xml:space="preserve"/>
        </x:is>
      </x:c>
      <x:c r="M236" s="20" t="inlineStr">
        <x:is>
          <x:t xml:space="preserve"/>
        </x:is>
      </x:c>
      <x:c r="N236" s="20" t="inlineStr">
        <x:is>
          <x:t xml:space="preserve"/>
        </x:is>
      </x:c>
      <x:c r="O236" s="20" t="inlineStr">
        <x:is>
          <x:t xml:space="preserve"/>
        </x:is>
      </x:c>
      <x:c r="P236" s="20" t="inlineStr">
        <x:is>
          <x:t xml:space="preserve"/>
        </x:is>
      </x:c>
      <x:c r="Q236" s="20" t="inlineStr">
        <x:is>
          <x:t xml:space="preserve">https://www.fldoe.org/file/18534/SchoolGrades25.xlsx</x:t>
        </x:is>
      </x:c>
      <x:c r="R236" s="20" t="inlineStr">
        <x:is>
          <x:t xml:space="preserve">School type code 01; Title I=YES; Alternative/ESE=N; coordinates pending NCES/district GIS pull.</x:t>
        </x:is>
      </x:c>
    </x:row>
    <x:row r="237">
      <x:c r="A237" s="20" t="inlineStr">
        <x:is>
          <x:t xml:space="preserve">POLK</x:t>
        </x:is>
      </x:c>
      <x:c r="B237" s="20" t="inlineStr">
        <x:is>
          <x:t xml:space="preserve">POLK</x:t>
        </x:is>
      </x:c>
      <x:c r="C237" s="20" t="inlineStr">
        <x:is>
          <x:t xml:space="preserve">531921</x:t>
        </x:is>
      </x:c>
      <x:c r="D237" s="20" t="inlineStr">
        <x:is>
          <x:t xml:space="preserve"/>
        </x:is>
      </x:c>
      <x:c r="E237" s="20" t="inlineStr">
        <x:is>
          <x:t xml:space="preserve">FROSTPROOF BEN HILL GRIFFIN, JR ELEMENTARY SCHOOL</x:t>
        </x:is>
      </x:c>
      <x:c r="F237" s="20" t="inlineStr">
        <x:is>
          <x:t xml:space="preserve">Elementary</x:t>
        </x:is>
      </x:c>
      <x:c r="G237" s="20" t="inlineStr">
        <x:is>
          <x:t xml:space="preserve">YES</x:t>
        </x:is>
      </x:c>
      <x:c r="H237" s="20" t="inlineStr">
        <x:is>
          <x:t xml:space="preserve">NO</x:t>
        </x:is>
      </x:c>
      <x:c r="I237" s="20" t="inlineStr">
        <x:is>
          <x:t xml:space="preserve"/>
        </x:is>
      </x:c>
      <x:c r="J237" s="20" t="inlineStr">
        <x:is>
          <x:t xml:space="preserve">NO</x:t>
        </x:is>
      </x:c>
      <x:c r="K237" s="20" t="inlineStr">
        <x:is>
          <x:t xml:space="preserve"/>
        </x:is>
      </x:c>
      <x:c r="L237" s="20" t="inlineStr">
        <x:is>
          <x:t xml:space="preserve"/>
        </x:is>
      </x:c>
      <x:c r="M237" s="20" t="inlineStr">
        <x:is>
          <x:t xml:space="preserve"/>
        </x:is>
      </x:c>
      <x:c r="N237" s="20" t="inlineStr">
        <x:is>
          <x:t xml:space="preserve"/>
        </x:is>
      </x:c>
      <x:c r="O237" s="20" t="inlineStr">
        <x:is>
          <x:t xml:space="preserve"/>
        </x:is>
      </x:c>
      <x:c r="P237" s="20" t="inlineStr">
        <x:is>
          <x:t xml:space="preserve"/>
        </x:is>
      </x:c>
      <x:c r="Q237" s="20" t="inlineStr">
        <x:is>
          <x:t xml:space="preserve">https://www.fldoe.org/file/18534/SchoolGrades25.xlsx</x:t>
        </x:is>
      </x:c>
      <x:c r="R237" s="20" t="inlineStr">
        <x:is>
          <x:t xml:space="preserve">School type code 01; Title I=YES; Alternative/ESE=N; coordinates pending NCES/district GIS pull.</x:t>
        </x:is>
      </x:c>
    </x:row>
    <x:row r="238">
      <x:c r="A238" s="20" t="inlineStr">
        <x:is>
          <x:t xml:space="preserve">POLK</x:t>
        </x:is>
      </x:c>
      <x:c r="B238" s="20" t="inlineStr">
        <x:is>
          <x:t xml:space="preserve">POLK</x:t>
        </x:is>
      </x:c>
      <x:c r="C238" s="20" t="inlineStr">
        <x:is>
          <x:t xml:space="preserve">531931</x:t>
        </x:is>
      </x:c>
      <x:c r="D238" s="20" t="inlineStr">
        <x:is>
          <x:t xml:space="preserve"/>
        </x:is>
      </x:c>
      <x:c r="E238" s="20" t="inlineStr">
        <x:is>
          <x:t xml:space="preserve">GEORGE W. JENKINS SENIOR HIGH</x:t>
        </x:is>
      </x:c>
      <x:c r="F238" s="20" t="inlineStr">
        <x:is>
          <x:t xml:space="preserve">Senior High</x:t>
        </x:is>
      </x:c>
      <x:c r="G238" s="20" t="inlineStr">
        <x:is>
          <x:t xml:space="preserve">YES</x:t>
        </x:is>
      </x:c>
      <x:c r="H238" s="20" t="inlineStr">
        <x:is>
          <x:t xml:space="preserve">NO</x:t>
        </x:is>
      </x:c>
      <x:c r="I238" s="20" t="inlineStr">
        <x:is>
          <x:t xml:space="preserve"/>
        </x:is>
      </x:c>
      <x:c r="J238" s="20" t="inlineStr">
        <x:is>
          <x:t xml:space="preserve">NO</x:t>
        </x:is>
      </x:c>
      <x:c r="K238" s="20" t="inlineStr">
        <x:is>
          <x:t xml:space="preserve"/>
        </x:is>
      </x:c>
      <x:c r="L238" s="20" t="inlineStr">
        <x:is>
          <x:t xml:space="preserve"/>
        </x:is>
      </x:c>
      <x:c r="M238" s="20" t="inlineStr">
        <x:is>
          <x:t xml:space="preserve"/>
        </x:is>
      </x:c>
      <x:c r="N238" s="20" t="inlineStr">
        <x:is>
          <x:t xml:space="preserve"/>
        </x:is>
      </x:c>
      <x:c r="O238" s="20" t="inlineStr">
        <x:is>
          <x:t xml:space="preserve"/>
        </x:is>
      </x:c>
      <x:c r="P238" s="20" t="inlineStr">
        <x:is>
          <x:t xml:space="preserve"/>
        </x:is>
      </x:c>
      <x:c r="Q238" s="20" t="inlineStr">
        <x:is>
          <x:t xml:space="preserve">https://www.fldoe.org/file/18534/SchoolGrades25.xlsx</x:t>
        </x:is>
      </x:c>
      <x:c r="R238" s="20" t="inlineStr">
        <x:is>
          <x:t xml:space="preserve">School type code 03; Title I=NO; Alternative/ESE=N; coordinates pending NCES/district GIS pull.</x:t>
        </x:is>
      </x:c>
    </x:row>
    <x:row r="239">
      <x:c r="A239" s="20" t="inlineStr">
        <x:is>
          <x:t xml:space="preserve">POLK</x:t>
        </x:is>
      </x:c>
      <x:c r="B239" s="20" t="inlineStr">
        <x:is>
          <x:t xml:space="preserve">POLK</x:t>
        </x:is>
      </x:c>
      <x:c r="C239" s="20" t="inlineStr">
        <x:is>
          <x:t xml:space="preserve">531941</x:t>
        </x:is>
      </x:c>
      <x:c r="D239" s="20" t="inlineStr">
        <x:is>
          <x:t xml:space="preserve"/>
        </x:is>
      </x:c>
      <x:c r="E239" s="20" t="inlineStr">
        <x:is>
          <x:t xml:space="preserve">LOUGHMAN OAKS ELEMENTARY SCHOOL</x:t>
        </x:is>
      </x:c>
      <x:c r="F239" s="20" t="inlineStr">
        <x:is>
          <x:t xml:space="preserve">Elementary</x:t>
        </x:is>
      </x:c>
      <x:c r="G239" s="20" t="inlineStr">
        <x:is>
          <x:t xml:space="preserve">YES</x:t>
        </x:is>
      </x:c>
      <x:c r="H239" s="20" t="inlineStr">
        <x:is>
          <x:t xml:space="preserve">NO</x:t>
        </x:is>
      </x:c>
      <x:c r="I239" s="20" t="inlineStr">
        <x:is>
          <x:t xml:space="preserve"/>
        </x:is>
      </x:c>
      <x:c r="J239" s="20" t="inlineStr">
        <x:is>
          <x:t xml:space="preserve">NO</x:t>
        </x:is>
      </x:c>
      <x:c r="K239" s="20" t="inlineStr">
        <x:is>
          <x:t xml:space="preserve"/>
        </x:is>
      </x:c>
      <x:c r="L239" s="20" t="inlineStr">
        <x:is>
          <x:t xml:space="preserve"/>
        </x:is>
      </x:c>
      <x:c r="M239" s="20" t="inlineStr">
        <x:is>
          <x:t xml:space="preserve"/>
        </x:is>
      </x:c>
      <x:c r="N239" s="20" t="inlineStr">
        <x:is>
          <x:t xml:space="preserve"/>
        </x:is>
      </x:c>
      <x:c r="O239" s="20" t="inlineStr">
        <x:is>
          <x:t xml:space="preserve"/>
        </x:is>
      </x:c>
      <x:c r="P239" s="20" t="inlineStr">
        <x:is>
          <x:t xml:space="preserve"/>
        </x:is>
      </x:c>
      <x:c r="Q239" s="20" t="inlineStr">
        <x:is>
          <x:t xml:space="preserve">https://www.fldoe.org/file/18534/SchoolGrades25.xlsx</x:t>
        </x:is>
      </x:c>
      <x:c r="R239" s="20" t="inlineStr">
        <x:is>
          <x:t xml:space="preserve">School type code 01; Title I=YES; Alternative/ESE=N; coordinates pending NCES/district GIS pull.</x:t>
        </x:is>
      </x:c>
    </x:row>
    <x:row r="240">
      <x:c r="A240" s="20" t="inlineStr">
        <x:is>
          <x:t xml:space="preserve">POLK</x:t>
        </x:is>
      </x:c>
      <x:c r="B240" s="20" t="inlineStr">
        <x:is>
          <x:t xml:space="preserve">POLK</x:t>
        </x:is>
      </x:c>
      <x:c r="C240" s="20" t="inlineStr">
        <x:is>
          <x:t xml:space="preserve">531951</x:t>
        </x:is>
      </x:c>
      <x:c r="D240" s="20" t="inlineStr">
        <x:is>
          <x:t xml:space="preserve"/>
        </x:is>
      </x:c>
      <x:c r="E240" s="20" t="inlineStr">
        <x:is>
          <x:t xml:space="preserve">BERKLEY ELEMENTARY SCHOOL</x:t>
        </x:is>
      </x:c>
      <x:c r="F240" s="20" t="inlineStr">
        <x:is>
          <x:t xml:space="preserve">Elementary</x:t>
        </x:is>
      </x:c>
      <x:c r="G240" s="20" t="inlineStr">
        <x:is>
          <x:t xml:space="preserve">NO</x:t>
        </x:is>
      </x:c>
      <x:c r="H240" s="20" t="inlineStr">
        <x:is>
          <x:t xml:space="preserve">YES</x:t>
        </x:is>
      </x:c>
      <x:c r="I240" s="20" t="inlineStr">
        <x:is>
          <x:t xml:space="preserve"/>
        </x:is>
      </x:c>
      <x:c r="J240" s="20" t="inlineStr">
        <x:is>
          <x:t xml:space="preserve">NO</x:t>
        </x:is>
      </x:c>
      <x:c r="K240" s="20" t="inlineStr">
        <x:is>
          <x:t xml:space="preserve"/>
        </x:is>
      </x:c>
      <x:c r="L240" s="20" t="inlineStr">
        <x:is>
          <x:t xml:space="preserve"/>
        </x:is>
      </x:c>
      <x:c r="M240" s="20" t="inlineStr">
        <x:is>
          <x:t xml:space="preserve"/>
        </x:is>
      </x:c>
      <x:c r="N240" s="20" t="inlineStr">
        <x:is>
          <x:t xml:space="preserve"/>
        </x:is>
      </x:c>
      <x:c r="O240" s="20" t="inlineStr">
        <x:is>
          <x:t xml:space="preserve"/>
        </x:is>
      </x:c>
      <x:c r="P240" s="20" t="inlineStr">
        <x:is>
          <x:t xml:space="preserve"/>
        </x:is>
      </x:c>
      <x:c r="Q240" s="20" t="inlineStr">
        <x:is>
          <x:t xml:space="preserve">https://www.fldoe.org/file/18534/SchoolGrades25.xlsx</x:t>
        </x:is>
      </x:c>
      <x:c r="R240" s="20" t="inlineStr">
        <x:is>
          <x:t xml:space="preserve">School type code 01; Title I=NO; Alternative/ESE=N; coordinates pending NCES/district GIS pull.</x:t>
        </x:is>
      </x:c>
    </x:row>
    <x:row r="241">
      <x:c r="A241" s="20" t="inlineStr">
        <x:is>
          <x:t xml:space="preserve">POLK</x:t>
        </x:is>
      </x:c>
      <x:c r="B241" s="20" t="inlineStr">
        <x:is>
          <x:t xml:space="preserve">POLK</x:t>
        </x:is>
      </x:c>
      <x:c r="C241" s="20" t="inlineStr">
        <x:is>
          <x:t xml:space="preserve">531961</x:t>
        </x:is>
      </x:c>
      <x:c r="D241" s="20" t="inlineStr">
        <x:is>
          <x:t xml:space="preserve"/>
        </x:is>
      </x:c>
      <x:c r="E241" s="20" t="inlineStr">
        <x:is>
          <x:t xml:space="preserve">DISCOVERY ACADEMY OF LAKE ALFRED</x:t>
        </x:is>
      </x:c>
      <x:c r="F241" s="20" t="inlineStr">
        <x:is>
          <x:t xml:space="preserve">Middle/Junior</x:t>
        </x:is>
      </x:c>
      <x:c r="G241" s="20" t="inlineStr">
        <x:is>
          <x:t xml:space="preserve">NO</x:t>
        </x:is>
      </x:c>
      <x:c r="H241" s="20" t="inlineStr">
        <x:is>
          <x:t xml:space="preserve">YES</x:t>
        </x:is>
      </x:c>
      <x:c r="I241" s="20" t="inlineStr">
        <x:is>
          <x:t xml:space="preserve"/>
        </x:is>
      </x:c>
      <x:c r="J241" s="20" t="inlineStr">
        <x:is>
          <x:t xml:space="preserve">NO</x:t>
        </x:is>
      </x:c>
      <x:c r="K241" s="20" t="inlineStr">
        <x:is>
          <x:t xml:space="preserve"/>
        </x:is>
      </x:c>
      <x:c r="L241" s="20" t="inlineStr">
        <x:is>
          <x:t xml:space="preserve"/>
        </x:is>
      </x:c>
      <x:c r="M241" s="20" t="inlineStr">
        <x:is>
          <x:t xml:space="preserve"/>
        </x:is>
      </x:c>
      <x:c r="N241" s="20" t="inlineStr">
        <x:is>
          <x:t xml:space="preserve"/>
        </x:is>
      </x:c>
      <x:c r="O241" s="20" t="inlineStr">
        <x:is>
          <x:t xml:space="preserve"/>
        </x:is>
      </x:c>
      <x:c r="P241" s="20" t="inlineStr">
        <x:is>
          <x:t xml:space="preserve"/>
        </x:is>
      </x:c>
      <x:c r="Q241" s="20" t="inlineStr">
        <x:is>
          <x:t xml:space="preserve">https://www.fldoe.org/file/18534/SchoolGrades25.xlsx</x:t>
        </x:is>
      </x:c>
      <x:c r="R241" s="20" t="inlineStr">
        <x:is>
          <x:t xml:space="preserve">School type code 02; Title I=YES; Alternative/ESE=N; coordinates pending NCES/district GIS pull.</x:t>
        </x:is>
      </x:c>
    </x:row>
    <x:row r="242">
      <x:c r="A242" s="20" t="inlineStr">
        <x:is>
          <x:t xml:space="preserve">POLK</x:t>
        </x:is>
      </x:c>
      <x:c r="B242" s="20" t="inlineStr">
        <x:is>
          <x:t xml:space="preserve">POLK</x:t>
        </x:is>
      </x:c>
      <x:c r="C242" s="20" t="inlineStr">
        <x:is>
          <x:t xml:space="preserve">531971</x:t>
        </x:is>
      </x:c>
      <x:c r="D242" s="20" t="inlineStr">
        <x:is>
          <x:t xml:space="preserve"/>
        </x:is>
      </x:c>
      <x:c r="E242" s="20" t="inlineStr">
        <x:is>
          <x:t xml:space="preserve">SLEEPY HILL MIDDLE SCHOOL</x:t>
        </x:is>
      </x:c>
      <x:c r="F242" s="20" t="inlineStr">
        <x:is>
          <x:t xml:space="preserve">Middle/Junior</x:t>
        </x:is>
      </x:c>
      <x:c r="G242" s="20" t="inlineStr">
        <x:is>
          <x:t xml:space="preserve">YES</x:t>
        </x:is>
      </x:c>
      <x:c r="H242" s="20" t="inlineStr">
        <x:is>
          <x:t xml:space="preserve">NO</x:t>
        </x:is>
      </x:c>
      <x:c r="I242" s="20" t="inlineStr">
        <x:is>
          <x:t xml:space="preserve"/>
        </x:is>
      </x:c>
      <x:c r="J242" s="20" t="inlineStr">
        <x:is>
          <x:t xml:space="preserve">NO</x:t>
        </x:is>
      </x:c>
      <x:c r="K242" s="20" t="inlineStr">
        <x:is>
          <x:t xml:space="preserve"/>
        </x:is>
      </x:c>
      <x:c r="L242" s="20" t="inlineStr">
        <x:is>
          <x:t xml:space="preserve"/>
        </x:is>
      </x:c>
      <x:c r="M242" s="20" t="inlineStr">
        <x:is>
          <x:t xml:space="preserve"/>
        </x:is>
      </x:c>
      <x:c r="N242" s="20" t="inlineStr">
        <x:is>
          <x:t xml:space="preserve"/>
        </x:is>
      </x:c>
      <x:c r="O242" s="20" t="inlineStr">
        <x:is>
          <x:t xml:space="preserve"/>
        </x:is>
      </x:c>
      <x:c r="P242" s="20" t="inlineStr">
        <x:is>
          <x:t xml:space="preserve"/>
        </x:is>
      </x:c>
      <x:c r="Q242" s="20" t="inlineStr">
        <x:is>
          <x:t xml:space="preserve">https://www.fldoe.org/file/18534/SchoolGrades25.xlsx</x:t>
        </x:is>
      </x:c>
      <x:c r="R242" s="20" t="inlineStr">
        <x:is>
          <x:t xml:space="preserve">School type code 02; Title I=YES; Alternative/ESE=N; coordinates pending NCES/district GIS pull.</x:t>
        </x:is>
      </x:c>
    </x:row>
    <x:row r="243">
      <x:c r="A243" s="20" t="inlineStr">
        <x:is>
          <x:t xml:space="preserve">POLK</x:t>
        </x:is>
      </x:c>
      <x:c r="B243" s="20" t="inlineStr">
        <x:is>
          <x:t xml:space="preserve">POLK</x:t>
        </x:is>
      </x:c>
      <x:c r="C243" s="20" t="inlineStr">
        <x:is>
          <x:t xml:space="preserve">531981</x:t>
        </x:is>
      </x:c>
      <x:c r="D243" s="20" t="inlineStr">
        <x:is>
          <x:t xml:space="preserve"/>
        </x:is>
      </x:c>
      <x:c r="E243" s="20" t="inlineStr">
        <x:is>
          <x:t xml:space="preserve">DUNDEE RIDGE MIDDLE ACADEMY</x:t>
        </x:is>
      </x:c>
      <x:c r="F243" s="20" t="inlineStr">
        <x:is>
          <x:t xml:space="preserve">Middle/Junior</x:t>
        </x:is>
      </x:c>
      <x:c r="G243" s="20" t="inlineStr">
        <x:is>
          <x:t xml:space="preserve">YES</x:t>
        </x:is>
      </x:c>
      <x:c r="H243" s="20" t="inlineStr">
        <x:is>
          <x:t xml:space="preserve">NO</x:t>
        </x:is>
      </x:c>
      <x:c r="I243" s="20" t="inlineStr">
        <x:is>
          <x:t xml:space="preserve"/>
        </x:is>
      </x:c>
      <x:c r="J243" s="20" t="inlineStr">
        <x:is>
          <x:t xml:space="preserve">NO</x:t>
        </x:is>
      </x:c>
      <x:c r="K243" s="20" t="inlineStr">
        <x:is>
          <x:t xml:space="preserve"/>
        </x:is>
      </x:c>
      <x:c r="L243" s="20" t="inlineStr">
        <x:is>
          <x:t xml:space="preserve"/>
        </x:is>
      </x:c>
      <x:c r="M243" s="20" t="inlineStr">
        <x:is>
          <x:t xml:space="preserve"/>
        </x:is>
      </x:c>
      <x:c r="N243" s="20" t="inlineStr">
        <x:is>
          <x:t xml:space="preserve"/>
        </x:is>
      </x:c>
      <x:c r="O243" s="20" t="inlineStr">
        <x:is>
          <x:t xml:space="preserve"/>
        </x:is>
      </x:c>
      <x:c r="P243" s="20" t="inlineStr">
        <x:is>
          <x:t xml:space="preserve"/>
        </x:is>
      </x:c>
      <x:c r="Q243" s="20" t="inlineStr">
        <x:is>
          <x:t xml:space="preserve">https://www.fldoe.org/file/18534/SchoolGrades25.xlsx</x:t>
        </x:is>
      </x:c>
      <x:c r="R243" s="20" t="inlineStr">
        <x:is>
          <x:t xml:space="preserve">School type code 02; Title I=YES; Alternative/ESE=N; coordinates pending NCES/district GIS pull.</x:t>
        </x:is>
      </x:c>
    </x:row>
    <x:row r="244">
      <x:c r="A244" s="20" t="inlineStr">
        <x:is>
          <x:t xml:space="preserve">POLK</x:t>
        </x:is>
      </x:c>
      <x:c r="B244" s="20" t="inlineStr">
        <x:is>
          <x:t xml:space="preserve">POLK</x:t>
        </x:is>
      </x:c>
      <x:c r="C244" s="20" t="inlineStr">
        <x:is>
          <x:t xml:space="preserve">531991</x:t>
        </x:is>
      </x:c>
      <x:c r="D244" s="20" t="inlineStr">
        <x:is>
          <x:t xml:space="preserve"/>
        </x:is>
      </x:c>
      <x:c r="E244" s="20" t="inlineStr">
        <x:is>
          <x:t xml:space="preserve">LAKE REGION HIGH SCHOOL</x:t>
        </x:is>
      </x:c>
      <x:c r="F244" s="20" t="inlineStr">
        <x:is>
          <x:t xml:space="preserve">Senior High</x:t>
        </x:is>
      </x:c>
      <x:c r="G244" s="20" t="inlineStr">
        <x:is>
          <x:t xml:space="preserve">YES</x:t>
        </x:is>
      </x:c>
      <x:c r="H244" s="20" t="inlineStr">
        <x:is>
          <x:t xml:space="preserve">NO</x:t>
        </x:is>
      </x:c>
      <x:c r="I244" s="20" t="inlineStr">
        <x:is>
          <x:t xml:space="preserve"/>
        </x:is>
      </x:c>
      <x:c r="J244" s="20" t="inlineStr">
        <x:is>
          <x:t xml:space="preserve">NO</x:t>
        </x:is>
      </x:c>
      <x:c r="K244" s="20" t="inlineStr">
        <x:is>
          <x:t xml:space="preserve"/>
        </x:is>
      </x:c>
      <x:c r="L244" s="20" t="inlineStr">
        <x:is>
          <x:t xml:space="preserve"/>
        </x:is>
      </x:c>
      <x:c r="M244" s="20" t="inlineStr">
        <x:is>
          <x:t xml:space="preserve"/>
        </x:is>
      </x:c>
      <x:c r="N244" s="20" t="inlineStr">
        <x:is>
          <x:t xml:space="preserve"/>
        </x:is>
      </x:c>
      <x:c r="O244" s="20" t="inlineStr">
        <x:is>
          <x:t xml:space="preserve"/>
        </x:is>
      </x:c>
      <x:c r="P244" s="20" t="inlineStr">
        <x:is>
          <x:t xml:space="preserve"/>
        </x:is>
      </x:c>
      <x:c r="Q244" s="20" t="inlineStr">
        <x:is>
          <x:t xml:space="preserve">https://www.fldoe.org/file/18534/SchoolGrades25.xlsx</x:t>
        </x:is>
      </x:c>
      <x:c r="R244" s="20" t="inlineStr">
        <x:is>
          <x:t xml:space="preserve">School type code 03; Title I=YES; Alternative/ESE=N; coordinates pending NCES/district GIS pull.</x:t>
        </x:is>
      </x:c>
    </x:row>
    <x:row r="245">
      <x:c r="A245" s="20" t="inlineStr">
        <x:is>
          <x:t xml:space="preserve">POLK</x:t>
        </x:is>
      </x:c>
      <x:c r="B245" s="20" t="inlineStr">
        <x:is>
          <x:t xml:space="preserve">POLK</x:t>
        </x:is>
      </x:c>
      <x:c r="C245" s="20" t="inlineStr">
        <x:is>
          <x:t xml:space="preserve">532002</x:t>
        </x:is>
      </x:c>
      <x:c r="D245" s="20" t="inlineStr">
        <x:is>
          <x:t xml:space="preserve"/>
        </x:is>
      </x:c>
      <x:c r="E245" s="20" t="inlineStr">
        <x:is>
          <x:t xml:space="preserve">DAVENPORT HIGH SCHOOL</x:t>
        </x:is>
      </x:c>
      <x:c r="F245" s="20" t="inlineStr">
        <x:is>
          <x:t xml:space="preserve">Senior High</x:t>
        </x:is>
      </x:c>
      <x:c r="G245" s="20" t="inlineStr">
        <x:is>
          <x:t xml:space="preserve">YES</x:t>
        </x:is>
      </x:c>
      <x:c r="H245" s="20" t="inlineStr">
        <x:is>
          <x:t xml:space="preserve">NO</x:t>
        </x:is>
      </x:c>
      <x:c r="I245" s="20" t="inlineStr">
        <x:is>
          <x:t xml:space="preserve"/>
        </x:is>
      </x:c>
      <x:c r="J245" s="20" t="inlineStr">
        <x:is>
          <x:t xml:space="preserve">NO</x:t>
        </x:is>
      </x:c>
      <x:c r="K245" s="20" t="inlineStr">
        <x:is>
          <x:t xml:space="preserve"/>
        </x:is>
      </x:c>
      <x:c r="L245" s="20" t="inlineStr">
        <x:is>
          <x:t xml:space="preserve"/>
        </x:is>
      </x:c>
      <x:c r="M245" s="20" t="inlineStr">
        <x:is>
          <x:t xml:space="preserve"/>
        </x:is>
      </x:c>
      <x:c r="N245" s="20" t="inlineStr">
        <x:is>
          <x:t xml:space="preserve"/>
        </x:is>
      </x:c>
      <x:c r="O245" s="20" t="inlineStr">
        <x:is>
          <x:t xml:space="preserve"/>
        </x:is>
      </x:c>
      <x:c r="P245" s="20" t="inlineStr">
        <x:is>
          <x:t xml:space="preserve"/>
        </x:is>
      </x:c>
      <x:c r="Q245" s="20" t="inlineStr">
        <x:is>
          <x:t xml:space="preserve">https://www.fldoe.org/file/18534/SchoolGrades25.xlsx</x:t>
        </x:is>
      </x:c>
      <x:c r="R245" s="20" t="inlineStr">
        <x:is>
          <x:t xml:space="preserve">School type code 03; Title I=YES; Alternative/ESE=N; coordinates pending NCES/district GIS pull.</x:t>
        </x:is>
      </x:c>
    </x:row>
    <x:row r="246">
      <x:c r="A246" s="20" t="inlineStr">
        <x:is>
          <x:t xml:space="preserve">POLK</x:t>
        </x:is>
      </x:c>
      <x:c r="B246" s="20" t="inlineStr">
        <x:is>
          <x:t xml:space="preserve">POLK</x:t>
        </x:is>
      </x:c>
      <x:c r="C246" s="20" t="inlineStr">
        <x:is>
          <x:t xml:space="preserve">532003</x:t>
        </x:is>
      </x:c>
      <x:c r="D246" s="20" t="inlineStr">
        <x:is>
          <x:t xml:space="preserve"/>
        </x:is>
      </x:c>
      <x:c r="E246" s="20" t="inlineStr">
        <x:is>
          <x:t xml:space="preserve">BELLA CITTA</x:t>
        </x:is>
      </x:c>
      <x:c r="F246" s="20" t="inlineStr">
        <x:is>
          <x:t xml:space="preserve">Combination</x:t>
        </x:is>
      </x:c>
      <x:c r="G246" s="20" t="inlineStr">
        <x:is>
          <x:t xml:space="preserve">YES</x:t>
        </x:is>
      </x:c>
      <x:c r="H246" s="20" t="inlineStr">
        <x:is>
          <x:t xml:space="preserve">NO</x:t>
        </x:is>
      </x:c>
      <x:c r="I246" s="20" t="inlineStr">
        <x:is>
          <x:t xml:space="preserve"/>
        </x:is>
      </x:c>
      <x:c r="J246" s="20" t="inlineStr">
        <x:is>
          <x:t xml:space="preserve">NO</x:t>
        </x:is>
      </x:c>
      <x:c r="K246" s="20" t="inlineStr">
        <x:is>
          <x:t xml:space="preserve"/>
        </x:is>
      </x:c>
      <x:c r="L246" s="20" t="inlineStr">
        <x:is>
          <x:t xml:space="preserve"/>
        </x:is>
      </x:c>
      <x:c r="M246" s="20" t="inlineStr">
        <x:is>
          <x:t xml:space="preserve"/>
        </x:is>
      </x:c>
      <x:c r="N246" s="20" t="inlineStr">
        <x:is>
          <x:t xml:space="preserve"/>
        </x:is>
      </x:c>
      <x:c r="O246" s="20" t="inlineStr">
        <x:is>
          <x:t xml:space="preserve"/>
        </x:is>
      </x:c>
      <x:c r="P246" s="20" t="inlineStr">
        <x:is>
          <x:t xml:space="preserve"/>
        </x:is>
      </x:c>
      <x:c r="Q246" s="20" t="inlineStr">
        <x:is>
          <x:t xml:space="preserve">https://www.fldoe.org/file/18534/SchoolGrades25.xlsx</x:t>
        </x:is>
      </x:c>
      <x:c r="R246" s="20" t="inlineStr">
        <x:is>
          <x:t xml:space="preserve">School type code 04; Title I=YES; Alternative/ESE=N; coordinates pending NCES/district GIS pull.</x:t>
        </x:is>
      </x:c>
    </x:row>
    <x:row r="247">
      <x:c r="A247" s="20" t="inlineStr">
        <x:is>
          <x:t xml:space="preserve">POLK</x:t>
        </x:is>
      </x:c>
      <x:c r="B247" s="20" t="inlineStr">
        <x:is>
          <x:t xml:space="preserve">POLK</x:t>
        </x:is>
      </x:c>
      <x:c r="C247" s="20" t="inlineStr">
        <x:is>
          <x:t xml:space="preserve">537001</x:t>
        </x:is>
      </x:c>
      <x:c r="D247" s="20" t="inlineStr">
        <x:is>
          <x:t xml:space="preserve"/>
        </x:is>
      </x:c>
      <x:c r="E247" s="20" t="inlineStr">
        <x:is>
          <x:t xml:space="preserve">K12 FLORIDA, LLC – GRADES KG-12</x:t>
        </x:is>
      </x:c>
      <x:c r="F247" s="20" t="inlineStr">
        <x:is>
          <x:t xml:space="preserve">Combination</x:t>
        </x:is>
      </x:c>
      <x:c r="G247" s="20" t="inlineStr">
        <x:is>
          <x:t xml:space="preserve">YES</x:t>
        </x:is>
      </x:c>
      <x:c r="H247" s="20" t="inlineStr">
        <x:is>
          <x:t xml:space="preserve">NO</x:t>
        </x:is>
      </x:c>
      <x:c r="I247" s="20" t="inlineStr">
        <x:is>
          <x:t xml:space="preserve"/>
        </x:is>
      </x:c>
      <x:c r="J247" s="20" t="inlineStr">
        <x:is>
          <x:t xml:space="preserve">NO</x:t>
        </x:is>
      </x:c>
      <x:c r="K247" s="20" t="inlineStr">
        <x:is>
          <x:t xml:space="preserve"/>
        </x:is>
      </x:c>
      <x:c r="L247" s="20" t="inlineStr">
        <x:is>
          <x:t xml:space="preserve"/>
        </x:is>
      </x:c>
      <x:c r="M247" s="20" t="inlineStr">
        <x:is>
          <x:t xml:space="preserve"/>
        </x:is>
      </x:c>
      <x:c r="N247" s="20" t="inlineStr">
        <x:is>
          <x:t xml:space="preserve"/>
        </x:is>
      </x:c>
      <x:c r="O247" s="20" t="inlineStr">
        <x:is>
          <x:t xml:space="preserve"/>
        </x:is>
      </x:c>
      <x:c r="P247" s="20" t="inlineStr">
        <x:is>
          <x:t xml:space="preserve"/>
        </x:is>
      </x:c>
      <x:c r="Q247" s="20" t="inlineStr">
        <x:is>
          <x:t xml:space="preserve">https://www.fldoe.org/file/18534/SchoolGrades25.xlsx</x:t>
        </x:is>
      </x:c>
      <x:c r="R247" s="20" t="inlineStr">
        <x:is>
          <x:t xml:space="preserve">School type code 04; Title I=NO; Alternative/ESE=N; coordinates pending NCES/district GIS pull.</x:t>
        </x:is>
      </x:c>
    </x:row>
    <x:row r="248">
      <x:c r="A248" s="20" t="inlineStr">
        <x:is>
          <x:t xml:space="preserve">POLK</x:t>
        </x:is>
      </x:c>
      <x:c r="B248" s="20" t="inlineStr">
        <x:is>
          <x:t xml:space="preserve">POLK</x:t>
        </x:is>
      </x:c>
      <x:c r="C248" s="20" t="inlineStr">
        <x:is>
          <x:t xml:space="preserve">537023</x:t>
        </x:is>
      </x:c>
      <x:c r="D248" s="20" t="inlineStr">
        <x:is>
          <x:t xml:space="preserve"/>
        </x:is>
      </x:c>
      <x:c r="E248" s="20" t="inlineStr">
        <x:is>
          <x:t xml:space="preserve">POLK FULL TIME ESCHOOL</x:t>
        </x:is>
      </x:c>
      <x:c r="F248" s="20" t="inlineStr">
        <x:is>
          <x:t xml:space="preserve">Combination</x:t>
        </x:is>
      </x:c>
      <x:c r="G248" s="20" t="inlineStr">
        <x:is>
          <x:t xml:space="preserve">YES</x:t>
        </x:is>
      </x:c>
      <x:c r="H248" s="20" t="inlineStr">
        <x:is>
          <x:t xml:space="preserve">NO</x:t>
        </x:is>
      </x:c>
      <x:c r="I248" s="20" t="inlineStr">
        <x:is>
          <x:t xml:space="preserve"/>
        </x:is>
      </x:c>
      <x:c r="J248" s="20" t="inlineStr">
        <x:is>
          <x:t xml:space="preserve">NO</x:t>
        </x:is>
      </x:c>
      <x:c r="K248" s="20" t="inlineStr">
        <x:is>
          <x:t xml:space="preserve"/>
        </x:is>
      </x:c>
      <x:c r="L248" s="20" t="inlineStr">
        <x:is>
          <x:t xml:space="preserve"/>
        </x:is>
      </x:c>
      <x:c r="M248" s="20" t="inlineStr">
        <x:is>
          <x:t xml:space="preserve"/>
        </x:is>
      </x:c>
      <x:c r="N248" s="20" t="inlineStr">
        <x:is>
          <x:t xml:space="preserve"/>
        </x:is>
      </x:c>
      <x:c r="O248" s="20" t="inlineStr">
        <x:is>
          <x:t xml:space="preserve"/>
        </x:is>
      </x:c>
      <x:c r="P248" s="20" t="inlineStr">
        <x:is>
          <x:t xml:space="preserve"/>
        </x:is>
      </x:c>
      <x:c r="Q248" s="20" t="inlineStr">
        <x:is>
          <x:t xml:space="preserve">https://www.fldoe.org/file/18534/SchoolGrades25.xlsx</x:t>
        </x:is>
      </x:c>
      <x:c r="R248" s="20" t="inlineStr">
        <x:is>
          <x:t xml:space="preserve">School type code 04; Title I=NO; Alternative/ESE=N; coordinates pending NCES/district GIS pull.</x:t>
        </x:is>
      </x:c>
    </x:row>
    <x:row r="249">
      <x:c r="A249" s="20" t="inlineStr">
        <x:is>
          <x:t xml:space="preserve">POLK</x:t>
        </x:is>
      </x:c>
      <x:c r="B249" s="20" t="inlineStr">
        <x:is>
          <x:t xml:space="preserve">POLK</x:t>
        </x:is>
      </x:c>
      <x:c r="C249" s="20" t="inlineStr">
        <x:is>
          <x:t xml:space="preserve">538003</x:t>
        </x:is>
      </x:c>
      <x:c r="D249" s="20" t="inlineStr">
        <x:is>
          <x:t xml:space="preserve"/>
        </x:is>
      </x:c>
      <x:c r="E249" s="20" t="inlineStr">
        <x:is>
          <x:t xml:space="preserve">POLK STATE LAKELAND GATEWAY TO COLLEGE COLLEGIATE HIGH SCHOOL</x:t>
        </x:is>
      </x:c>
      <x:c r="F249" s="20" t="inlineStr">
        <x:is>
          <x:t xml:space="preserve">Senior High</x:t>
        </x:is>
      </x:c>
      <x:c r="G249" s="20" t="inlineStr">
        <x:is>
          <x:t xml:space="preserve">NO</x:t>
        </x:is>
      </x:c>
      <x:c r="H249" s="20" t="inlineStr">
        <x:is>
          <x:t xml:space="preserve">YES</x:t>
        </x:is>
      </x:c>
      <x:c r="I249" s="20" t="inlineStr">
        <x:is>
          <x:t xml:space="preserve"/>
        </x:is>
      </x:c>
      <x:c r="J249" s="20" t="inlineStr">
        <x:is>
          <x:t xml:space="preserve">NO</x:t>
        </x:is>
      </x:c>
      <x:c r="K249" s="20" t="inlineStr">
        <x:is>
          <x:t xml:space="preserve"/>
        </x:is>
      </x:c>
      <x:c r="L249" s="20" t="inlineStr">
        <x:is>
          <x:t xml:space="preserve"/>
        </x:is>
      </x:c>
      <x:c r="M249" s="20" t="inlineStr">
        <x:is>
          <x:t xml:space="preserve"/>
        </x:is>
      </x:c>
      <x:c r="N249" s="20" t="inlineStr">
        <x:is>
          <x:t xml:space="preserve"/>
        </x:is>
      </x:c>
      <x:c r="O249" s="20" t="inlineStr">
        <x:is>
          <x:t xml:space="preserve"/>
        </x:is>
      </x:c>
      <x:c r="P249" s="20" t="inlineStr">
        <x:is>
          <x:t xml:space="preserve"/>
        </x:is>
      </x:c>
      <x:c r="Q249" s="20" t="inlineStr">
        <x:is>
          <x:t xml:space="preserve">https://www.fldoe.org/file/18534/SchoolGrades25.xlsx</x:t>
        </x:is>
      </x:c>
      <x:c r="R249" s="20" t="inlineStr">
        <x:is>
          <x:t xml:space="preserve">School type code 03; Title I=NO; Alternative/ESE=N; coordinates pending NCES/district GIS pull.</x:t>
        </x:is>
      </x:c>
    </x:row>
    <x:row r="250">
      <x:c r="A250" s="20" t="inlineStr">
        <x:is>
          <x:t xml:space="preserve">POLK</x:t>
        </x:is>
      </x:c>
      <x:c r="B250" s="20" t="inlineStr">
        <x:is>
          <x:t xml:space="preserve">POLK</x:t>
        </x:is>
      </x:c>
      <x:c r="C250" s="20" t="inlineStr">
        <x:is>
          <x:t xml:space="preserve">538005</x:t>
        </x:is>
      </x:c>
      <x:c r="D250" s="20" t="inlineStr">
        <x:is>
          <x:t xml:space="preserve"/>
        </x:is>
      </x:c>
      <x:c r="E250" s="20" t="inlineStr">
        <x:is>
          <x:t xml:space="preserve">MAGNOLIA MONTESSORI ACADEMY</x:t>
        </x:is>
      </x:c>
      <x:c r="F250" s="20" t="inlineStr">
        <x:is>
          <x:t xml:space="preserve">Combination</x:t>
        </x:is>
      </x:c>
      <x:c r="G250" s="20" t="inlineStr">
        <x:is>
          <x:t xml:space="preserve">NO</x:t>
        </x:is>
      </x:c>
      <x:c r="H250" s="20" t="inlineStr">
        <x:is>
          <x:t xml:space="preserve">YES</x:t>
        </x:is>
      </x:c>
      <x:c r="I250" s="20" t="inlineStr">
        <x:is>
          <x:t xml:space="preserve"/>
        </x:is>
      </x:c>
      <x:c r="J250" s="20" t="inlineStr">
        <x:is>
          <x:t xml:space="preserve">NO</x:t>
        </x:is>
      </x:c>
      <x:c r="K250" s="20" t="inlineStr">
        <x:is>
          <x:t xml:space="preserve"/>
        </x:is>
      </x:c>
      <x:c r="L250" s="20" t="inlineStr">
        <x:is>
          <x:t xml:space="preserve"/>
        </x:is>
      </x:c>
      <x:c r="M250" s="20" t="inlineStr">
        <x:is>
          <x:t xml:space="preserve"/>
        </x:is>
      </x:c>
      <x:c r="N250" s="20" t="inlineStr">
        <x:is>
          <x:t xml:space="preserve"/>
        </x:is>
      </x:c>
      <x:c r="O250" s="20" t="inlineStr">
        <x:is>
          <x:t xml:space="preserve"/>
        </x:is>
      </x:c>
      <x:c r="P250" s="20" t="inlineStr">
        <x:is>
          <x:t xml:space="preserve"/>
        </x:is>
      </x:c>
      <x:c r="Q250" s="20" t="inlineStr">
        <x:is>
          <x:t xml:space="preserve">https://www.fldoe.org/file/18534/SchoolGrades25.xlsx</x:t>
        </x:is>
      </x:c>
      <x:c r="R250" s="20" t="inlineStr">
        <x:is>
          <x:t xml:space="preserve">School type code 04; Title I=NO; Alternative/ESE=N; coordinates pending NCES/district GIS pull.</x:t>
        </x:is>
      </x:c>
    </x:row>
    <x:row r="251">
      <x:c r="A251" s="20" t="inlineStr">
        <x:is>
          <x:t xml:space="preserve">POLK</x:t>
        </x:is>
      </x:c>
      <x:c r="B251" s="20" t="inlineStr">
        <x:is>
          <x:t xml:space="preserve">POLK</x:t>
        </x:is>
      </x:c>
      <x:c r="C251" s="20" t="inlineStr">
        <x:is>
          <x:t xml:space="preserve">538007</x:t>
        </x:is>
      </x:c>
      <x:c r="D251" s="20" t="inlineStr">
        <x:is>
          <x:t xml:space="preserve"/>
        </x:is>
      </x:c>
      <x:c r="E251" s="20" t="inlineStr">
        <x:is>
          <x:t xml:space="preserve">NAVIGATOR ACADEMY OF LEADERSHIP DAVENPORT</x:t>
        </x:is>
      </x:c>
      <x:c r="F251" s="20" t="inlineStr">
        <x:is>
          <x:t xml:space="preserve">Combination</x:t>
        </x:is>
      </x:c>
      <x:c r="G251" s="20" t="inlineStr">
        <x:is>
          <x:t xml:space="preserve">NO</x:t>
        </x:is>
      </x:c>
      <x:c r="H251" s="20" t="inlineStr">
        <x:is>
          <x:t xml:space="preserve">YES</x:t>
        </x:is>
      </x:c>
      <x:c r="I251" s="20" t="inlineStr">
        <x:is>
          <x:t xml:space="preserve"/>
        </x:is>
      </x:c>
      <x:c r="J251" s="20" t="inlineStr">
        <x:is>
          <x:t xml:space="preserve">NO</x:t>
        </x:is>
      </x:c>
      <x:c r="K251" s="20" t="inlineStr">
        <x:is>
          <x:t xml:space="preserve"/>
        </x:is>
      </x:c>
      <x:c r="L251" s="20" t="inlineStr">
        <x:is>
          <x:t xml:space="preserve"/>
        </x:is>
      </x:c>
      <x:c r="M251" s="20" t="inlineStr">
        <x:is>
          <x:t xml:space="preserve"/>
        </x:is>
      </x:c>
      <x:c r="N251" s="20" t="inlineStr">
        <x:is>
          <x:t xml:space="preserve"/>
        </x:is>
      </x:c>
      <x:c r="O251" s="20" t="inlineStr">
        <x:is>
          <x:t xml:space="preserve"/>
        </x:is>
      </x:c>
      <x:c r="P251" s="20" t="inlineStr">
        <x:is>
          <x:t xml:space="preserve"/>
        </x:is>
      </x:c>
      <x:c r="Q251" s="20" t="inlineStr">
        <x:is>
          <x:t xml:space="preserve">https://www.fldoe.org/file/18534/SchoolGrades25.xlsx</x:t>
        </x:is>
      </x:c>
      <x:c r="R251" s="20" t="inlineStr">
        <x:is>
          <x:t xml:space="preserve">School type code 04; Title I=NO; Alternative/ESE=N; coordinates pending NCES/district GIS pull.</x:t>
        </x:is>
      </x:c>
    </x:row>
    <x:row r="252">
      <x:c r="A252" s="20" t="inlineStr">
        <x:is>
          <x:t xml:space="preserve">POLK</x:t>
        </x:is>
      </x:c>
      <x:c r="B252" s="20" t="inlineStr">
        <x:is>
          <x:t xml:space="preserve">POLK</x:t>
        </x:is>
      </x:c>
      <x:c r="C252" s="20" t="inlineStr">
        <x:is>
          <x:t xml:space="preserve">538009</x:t>
        </x:is>
      </x:c>
      <x:c r="D252" s="20" t="inlineStr">
        <x:is>
          <x:t xml:space="preserve"/>
        </x:is>
      </x:c>
      <x:c r="E252" s="20" t="inlineStr">
        <x:is>
          <x:t xml:space="preserve">BRIDGEPREP ACADEMY OF POLK</x:t>
        </x:is>
      </x:c>
      <x:c r="F252" s="20" t="inlineStr">
        <x:is>
          <x:t xml:space="preserve">Combination</x:t>
        </x:is>
      </x:c>
      <x:c r="G252" s="20" t="inlineStr">
        <x:is>
          <x:t xml:space="preserve">NO</x:t>
        </x:is>
      </x:c>
      <x:c r="H252" s="20" t="inlineStr">
        <x:is>
          <x:t xml:space="preserve">YES</x:t>
        </x:is>
      </x:c>
      <x:c r="I252" s="20" t="inlineStr">
        <x:is>
          <x:t xml:space="preserve"/>
        </x:is>
      </x:c>
      <x:c r="J252" s="20" t="inlineStr">
        <x:is>
          <x:t xml:space="preserve">NO</x:t>
        </x:is>
      </x:c>
      <x:c r="K252" s="20" t="inlineStr">
        <x:is>
          <x:t xml:space="preserve"/>
        </x:is>
      </x:c>
      <x:c r="L252" s="20" t="inlineStr">
        <x:is>
          <x:t xml:space="preserve"/>
        </x:is>
      </x:c>
      <x:c r="M252" s="20" t="inlineStr">
        <x:is>
          <x:t xml:space="preserve"/>
        </x:is>
      </x:c>
      <x:c r="N252" s="20" t="inlineStr">
        <x:is>
          <x:t xml:space="preserve"/>
        </x:is>
      </x:c>
      <x:c r="O252" s="20" t="inlineStr">
        <x:is>
          <x:t xml:space="preserve"/>
        </x:is>
      </x:c>
      <x:c r="P252" s="20" t="inlineStr">
        <x:is>
          <x:t xml:space="preserve"/>
        </x:is>
      </x:c>
      <x:c r="Q252" s="20" t="inlineStr">
        <x:is>
          <x:t xml:space="preserve">https://www.fldoe.org/file/18534/SchoolGrades25.xlsx</x:t>
        </x:is>
      </x:c>
      <x:c r="R252" s="20" t="inlineStr">
        <x:is>
          <x:t xml:space="preserve">School type code 04; Title I=YES; Alternative/ESE=N; coordinates pending NCES/district GIS pull.</x:t>
        </x:is>
      </x:c>
    </x:row>
    <x:row r="253">
      <x:c r="A253" s="20" t="inlineStr">
        <x:is>
          <x:t xml:space="preserve">POLK</x:t>
        </x:is>
      </x:c>
      <x:c r="B253" s="20" t="inlineStr">
        <x:is>
          <x:t xml:space="preserve">POLK</x:t>
        </x:is>
      </x:c>
      <x:c r="C253" s="20" t="inlineStr">
        <x:is>
          <x:t xml:space="preserve">538010</x:t>
        </x:is>
      </x:c>
      <x:c r="D253" s="20" t="inlineStr">
        <x:is>
          <x:t xml:space="preserve"/>
        </x:is>
      </x:c>
      <x:c r="E253" s="20" t="inlineStr">
        <x:is>
          <x:t xml:space="preserve">MATER ACADEMY DAVENPORT</x:t>
        </x:is>
      </x:c>
      <x:c r="F253" s="20" t="inlineStr">
        <x:is>
          <x:t xml:space="preserve">Elementary</x:t>
        </x:is>
      </x:c>
      <x:c r="G253" s="20" t="inlineStr">
        <x:is>
          <x:t xml:space="preserve">NO</x:t>
        </x:is>
      </x:c>
      <x:c r="H253" s="20" t="inlineStr">
        <x:is>
          <x:t xml:space="preserve">YES</x:t>
        </x:is>
      </x:c>
      <x:c r="I253" s="20" t="inlineStr">
        <x:is>
          <x:t xml:space="preserve"/>
        </x:is>
      </x:c>
      <x:c r="J253" s="20" t="inlineStr">
        <x:is>
          <x:t xml:space="preserve">NO</x:t>
        </x:is>
      </x:c>
      <x:c r="K253" s="20" t="inlineStr">
        <x:is>
          <x:t xml:space="preserve"/>
        </x:is>
      </x:c>
      <x:c r="L253" s="20" t="inlineStr">
        <x:is>
          <x:t xml:space="preserve"/>
        </x:is>
      </x:c>
      <x:c r="M253" s="20" t="inlineStr">
        <x:is>
          <x:t xml:space="preserve"/>
        </x:is>
      </x:c>
      <x:c r="N253" s="20" t="inlineStr">
        <x:is>
          <x:t xml:space="preserve"/>
        </x:is>
      </x:c>
      <x:c r="O253" s="20" t="inlineStr">
        <x:is>
          <x:t xml:space="preserve"/>
        </x:is>
      </x:c>
      <x:c r="P253" s="20" t="inlineStr">
        <x:is>
          <x:t xml:space="preserve"/>
        </x:is>
      </x:c>
      <x:c r="Q253" s="20" t="inlineStr">
        <x:is>
          <x:t xml:space="preserve">https://www.fldoe.org/file/18534/SchoolGrades25.xlsx</x:t>
        </x:is>
      </x:c>
      <x:c r="R253" s="20" t="inlineStr">
        <x:is>
          <x:t xml:space="preserve">School type code 01; Title I=YES; Alternative/ESE=N; coordinates pending NCES/district GIS pull.</x:t>
        </x:is>
      </x:c>
    </x:row>
    <x:row r="254">
      <x:c r="A254" s="20" t="inlineStr">
        <x:is>
          <x:t xml:space="preserve">POLK</x:t>
        </x:is>
      </x:c>
      <x:c r="B254" s="20" t="inlineStr">
        <x:is>
          <x:t xml:space="preserve">POLK</x:t>
        </x:is>
      </x:c>
      <x:c r="C254" s="20" t="inlineStr">
        <x:is>
          <x:t xml:space="preserve">538020</x:t>
        </x:is>
      </x:c>
      <x:c r="D254" s="20" t="inlineStr">
        <x:is>
          <x:t xml:space="preserve"/>
        </x:is>
      </x:c>
      <x:c r="E254" s="20" t="inlineStr">
        <x:is>
          <x:t xml:space="preserve">MATER ACADEMY DAVENPORT MIDDLE SCHOOL</x:t>
        </x:is>
      </x:c>
      <x:c r="F254" s="20" t="inlineStr">
        <x:is>
          <x:t xml:space="preserve">Middle/Junior</x:t>
        </x:is>
      </x:c>
      <x:c r="G254" s="20" t="inlineStr">
        <x:is>
          <x:t xml:space="preserve">NO</x:t>
        </x:is>
      </x:c>
      <x:c r="H254" s="20" t="inlineStr">
        <x:is>
          <x:t xml:space="preserve">YES</x:t>
        </x:is>
      </x:c>
      <x:c r="I254" s="20" t="inlineStr">
        <x:is>
          <x:t xml:space="preserve"/>
        </x:is>
      </x:c>
      <x:c r="J254" s="20" t="inlineStr">
        <x:is>
          <x:t xml:space="preserve">NO</x:t>
        </x:is>
      </x:c>
      <x:c r="K254" s="20" t="inlineStr">
        <x:is>
          <x:t xml:space="preserve"/>
        </x:is>
      </x:c>
      <x:c r="L254" s="20" t="inlineStr">
        <x:is>
          <x:t xml:space="preserve"/>
        </x:is>
      </x:c>
      <x:c r="M254" s="20" t="inlineStr">
        <x:is>
          <x:t xml:space="preserve"/>
        </x:is>
      </x:c>
      <x:c r="N254" s="20" t="inlineStr">
        <x:is>
          <x:t xml:space="preserve"/>
        </x:is>
      </x:c>
      <x:c r="O254" s="20" t="inlineStr">
        <x:is>
          <x:t xml:space="preserve"/>
        </x:is>
      </x:c>
      <x:c r="P254" s="20" t="inlineStr">
        <x:is>
          <x:t xml:space="preserve"/>
        </x:is>
      </x:c>
      <x:c r="Q254" s="20" t="inlineStr">
        <x:is>
          <x:t xml:space="preserve">https://www.fldoe.org/file/18534/SchoolGrades25.xlsx</x:t>
        </x:is>
      </x:c>
      <x:c r="R254" s="20" t="inlineStr">
        <x:is>
          <x:t xml:space="preserve">School type code 02; Title I=YES; Alternative/ESE=N; coordinates pending NCES/district GIS pull.</x:t>
        </x:is>
      </x:c>
    </x:row>
    <x:row r="255">
      <x:c r="A255" s="20" t="inlineStr">
        <x:is>
          <x:t xml:space="preserve">POLK</x:t>
        </x:is>
      </x:c>
      <x:c r="B255" s="20" t="inlineStr">
        <x:is>
          <x:t xml:space="preserve">POLK</x:t>
        </x:is>
      </x:c>
      <x:c r="C255" s="20" t="inlineStr">
        <x:is>
          <x:t xml:space="preserve">538121</x:t>
        </x:is>
      </x:c>
      <x:c r="D255" s="20" t="inlineStr">
        <x:is>
          <x:t xml:space="preserve"/>
        </x:is>
      </x:c>
      <x:c r="E255" s="20" t="inlineStr">
        <x:is>
          <x:t xml:space="preserve">HARTRIDGE ACADEMY</x:t>
        </x:is>
      </x:c>
      <x:c r="F255" s="20" t="inlineStr">
        <x:is>
          <x:t xml:space="preserve">Elementary</x:t>
        </x:is>
      </x:c>
      <x:c r="G255" s="20" t="inlineStr">
        <x:is>
          <x:t xml:space="preserve">NO</x:t>
        </x:is>
      </x:c>
      <x:c r="H255" s="20" t="inlineStr">
        <x:is>
          <x:t xml:space="preserve">YES</x:t>
        </x:is>
      </x:c>
      <x:c r="I255" s="20" t="inlineStr">
        <x:is>
          <x:t xml:space="preserve"/>
        </x:is>
      </x:c>
      <x:c r="J255" s="20" t="inlineStr">
        <x:is>
          <x:t xml:space="preserve">NO</x:t>
        </x:is>
      </x:c>
      <x:c r="K255" s="20" t="inlineStr">
        <x:is>
          <x:t xml:space="preserve"/>
        </x:is>
      </x:c>
      <x:c r="L255" s="20" t="inlineStr">
        <x:is>
          <x:t xml:space="preserve"/>
        </x:is>
      </x:c>
      <x:c r="M255" s="20" t="inlineStr">
        <x:is>
          <x:t xml:space="preserve"/>
        </x:is>
      </x:c>
      <x:c r="N255" s="20" t="inlineStr">
        <x:is>
          <x:t xml:space="preserve"/>
        </x:is>
      </x:c>
      <x:c r="O255" s="20" t="inlineStr">
        <x:is>
          <x:t xml:space="preserve"/>
        </x:is>
      </x:c>
      <x:c r="P255" s="20" t="inlineStr">
        <x:is>
          <x:t xml:space="preserve"/>
        </x:is>
      </x:c>
      <x:c r="Q255" s="20" t="inlineStr">
        <x:is>
          <x:t xml:space="preserve">https://www.fldoe.org/file/18534/SchoolGrades25.xlsx</x:t>
        </x:is>
      </x:c>
      <x:c r="R255" s="20" t="inlineStr">
        <x:is>
          <x:t xml:space="preserve">School type code 01; Title I=YES; Alternative/ESE=N; coordinates pending NCES/district GIS pull.</x:t>
        </x:is>
      </x:c>
    </x:row>
    <x:row r="256">
      <x:c r="A256" s="20" t="inlineStr">
        <x:is>
          <x:t xml:space="preserve">POLK</x:t>
        </x:is>
      </x:c>
      <x:c r="B256" s="20" t="inlineStr">
        <x:is>
          <x:t xml:space="preserve">POLK</x:t>
        </x:is>
      </x:c>
      <x:c r="C256" s="20" t="inlineStr">
        <x:is>
          <x:t xml:space="preserve">538131</x:t>
        </x:is>
      </x:c>
      <x:c r="D256" s="20" t="inlineStr">
        <x:is>
          <x:t xml:space="preserve"/>
        </x:is>
      </x:c>
      <x:c r="E256" s="20" t="inlineStr">
        <x:is>
          <x:t xml:space="preserve">POLK STATE COLLEGE COLLEGIATE HIGH SCHOOL</x:t>
        </x:is>
      </x:c>
      <x:c r="F256" s="20" t="inlineStr">
        <x:is>
          <x:t xml:space="preserve">Senior High</x:t>
        </x:is>
      </x:c>
      <x:c r="G256" s="20" t="inlineStr">
        <x:is>
          <x:t xml:space="preserve">NO</x:t>
        </x:is>
      </x:c>
      <x:c r="H256" s="20" t="inlineStr">
        <x:is>
          <x:t xml:space="preserve">YES</x:t>
        </x:is>
      </x:c>
      <x:c r="I256" s="20" t="inlineStr">
        <x:is>
          <x:t xml:space="preserve"/>
        </x:is>
      </x:c>
      <x:c r="J256" s="20" t="inlineStr">
        <x:is>
          <x:t xml:space="preserve">NO</x:t>
        </x:is>
      </x:c>
      <x:c r="K256" s="20" t="inlineStr">
        <x:is>
          <x:t xml:space="preserve"/>
        </x:is>
      </x:c>
      <x:c r="L256" s="20" t="inlineStr">
        <x:is>
          <x:t xml:space="preserve"/>
        </x:is>
      </x:c>
      <x:c r="M256" s="20" t="inlineStr">
        <x:is>
          <x:t xml:space="preserve"/>
        </x:is>
      </x:c>
      <x:c r="N256" s="20" t="inlineStr">
        <x:is>
          <x:t xml:space="preserve"/>
        </x:is>
      </x:c>
      <x:c r="O256" s="20" t="inlineStr">
        <x:is>
          <x:t xml:space="preserve"/>
        </x:is>
      </x:c>
      <x:c r="P256" s="20" t="inlineStr">
        <x:is>
          <x:t xml:space="preserve"/>
        </x:is>
      </x:c>
      <x:c r="Q256" s="20" t="inlineStr">
        <x:is>
          <x:t xml:space="preserve">https://www.fldoe.org/file/18534/SchoolGrades25.xlsx</x:t>
        </x:is>
      </x:c>
      <x:c r="R256" s="20" t="inlineStr">
        <x:is>
          <x:t xml:space="preserve">School type code 03; Title I=NO; Alternative/ESE=N; coordinates pending NCES/district GIS pull.</x:t>
        </x:is>
      </x:c>
    </x:row>
    <x:row r="257">
      <x:c r="A257" s="20" t="inlineStr">
        <x:is>
          <x:t xml:space="preserve">POLK</x:t>
        </x:is>
      </x:c>
      <x:c r="B257" s="20" t="inlineStr">
        <x:is>
          <x:t xml:space="preserve">POLK</x:t>
        </x:is>
      </x:c>
      <x:c r="C257" s="20" t="inlineStr">
        <x:is>
          <x:t xml:space="preserve">538133</x:t>
        </x:is>
      </x:c>
      <x:c r="D257" s="20" t="inlineStr">
        <x:is>
          <x:t xml:space="preserve"/>
        </x:is>
      </x:c>
      <x:c r="E257" s="20" t="inlineStr">
        <x:is>
          <x:t xml:space="preserve">CHAIN OF LAKES COLLEGIATE HIGH</x:t>
        </x:is>
      </x:c>
      <x:c r="F257" s="20" t="inlineStr">
        <x:is>
          <x:t xml:space="preserve">Senior High</x:t>
        </x:is>
      </x:c>
      <x:c r="G257" s="20" t="inlineStr">
        <x:is>
          <x:t xml:space="preserve">NO</x:t>
        </x:is>
      </x:c>
      <x:c r="H257" s="20" t="inlineStr">
        <x:is>
          <x:t xml:space="preserve">YES</x:t>
        </x:is>
      </x:c>
      <x:c r="I257" s="20" t="inlineStr">
        <x:is>
          <x:t xml:space="preserve"/>
        </x:is>
      </x:c>
      <x:c r="J257" s="20" t="inlineStr">
        <x:is>
          <x:t xml:space="preserve">NO</x:t>
        </x:is>
      </x:c>
      <x:c r="K257" s="20" t="inlineStr">
        <x:is>
          <x:t xml:space="preserve"/>
        </x:is>
      </x:c>
      <x:c r="L257" s="20" t="inlineStr">
        <x:is>
          <x:t xml:space="preserve"/>
        </x:is>
      </x:c>
      <x:c r="M257" s="20" t="inlineStr">
        <x:is>
          <x:t xml:space="preserve"/>
        </x:is>
      </x:c>
      <x:c r="N257" s="20" t="inlineStr">
        <x:is>
          <x:t xml:space="preserve"/>
        </x:is>
      </x:c>
      <x:c r="O257" s="20" t="inlineStr">
        <x:is>
          <x:t xml:space="preserve"/>
        </x:is>
      </x:c>
      <x:c r="P257" s="20" t="inlineStr">
        <x:is>
          <x:t xml:space="preserve"/>
        </x:is>
      </x:c>
      <x:c r="Q257" s="20" t="inlineStr">
        <x:is>
          <x:t xml:space="preserve">https://www.fldoe.org/file/18534/SchoolGrades25.xlsx</x:t>
        </x:is>
      </x:c>
      <x:c r="R257" s="20" t="inlineStr">
        <x:is>
          <x:t xml:space="preserve">School type code 03; Title I=NO; Alternative/ESE=N; coordinates pending NCES/district GIS pull.</x:t>
        </x:is>
      </x:c>
    </x:row>
    <x:row r="258">
      <x:c r="A258" s="20" t="inlineStr">
        <x:is>
          <x:t xml:space="preserve">POLK</x:t>
        </x:is>
      </x:c>
      <x:c r="B258" s="20" t="inlineStr">
        <x:is>
          <x:t xml:space="preserve">POLK</x:t>
        </x:is>
      </x:c>
      <x:c r="C258" s="20" t="inlineStr">
        <x:is>
          <x:t xml:space="preserve">538141</x:t>
        </x:is>
      </x:c>
      <x:c r="D258" s="20" t="inlineStr">
        <x:is>
          <x:t xml:space="preserve"/>
        </x:is>
      </x:c>
      <x:c r="E258" s="20" t="inlineStr">
        <x:is>
          <x:t xml:space="preserve">LAKELAND MONTESSORI SCHOOL HOUSE</x:t>
        </x:is>
      </x:c>
      <x:c r="F258" s="20" t="inlineStr">
        <x:is>
          <x:t xml:space="preserve">Combination</x:t>
        </x:is>
      </x:c>
      <x:c r="G258" s="20" t="inlineStr">
        <x:is>
          <x:t xml:space="preserve">NO</x:t>
        </x:is>
      </x:c>
      <x:c r="H258" s="20" t="inlineStr">
        <x:is>
          <x:t xml:space="preserve">YES</x:t>
        </x:is>
      </x:c>
      <x:c r="I258" s="20" t="inlineStr">
        <x:is>
          <x:t xml:space="preserve"/>
        </x:is>
      </x:c>
      <x:c r="J258" s="20" t="inlineStr">
        <x:is>
          <x:t xml:space="preserve">NO</x:t>
        </x:is>
      </x:c>
      <x:c r="K258" s="20" t="inlineStr">
        <x:is>
          <x:t xml:space="preserve"/>
        </x:is>
      </x:c>
      <x:c r="L258" s="20" t="inlineStr">
        <x:is>
          <x:t xml:space="preserve"/>
        </x:is>
      </x:c>
      <x:c r="M258" s="20" t="inlineStr">
        <x:is>
          <x:t xml:space="preserve"/>
        </x:is>
      </x:c>
      <x:c r="N258" s="20" t="inlineStr">
        <x:is>
          <x:t xml:space="preserve"/>
        </x:is>
      </x:c>
      <x:c r="O258" s="20" t="inlineStr">
        <x:is>
          <x:t xml:space="preserve"/>
        </x:is>
      </x:c>
      <x:c r="P258" s="20" t="inlineStr">
        <x:is>
          <x:t xml:space="preserve"/>
        </x:is>
      </x:c>
      <x:c r="Q258" s="20" t="inlineStr">
        <x:is>
          <x:t xml:space="preserve">https://www.fldoe.org/file/18534/SchoolGrades25.xlsx</x:t>
        </x:is>
      </x:c>
      <x:c r="R258" s="20" t="inlineStr">
        <x:is>
          <x:t xml:space="preserve">School type code 04; Title I=NO; Alternative/ESE=N; coordinates pending NCES/district GIS pull.</x:t>
        </x:is>
      </x:c>
    </x:row>
    <x:row r="259">
      <x:c r="A259" s="20" t="inlineStr">
        <x:is>
          <x:t xml:space="preserve">POLK</x:t>
        </x:is>
      </x:c>
      <x:c r="B259" s="20" t="inlineStr">
        <x:is>
          <x:t xml:space="preserve">POLK</x:t>
        </x:is>
      </x:c>
      <x:c r="C259" s="20" t="inlineStr">
        <x:is>
          <x:t xml:space="preserve">538142</x:t>
        </x:is>
      </x:c>
      <x:c r="D259" s="20" t="inlineStr">
        <x:is>
          <x:t xml:space="preserve"/>
        </x:is>
      </x:c>
      <x:c r="E259" s="20" t="inlineStr">
        <x:is>
          <x:t xml:space="preserve">BERKLEY ACCELERATED</x:t>
        </x:is>
      </x:c>
      <x:c r="F259" s="20" t="inlineStr">
        <x:is>
          <x:t xml:space="preserve">Combination</x:t>
        </x:is>
      </x:c>
      <x:c r="G259" s="20" t="inlineStr">
        <x:is>
          <x:t xml:space="preserve">NO</x:t>
        </x:is>
      </x:c>
      <x:c r="H259" s="20" t="inlineStr">
        <x:is>
          <x:t xml:space="preserve">YES</x:t>
        </x:is>
      </x:c>
      <x:c r="I259" s="20" t="inlineStr">
        <x:is>
          <x:t xml:space="preserve"/>
        </x:is>
      </x:c>
      <x:c r="J259" s="20" t="inlineStr">
        <x:is>
          <x:t xml:space="preserve">NO</x:t>
        </x:is>
      </x:c>
      <x:c r="K259" s="20" t="inlineStr">
        <x:is>
          <x:t xml:space="preserve"/>
        </x:is>
      </x:c>
      <x:c r="L259" s="20" t="inlineStr">
        <x:is>
          <x:t xml:space="preserve"/>
        </x:is>
      </x:c>
      <x:c r="M259" s="20" t="inlineStr">
        <x:is>
          <x:t xml:space="preserve"/>
        </x:is>
      </x:c>
      <x:c r="N259" s="20" t="inlineStr">
        <x:is>
          <x:t xml:space="preserve"/>
        </x:is>
      </x:c>
      <x:c r="O259" s="20" t="inlineStr">
        <x:is>
          <x:t xml:space="preserve"/>
        </x:is>
      </x:c>
      <x:c r="P259" s="20" t="inlineStr">
        <x:is>
          <x:t xml:space="preserve"/>
        </x:is>
      </x:c>
      <x:c r="Q259" s="20" t="inlineStr">
        <x:is>
          <x:t xml:space="preserve">https://www.fldoe.org/file/18534/SchoolGrades25.xlsx</x:t>
        </x:is>
      </x:c>
      <x:c r="R259" s="20" t="inlineStr">
        <x:is>
          <x:t xml:space="preserve">School type code 04; Title I=NO; Alternative/ESE=N; coordinates pending NCES/district GIS pull.</x:t>
        </x:is>
      </x:c>
    </x:row>
    <x:row r="260">
      <x:c r="A260" s="20" t="inlineStr">
        <x:is>
          <x:t xml:space="preserve">POLK</x:t>
        </x:is>
      </x:c>
      <x:c r="B260" s="20" t="inlineStr">
        <x:is>
          <x:t xml:space="preserve">POLK</x:t>
        </x:is>
      </x:c>
      <x:c r="C260" s="20" t="inlineStr">
        <x:is>
          <x:t xml:space="preserve">538171</x:t>
        </x:is>
      </x:c>
      <x:c r="D260" s="20" t="inlineStr">
        <x:is>
          <x:t xml:space="preserve"/>
        </x:is>
      </x:c>
      <x:c r="E260" s="20" t="inlineStr">
        <x:is>
          <x:t xml:space="preserve">CYPRESS JUNCTION MONTESSORI</x:t>
        </x:is>
      </x:c>
      <x:c r="F260" s="20" t="inlineStr">
        <x:is>
          <x:t xml:space="preserve">Combination</x:t>
        </x:is>
      </x:c>
      <x:c r="G260" s="20" t="inlineStr">
        <x:is>
          <x:t xml:space="preserve">NO</x:t>
        </x:is>
      </x:c>
      <x:c r="H260" s="20" t="inlineStr">
        <x:is>
          <x:t xml:space="preserve">YES</x:t>
        </x:is>
      </x:c>
      <x:c r="I260" s="20" t="inlineStr">
        <x:is>
          <x:t xml:space="preserve"/>
        </x:is>
      </x:c>
      <x:c r="J260" s="20" t="inlineStr">
        <x:is>
          <x:t xml:space="preserve">NO</x:t>
        </x:is>
      </x:c>
      <x:c r="K260" s="20" t="inlineStr">
        <x:is>
          <x:t xml:space="preserve"/>
        </x:is>
      </x:c>
      <x:c r="L260" s="20" t="inlineStr">
        <x:is>
          <x:t xml:space="preserve"/>
        </x:is>
      </x:c>
      <x:c r="M260" s="20" t="inlineStr">
        <x:is>
          <x:t xml:space="preserve"/>
        </x:is>
      </x:c>
      <x:c r="N260" s="20" t="inlineStr">
        <x:is>
          <x:t xml:space="preserve"/>
        </x:is>
      </x:c>
      <x:c r="O260" s="20" t="inlineStr">
        <x:is>
          <x:t xml:space="preserve"/>
        </x:is>
      </x:c>
      <x:c r="P260" s="20" t="inlineStr">
        <x:is>
          <x:t xml:space="preserve"/>
        </x:is>
      </x:c>
      <x:c r="Q260" s="20" t="inlineStr">
        <x:is>
          <x:t xml:space="preserve">https://www.fldoe.org/file/18534/SchoolGrades25.xlsx</x:t>
        </x:is>
      </x:c>
      <x:c r="R260" s="20" t="inlineStr">
        <x:is>
          <x:t xml:space="preserve">School type code 04; Title I=NO; Alternative/ESE=N; coordinates pending NCES/district GIS pull.</x:t>
        </x:is>
      </x:c>
    </x:row>
    <x:row r="261">
      <x:c r="A261" s="20" t="inlineStr">
        <x:is>
          <x:t xml:space="preserve">POLK</x:t>
        </x:is>
      </x:c>
      <x:c r="B261" s="20" t="inlineStr">
        <x:is>
          <x:t xml:space="preserve">POLK</x:t>
        </x:is>
      </x:c>
      <x:c r="C261" s="20" t="inlineStr">
        <x:is>
          <x:t xml:space="preserve">538181</x:t>
        </x:is>
      </x:c>
      <x:c r="D261" s="20" t="inlineStr">
        <x:is>
          <x:t xml:space="preserve"/>
        </x:is>
      </x:c>
      <x:c r="E261" s="20" t="inlineStr">
        <x:is>
          <x:t xml:space="preserve">DISCOVERY HIGH SCHOOL</x:t>
        </x:is>
      </x:c>
      <x:c r="F261" s="20" t="inlineStr">
        <x:is>
          <x:t xml:space="preserve">Senior High</x:t>
        </x:is>
      </x:c>
      <x:c r="G261" s="20" t="inlineStr">
        <x:is>
          <x:t xml:space="preserve">NO</x:t>
        </x:is>
      </x:c>
      <x:c r="H261" s="20" t="inlineStr">
        <x:is>
          <x:t xml:space="preserve">YES</x:t>
        </x:is>
      </x:c>
      <x:c r="I261" s="20" t="inlineStr">
        <x:is>
          <x:t xml:space="preserve"/>
        </x:is>
      </x:c>
      <x:c r="J261" s="20" t="inlineStr">
        <x:is>
          <x:t xml:space="preserve">NO</x:t>
        </x:is>
      </x:c>
      <x:c r="K261" s="20" t="inlineStr">
        <x:is>
          <x:t xml:space="preserve"/>
        </x:is>
      </x:c>
      <x:c r="L261" s="20" t="inlineStr">
        <x:is>
          <x:t xml:space="preserve"/>
        </x:is>
      </x:c>
      <x:c r="M261" s="20" t="inlineStr">
        <x:is>
          <x:t xml:space="preserve"/>
        </x:is>
      </x:c>
      <x:c r="N261" s="20" t="inlineStr">
        <x:is>
          <x:t xml:space="preserve"/>
        </x:is>
      </x:c>
      <x:c r="O261" s="20" t="inlineStr">
        <x:is>
          <x:t xml:space="preserve"/>
        </x:is>
      </x:c>
      <x:c r="P261" s="20" t="inlineStr">
        <x:is>
          <x:t xml:space="preserve"/>
        </x:is>
      </x:c>
      <x:c r="Q261" s="20" t="inlineStr">
        <x:is>
          <x:t xml:space="preserve">https://www.fldoe.org/file/18534/SchoolGrades25.xlsx</x:t>
        </x:is>
      </x:c>
      <x:c r="R261" s="20" t="inlineStr">
        <x:is>
          <x:t xml:space="preserve">School type code 03; Title I=YES; Alternative/ESE=N; coordinates pending NCES/district GIS pull.</x:t>
        </x:is>
      </x:c>
    </x:row>
    <x:row r="262">
      <x:c r="A262" s="20" t="inlineStr">
        <x:is>
          <x:t xml:space="preserve">POLK</x:t>
        </x:is>
      </x:c>
      <x:c r="B262" s="20" t="inlineStr">
        <x:is>
          <x:t xml:space="preserve">POLK</x:t>
        </x:is>
      </x:c>
      <x:c r="C262" s="20" t="inlineStr">
        <x:is>
          <x:t xml:space="preserve">538201</x:t>
        </x:is>
      </x:c>
      <x:c r="D262" s="20" t="inlineStr">
        <x:is>
          <x:t xml:space="preserve"/>
        </x:is>
      </x:c>
      <x:c r="E262" s="20" t="inlineStr">
        <x:is>
          <x:t xml:space="preserve">MI ESCUELA MONTESSORI</x:t>
        </x:is>
      </x:c>
      <x:c r="F262" s="20" t="inlineStr">
        <x:is>
          <x:t xml:space="preserve">Combination</x:t>
        </x:is>
      </x:c>
      <x:c r="G262" s="20" t="inlineStr">
        <x:is>
          <x:t xml:space="preserve">NO</x:t>
        </x:is>
      </x:c>
      <x:c r="H262" s="20" t="inlineStr">
        <x:is>
          <x:t xml:space="preserve">YES</x:t>
        </x:is>
      </x:c>
      <x:c r="I262" s="20" t="inlineStr">
        <x:is>
          <x:t xml:space="preserve"/>
        </x:is>
      </x:c>
      <x:c r="J262" s="20" t="inlineStr">
        <x:is>
          <x:t xml:space="preserve">NO</x:t>
        </x:is>
      </x:c>
      <x:c r="K262" s="20" t="inlineStr">
        <x:is>
          <x:t xml:space="preserve"/>
        </x:is>
      </x:c>
      <x:c r="L262" s="20" t="inlineStr">
        <x:is>
          <x:t xml:space="preserve"/>
        </x:is>
      </x:c>
      <x:c r="M262" s="20" t="inlineStr">
        <x:is>
          <x:t xml:space="preserve"/>
        </x:is>
      </x:c>
      <x:c r="N262" s="20" t="inlineStr">
        <x:is>
          <x:t xml:space="preserve"/>
        </x:is>
      </x:c>
      <x:c r="O262" s="20" t="inlineStr">
        <x:is>
          <x:t xml:space="preserve"/>
        </x:is>
      </x:c>
      <x:c r="P262" s="20" t="inlineStr">
        <x:is>
          <x:t xml:space="preserve"/>
        </x:is>
      </x:c>
      <x:c r="Q262" s="20" t="inlineStr">
        <x:is>
          <x:t xml:space="preserve">https://www.fldoe.org/file/18534/SchoolGrades25.xlsx</x:t>
        </x:is>
      </x:c>
      <x:c r="R262" s="20" t="inlineStr">
        <x:is>
          <x:t xml:space="preserve">School type code 04; Title I=NO; Alternative/ESE=N; coordinates pending NCES/district GIS pull.</x:t>
        </x:is>
      </x:c>
    </x:row>
    <x:row r="263">
      <x:c r="A263" s="20" t="inlineStr">
        <x:is>
          <x:t xml:space="preserve">SEMINOLE</x:t>
        </x:is>
      </x:c>
      <x:c r="B263" s="20" t="inlineStr">
        <x:is>
          <x:t xml:space="preserve">SEMINOLE</x:t>
        </x:is>
      </x:c>
      <x:c r="C263" s="20" t="inlineStr">
        <x:is>
          <x:t xml:space="preserve">590021</x:t>
        </x:is>
      </x:c>
      <x:c r="D263" s="20" t="inlineStr">
        <x:is>
          <x:t xml:space="preserve"/>
        </x:is>
      </x:c>
      <x:c r="E263" s="20" t="inlineStr">
        <x:is>
          <x:t xml:space="preserve">HAMILTON ELEMENTARY SCHOOL</x:t>
        </x:is>
      </x:c>
      <x:c r="F263" s="20" t="inlineStr">
        <x:is>
          <x:t xml:space="preserve">Elementary</x:t>
        </x:is>
      </x:c>
      <x:c r="G263" s="20" t="inlineStr">
        <x:is>
          <x:t xml:space="preserve">YES</x:t>
        </x:is>
      </x:c>
      <x:c r="H263" s="20" t="inlineStr">
        <x:is>
          <x:t xml:space="preserve">NO</x:t>
        </x:is>
      </x:c>
      <x:c r="I263" s="20" t="inlineStr">
        <x:is>
          <x:t xml:space="preserve"/>
        </x:is>
      </x:c>
      <x:c r="J263" s="20" t="inlineStr">
        <x:is>
          <x:t xml:space="preserve">NO</x:t>
        </x:is>
      </x:c>
      <x:c r="K263" s="20" t="inlineStr">
        <x:is>
          <x:t xml:space="preserve"/>
        </x:is>
      </x:c>
      <x:c r="L263" s="20" t="inlineStr">
        <x:is>
          <x:t xml:space="preserve"/>
        </x:is>
      </x:c>
      <x:c r="M263" s="20" t="inlineStr">
        <x:is>
          <x:t xml:space="preserve"/>
        </x:is>
      </x:c>
      <x:c r="N263" s="20" t="inlineStr">
        <x:is>
          <x:t xml:space="preserve"/>
        </x:is>
      </x:c>
      <x:c r="O263" s="20" t="inlineStr">
        <x:is>
          <x:t xml:space="preserve"/>
        </x:is>
      </x:c>
      <x:c r="P263" s="20" t="inlineStr">
        <x:is>
          <x:t xml:space="preserve"/>
        </x:is>
      </x:c>
      <x:c r="Q263" s="20" t="inlineStr">
        <x:is>
          <x:t xml:space="preserve">https://www.fldoe.org/file/18534/SchoolGrades25.xlsx</x:t>
        </x:is>
      </x:c>
      <x:c r="R263" s="20" t="inlineStr">
        <x:is>
          <x:t xml:space="preserve">School type code 01; Title I=YES; Alternative/ESE=N; coordinates pending NCES/district GIS pull.</x:t>
        </x:is>
      </x:c>
    </x:row>
    <x:row r="264">
      <x:c r="A264" s="20" t="inlineStr">
        <x:is>
          <x:t xml:space="preserve">SEMINOLE</x:t>
        </x:is>
      </x:c>
      <x:c r="B264" s="20" t="inlineStr">
        <x:is>
          <x:t xml:space="preserve">SEMINOLE</x:t>
        </x:is>
      </x:c>
      <x:c r="C264" s="20" t="inlineStr">
        <x:is>
          <x:t xml:space="preserve">590031</x:t>
        </x:is>
      </x:c>
      <x:c r="D264" s="20" t="inlineStr">
        <x:is>
          <x:t xml:space="preserve"/>
        </x:is>
      </x:c>
      <x:c r="E264" s="20" t="inlineStr">
        <x:is>
          <x:t xml:space="preserve">BEAR LAKE ELEMENTARY SCHOOL</x:t>
        </x:is>
      </x:c>
      <x:c r="F264" s="20" t="inlineStr">
        <x:is>
          <x:t xml:space="preserve">Elementary</x:t>
        </x:is>
      </x:c>
      <x:c r="G264" s="20" t="inlineStr">
        <x:is>
          <x:t xml:space="preserve">YES</x:t>
        </x:is>
      </x:c>
      <x:c r="H264" s="20" t="inlineStr">
        <x:is>
          <x:t xml:space="preserve">NO</x:t>
        </x:is>
      </x:c>
      <x:c r="I264" s="20" t="inlineStr">
        <x:is>
          <x:t xml:space="preserve"/>
        </x:is>
      </x:c>
      <x:c r="J264" s="20" t="inlineStr">
        <x:is>
          <x:t xml:space="preserve">NO</x:t>
        </x:is>
      </x:c>
      <x:c r="K264" s="20" t="inlineStr">
        <x:is>
          <x:t xml:space="preserve"/>
        </x:is>
      </x:c>
      <x:c r="L264" s="20" t="inlineStr">
        <x:is>
          <x:t xml:space="preserve"/>
        </x:is>
      </x:c>
      <x:c r="M264" s="20" t="inlineStr">
        <x:is>
          <x:t xml:space="preserve"/>
        </x:is>
      </x:c>
      <x:c r="N264" s="20" t="inlineStr">
        <x:is>
          <x:t xml:space="preserve"/>
        </x:is>
      </x:c>
      <x:c r="O264" s="20" t="inlineStr">
        <x:is>
          <x:t xml:space="preserve"/>
        </x:is>
      </x:c>
      <x:c r="P264" s="20" t="inlineStr">
        <x:is>
          <x:t xml:space="preserve"/>
        </x:is>
      </x:c>
      <x:c r="Q264" s="20" t="inlineStr">
        <x:is>
          <x:t xml:space="preserve">https://www.fldoe.org/file/18534/SchoolGrades25.xlsx</x:t>
        </x:is>
      </x:c>
      <x:c r="R264" s="20" t="inlineStr">
        <x:is>
          <x:t xml:space="preserve">School type code 01; Title I=NO; Alternative/ESE=N; coordinates pending NCES/district GIS pull.</x:t>
        </x:is>
      </x:c>
    </x:row>
    <x:row r="265">
      <x:c r="A265" s="20" t="inlineStr">
        <x:is>
          <x:t xml:space="preserve">SEMINOLE</x:t>
        </x:is>
      </x:c>
      <x:c r="B265" s="20" t="inlineStr">
        <x:is>
          <x:t xml:space="preserve">SEMINOLE</x:t>
        </x:is>
      </x:c>
      <x:c r="C265" s="20" t="inlineStr">
        <x:is>
          <x:t xml:space="preserve">590041</x:t>
        </x:is>
      </x:c>
      <x:c r="D265" s="20" t="inlineStr">
        <x:is>
          <x:t xml:space="preserve"/>
        </x:is>
      </x:c>
      <x:c r="E265" s="20" t="inlineStr">
        <x:is>
          <x:t xml:space="preserve">ENGLISH ESTATES ELEMENTARY SCHOOL</x:t>
        </x:is>
      </x:c>
      <x:c r="F265" s="20" t="inlineStr">
        <x:is>
          <x:t xml:space="preserve">Elementary</x:t>
        </x:is>
      </x:c>
      <x:c r="G265" s="20" t="inlineStr">
        <x:is>
          <x:t xml:space="preserve">YES</x:t>
        </x:is>
      </x:c>
      <x:c r="H265" s="20" t="inlineStr">
        <x:is>
          <x:t xml:space="preserve">NO</x:t>
        </x:is>
      </x:c>
      <x:c r="I265" s="20" t="inlineStr">
        <x:is>
          <x:t xml:space="preserve"/>
        </x:is>
      </x:c>
      <x:c r="J265" s="20" t="inlineStr">
        <x:is>
          <x:t xml:space="preserve">NO</x:t>
        </x:is>
      </x:c>
      <x:c r="K265" s="20" t="inlineStr">
        <x:is>
          <x:t xml:space="preserve"/>
        </x:is>
      </x:c>
      <x:c r="L265" s="20" t="inlineStr">
        <x:is>
          <x:t xml:space="preserve"/>
        </x:is>
      </x:c>
      <x:c r="M265" s="20" t="inlineStr">
        <x:is>
          <x:t xml:space="preserve"/>
        </x:is>
      </x:c>
      <x:c r="N265" s="20" t="inlineStr">
        <x:is>
          <x:t xml:space="preserve"/>
        </x:is>
      </x:c>
      <x:c r="O265" s="20" t="inlineStr">
        <x:is>
          <x:t xml:space="preserve"/>
        </x:is>
      </x:c>
      <x:c r="P265" s="20" t="inlineStr">
        <x:is>
          <x:t xml:space="preserve"/>
        </x:is>
      </x:c>
      <x:c r="Q265" s="20" t="inlineStr">
        <x:is>
          <x:t xml:space="preserve">https://www.fldoe.org/file/18534/SchoolGrades25.xlsx</x:t>
        </x:is>
      </x:c>
      <x:c r="R265" s="20" t="inlineStr">
        <x:is>
          <x:t xml:space="preserve">School type code 01; Title I=YES; Alternative/ESE=N; coordinates pending NCES/district GIS pull.</x:t>
        </x:is>
      </x:c>
    </x:row>
    <x:row r="266">
      <x:c r="A266" s="20" t="inlineStr">
        <x:is>
          <x:t xml:space="preserve">SEMINOLE</x:t>
        </x:is>
      </x:c>
      <x:c r="B266" s="20" t="inlineStr">
        <x:is>
          <x:t xml:space="preserve">SEMINOLE</x:t>
        </x:is>
      </x:c>
      <x:c r="C266" s="20" t="inlineStr">
        <x:is>
          <x:t xml:space="preserve">590051</x:t>
        </x:is>
      </x:c>
      <x:c r="D266" s="20" t="inlineStr">
        <x:is>
          <x:t xml:space="preserve"/>
        </x:is>
      </x:c>
      <x:c r="E266" s="20" t="inlineStr">
        <x:is>
          <x:t xml:space="preserve">GENEVA ELEMENTARY SCHOOL</x:t>
        </x:is>
      </x:c>
      <x:c r="F266" s="20" t="inlineStr">
        <x:is>
          <x:t xml:space="preserve">Elementary</x:t>
        </x:is>
      </x:c>
      <x:c r="G266" s="20" t="inlineStr">
        <x:is>
          <x:t xml:space="preserve">YES</x:t>
        </x:is>
      </x:c>
      <x:c r="H266" s="20" t="inlineStr">
        <x:is>
          <x:t xml:space="preserve">NO</x:t>
        </x:is>
      </x:c>
      <x:c r="I266" s="20" t="inlineStr">
        <x:is>
          <x:t xml:space="preserve"/>
        </x:is>
      </x:c>
      <x:c r="J266" s="20" t="inlineStr">
        <x:is>
          <x:t xml:space="preserve">NO</x:t>
        </x:is>
      </x:c>
      <x:c r="K266" s="20" t="inlineStr">
        <x:is>
          <x:t xml:space="preserve"/>
        </x:is>
      </x:c>
      <x:c r="L266" s="20" t="inlineStr">
        <x:is>
          <x:t xml:space="preserve"/>
        </x:is>
      </x:c>
      <x:c r="M266" s="20" t="inlineStr">
        <x:is>
          <x:t xml:space="preserve"/>
        </x:is>
      </x:c>
      <x:c r="N266" s="20" t="inlineStr">
        <x:is>
          <x:t xml:space="preserve"/>
        </x:is>
      </x:c>
      <x:c r="O266" s="20" t="inlineStr">
        <x:is>
          <x:t xml:space="preserve"/>
        </x:is>
      </x:c>
      <x:c r="P266" s="20" t="inlineStr">
        <x:is>
          <x:t xml:space="preserve"/>
        </x:is>
      </x:c>
      <x:c r="Q266" s="20" t="inlineStr">
        <x:is>
          <x:t xml:space="preserve">https://www.fldoe.org/file/18534/SchoolGrades25.xlsx</x:t>
        </x:is>
      </x:c>
      <x:c r="R266" s="20" t="inlineStr">
        <x:is>
          <x:t xml:space="preserve">School type code 01; Title I=NO; Alternative/ESE=N; coordinates pending NCES/district GIS pull.</x:t>
        </x:is>
      </x:c>
    </x:row>
    <x:row r="267">
      <x:c r="A267" s="20" t="inlineStr">
        <x:is>
          <x:t xml:space="preserve">SEMINOLE</x:t>
        </x:is>
      </x:c>
      <x:c r="B267" s="20" t="inlineStr">
        <x:is>
          <x:t xml:space="preserve">SEMINOLE</x:t>
        </x:is>
      </x:c>
      <x:c r="C267" s="20" t="inlineStr">
        <x:is>
          <x:t xml:space="preserve">590071</x:t>
        </x:is>
      </x:c>
      <x:c r="D267" s="20" t="inlineStr">
        <x:is>
          <x:t xml:space="preserve"/>
        </x:is>
      </x:c>
      <x:c r="E267" s="20" t="inlineStr">
        <x:is>
          <x:t xml:space="preserve">LAKE MARY HIGH SCHOOL</x:t>
        </x:is>
      </x:c>
      <x:c r="F267" s="20" t="inlineStr">
        <x:is>
          <x:t xml:space="preserve">Senior High</x:t>
        </x:is>
      </x:c>
      <x:c r="G267" s="20" t="inlineStr">
        <x:is>
          <x:t xml:space="preserve">YES</x:t>
        </x:is>
      </x:c>
      <x:c r="H267" s="20" t="inlineStr">
        <x:is>
          <x:t xml:space="preserve">NO</x:t>
        </x:is>
      </x:c>
      <x:c r="I267" s="20" t="inlineStr">
        <x:is>
          <x:t xml:space="preserve"/>
        </x:is>
      </x:c>
      <x:c r="J267" s="20" t="inlineStr">
        <x:is>
          <x:t xml:space="preserve">NO</x:t>
        </x:is>
      </x:c>
      <x:c r="K267" s="20" t="inlineStr">
        <x:is>
          <x:t xml:space="preserve"/>
        </x:is>
      </x:c>
      <x:c r="L267" s="20" t="inlineStr">
        <x:is>
          <x:t xml:space="preserve"/>
        </x:is>
      </x:c>
      <x:c r="M267" s="20" t="inlineStr">
        <x:is>
          <x:t xml:space="preserve"/>
        </x:is>
      </x:c>
      <x:c r="N267" s="20" t="inlineStr">
        <x:is>
          <x:t xml:space="preserve"/>
        </x:is>
      </x:c>
      <x:c r="O267" s="20" t="inlineStr">
        <x:is>
          <x:t xml:space="preserve"/>
        </x:is>
      </x:c>
      <x:c r="P267" s="20" t="inlineStr">
        <x:is>
          <x:t xml:space="preserve"/>
        </x:is>
      </x:c>
      <x:c r="Q267" s="20" t="inlineStr">
        <x:is>
          <x:t xml:space="preserve">https://www.fldoe.org/file/18534/SchoolGrades25.xlsx</x:t>
        </x:is>
      </x:c>
      <x:c r="R267" s="20" t="inlineStr">
        <x:is>
          <x:t xml:space="preserve">School type code 03; Title I=NO; Alternative/ESE=N; coordinates pending NCES/district GIS pull.</x:t>
        </x:is>
      </x:c>
    </x:row>
    <x:row r="268">
      <x:c r="A268" s="20" t="inlineStr">
        <x:is>
          <x:t xml:space="preserve">SEMINOLE</x:t>
        </x:is>
      </x:c>
      <x:c r="B268" s="20" t="inlineStr">
        <x:is>
          <x:t xml:space="preserve">SEMINOLE</x:t>
        </x:is>
      </x:c>
      <x:c r="C268" s="20" t="inlineStr">
        <x:is>
          <x:t xml:space="preserve">590081</x:t>
        </x:is>
      </x:c>
      <x:c r="D268" s="20" t="inlineStr">
        <x:is>
          <x:t xml:space="preserve"/>
        </x:is>
      </x:c>
      <x:c r="E268" s="20" t="inlineStr">
        <x:is>
          <x:t xml:space="preserve">LAKE MARY ELEMENTARY SCHOOL</x:t>
        </x:is>
      </x:c>
      <x:c r="F268" s="20" t="inlineStr">
        <x:is>
          <x:t xml:space="preserve">Elementary</x:t>
        </x:is>
      </x:c>
      <x:c r="G268" s="20" t="inlineStr">
        <x:is>
          <x:t xml:space="preserve">YES</x:t>
        </x:is>
      </x:c>
      <x:c r="H268" s="20" t="inlineStr">
        <x:is>
          <x:t xml:space="preserve">NO</x:t>
        </x:is>
      </x:c>
      <x:c r="I268" s="20" t="inlineStr">
        <x:is>
          <x:t xml:space="preserve"/>
        </x:is>
      </x:c>
      <x:c r="J268" s="20" t="inlineStr">
        <x:is>
          <x:t xml:space="preserve">NO</x:t>
        </x:is>
      </x:c>
      <x:c r="K268" s="20" t="inlineStr">
        <x:is>
          <x:t xml:space="preserve"/>
        </x:is>
      </x:c>
      <x:c r="L268" s="20" t="inlineStr">
        <x:is>
          <x:t xml:space="preserve"/>
        </x:is>
      </x:c>
      <x:c r="M268" s="20" t="inlineStr">
        <x:is>
          <x:t xml:space="preserve"/>
        </x:is>
      </x:c>
      <x:c r="N268" s="20" t="inlineStr">
        <x:is>
          <x:t xml:space="preserve"/>
        </x:is>
      </x:c>
      <x:c r="O268" s="20" t="inlineStr">
        <x:is>
          <x:t xml:space="preserve"/>
        </x:is>
      </x:c>
      <x:c r="P268" s="20" t="inlineStr">
        <x:is>
          <x:t xml:space="preserve"/>
        </x:is>
      </x:c>
      <x:c r="Q268" s="20" t="inlineStr">
        <x:is>
          <x:t xml:space="preserve">https://www.fldoe.org/file/18534/SchoolGrades25.xlsx</x:t>
        </x:is>
      </x:c>
      <x:c r="R268" s="20" t="inlineStr">
        <x:is>
          <x:t xml:space="preserve">School type code 01; Title I=NO; Alternative/ESE=N; coordinates pending NCES/district GIS pull.</x:t>
        </x:is>
      </x:c>
    </x:row>
    <x:row r="269">
      <x:c r="A269" s="20" t="inlineStr">
        <x:is>
          <x:t xml:space="preserve">SEMINOLE</x:t>
        </x:is>
      </x:c>
      <x:c r="B269" s="20" t="inlineStr">
        <x:is>
          <x:t xml:space="preserve">SEMINOLE</x:t>
        </x:is>
      </x:c>
      <x:c r="C269" s="20" t="inlineStr">
        <x:is>
          <x:t xml:space="preserve">590091</x:t>
        </x:is>
      </x:c>
      <x:c r="D269" s="20" t="inlineStr">
        <x:is>
          <x:t xml:space="preserve"/>
        </x:is>
      </x:c>
      <x:c r="E269" s="20" t="inlineStr">
        <x:is>
          <x:t xml:space="preserve">LONGWOOD ELEMENTARY SCHOOL</x:t>
        </x:is>
      </x:c>
      <x:c r="F269" s="20" t="inlineStr">
        <x:is>
          <x:t xml:space="preserve">Elementary</x:t>
        </x:is>
      </x:c>
      <x:c r="G269" s="20" t="inlineStr">
        <x:is>
          <x:t xml:space="preserve">YES</x:t>
        </x:is>
      </x:c>
      <x:c r="H269" s="20" t="inlineStr">
        <x:is>
          <x:t xml:space="preserve">NO</x:t>
        </x:is>
      </x:c>
      <x:c r="I269" s="20" t="inlineStr">
        <x:is>
          <x:t xml:space="preserve"/>
        </x:is>
      </x:c>
      <x:c r="J269" s="20" t="inlineStr">
        <x:is>
          <x:t xml:space="preserve">NO</x:t>
        </x:is>
      </x:c>
      <x:c r="K269" s="20" t="inlineStr">
        <x:is>
          <x:t xml:space="preserve"/>
        </x:is>
      </x:c>
      <x:c r="L269" s="20" t="inlineStr">
        <x:is>
          <x:t xml:space="preserve"/>
        </x:is>
      </x:c>
      <x:c r="M269" s="20" t="inlineStr">
        <x:is>
          <x:t xml:space="preserve"/>
        </x:is>
      </x:c>
      <x:c r="N269" s="20" t="inlineStr">
        <x:is>
          <x:t xml:space="preserve"/>
        </x:is>
      </x:c>
      <x:c r="O269" s="20" t="inlineStr">
        <x:is>
          <x:t xml:space="preserve"/>
        </x:is>
      </x:c>
      <x:c r="P269" s="20" t="inlineStr">
        <x:is>
          <x:t xml:space="preserve"/>
        </x:is>
      </x:c>
      <x:c r="Q269" s="20" t="inlineStr">
        <x:is>
          <x:t xml:space="preserve">https://www.fldoe.org/file/18534/SchoolGrades25.xlsx</x:t>
        </x:is>
      </x:c>
      <x:c r="R269" s="20" t="inlineStr">
        <x:is>
          <x:t xml:space="preserve">School type code 01; Title I=YES; Alternative/ESE=N; coordinates pending NCES/district GIS pull.</x:t>
        </x:is>
      </x:c>
    </x:row>
    <x:row r="270">
      <x:c r="A270" s="20" t="inlineStr">
        <x:is>
          <x:t xml:space="preserve">SEMINOLE</x:t>
        </x:is>
      </x:c>
      <x:c r="B270" s="20" t="inlineStr">
        <x:is>
          <x:t xml:space="preserve">SEMINOLE</x:t>
        </x:is>
      </x:c>
      <x:c r="C270" s="20" t="inlineStr">
        <x:is>
          <x:t xml:space="preserve">590101</x:t>
        </x:is>
      </x:c>
      <x:c r="D270" s="20" t="inlineStr">
        <x:is>
          <x:t xml:space="preserve"/>
        </x:is>
      </x:c>
      <x:c r="E270" s="20" t="inlineStr">
        <x:is>
          <x:t xml:space="preserve">MILWEE MIDDLE SCHOOL</x:t>
        </x:is>
      </x:c>
      <x:c r="F270" s="20" t="inlineStr">
        <x:is>
          <x:t xml:space="preserve">Middle/Junior</x:t>
        </x:is>
      </x:c>
      <x:c r="G270" s="20" t="inlineStr">
        <x:is>
          <x:t xml:space="preserve">YES</x:t>
        </x:is>
      </x:c>
      <x:c r="H270" s="20" t="inlineStr">
        <x:is>
          <x:t xml:space="preserve">NO</x:t>
        </x:is>
      </x:c>
      <x:c r="I270" s="20" t="inlineStr">
        <x:is>
          <x:t xml:space="preserve"/>
        </x:is>
      </x:c>
      <x:c r="J270" s="20" t="inlineStr">
        <x:is>
          <x:t xml:space="preserve">NO</x:t>
        </x:is>
      </x:c>
      <x:c r="K270" s="20" t="inlineStr">
        <x:is>
          <x:t xml:space="preserve"/>
        </x:is>
      </x:c>
      <x:c r="L270" s="20" t="inlineStr">
        <x:is>
          <x:t xml:space="preserve"/>
        </x:is>
      </x:c>
      <x:c r="M270" s="20" t="inlineStr">
        <x:is>
          <x:t xml:space="preserve"/>
        </x:is>
      </x:c>
      <x:c r="N270" s="20" t="inlineStr">
        <x:is>
          <x:t xml:space="preserve"/>
        </x:is>
      </x:c>
      <x:c r="O270" s="20" t="inlineStr">
        <x:is>
          <x:t xml:space="preserve"/>
        </x:is>
      </x:c>
      <x:c r="P270" s="20" t="inlineStr">
        <x:is>
          <x:t xml:space="preserve"/>
        </x:is>
      </x:c>
      <x:c r="Q270" s="20" t="inlineStr">
        <x:is>
          <x:t xml:space="preserve">https://www.fldoe.org/file/18534/SchoolGrades25.xlsx</x:t>
        </x:is>
      </x:c>
      <x:c r="R270" s="20" t="inlineStr">
        <x:is>
          <x:t xml:space="preserve">School type code 02; Title I=YES; Alternative/ESE=N; coordinates pending NCES/district GIS pull.</x:t>
        </x:is>
      </x:c>
    </x:row>
    <x:row r="271">
      <x:c r="A271" s="20" t="inlineStr">
        <x:is>
          <x:t xml:space="preserve">SEMINOLE</x:t>
        </x:is>
      </x:c>
      <x:c r="B271" s="20" t="inlineStr">
        <x:is>
          <x:t xml:space="preserve">SEMINOLE</x:t>
        </x:is>
      </x:c>
      <x:c r="C271" s="20" t="inlineStr">
        <x:is>
          <x:t xml:space="preserve">590111</x:t>
        </x:is>
      </x:c>
      <x:c r="D271" s="20" t="inlineStr">
        <x:is>
          <x:t xml:space="preserve"/>
        </x:is>
      </x:c>
      <x:c r="E271" s="20" t="inlineStr">
        <x:is>
          <x:t xml:space="preserve">EVANS ELEMENTARY SCHOOL</x:t>
        </x:is>
      </x:c>
      <x:c r="F271" s="20" t="inlineStr">
        <x:is>
          <x:t xml:space="preserve">Elementary</x:t>
        </x:is>
      </x:c>
      <x:c r="G271" s="20" t="inlineStr">
        <x:is>
          <x:t xml:space="preserve">YES</x:t>
        </x:is>
      </x:c>
      <x:c r="H271" s="20" t="inlineStr">
        <x:is>
          <x:t xml:space="preserve">NO</x:t>
        </x:is>
      </x:c>
      <x:c r="I271" s="20" t="inlineStr">
        <x:is>
          <x:t xml:space="preserve"/>
        </x:is>
      </x:c>
      <x:c r="J271" s="20" t="inlineStr">
        <x:is>
          <x:t xml:space="preserve">NO</x:t>
        </x:is>
      </x:c>
      <x:c r="K271" s="20" t="inlineStr">
        <x:is>
          <x:t xml:space="preserve"/>
        </x:is>
      </x:c>
      <x:c r="L271" s="20" t="inlineStr">
        <x:is>
          <x:t xml:space="preserve"/>
        </x:is>
      </x:c>
      <x:c r="M271" s="20" t="inlineStr">
        <x:is>
          <x:t xml:space="preserve"/>
        </x:is>
      </x:c>
      <x:c r="N271" s="20" t="inlineStr">
        <x:is>
          <x:t xml:space="preserve"/>
        </x:is>
      </x:c>
      <x:c r="O271" s="20" t="inlineStr">
        <x:is>
          <x:t xml:space="preserve"/>
        </x:is>
      </x:c>
      <x:c r="P271" s="20" t="inlineStr">
        <x:is>
          <x:t xml:space="preserve"/>
        </x:is>
      </x:c>
      <x:c r="Q271" s="20" t="inlineStr">
        <x:is>
          <x:t xml:space="preserve">https://www.fldoe.org/file/18534/SchoolGrades25.xlsx</x:t>
        </x:is>
      </x:c>
      <x:c r="R271" s="20" t="inlineStr">
        <x:is>
          <x:t xml:space="preserve">School type code 01; Title I=NO; Alternative/ESE=N; coordinates pending NCES/district GIS pull.</x:t>
        </x:is>
      </x:c>
    </x:row>
    <x:row r="272">
      <x:c r="A272" s="20" t="inlineStr">
        <x:is>
          <x:t xml:space="preserve">SEMINOLE</x:t>
        </x:is>
      </x:c>
      <x:c r="B272" s="20" t="inlineStr">
        <x:is>
          <x:t xml:space="preserve">SEMINOLE</x:t>
        </x:is>
      </x:c>
      <x:c r="C272" s="20" t="inlineStr">
        <x:is>
          <x:t xml:space="preserve">590121</x:t>
        </x:is>
      </x:c>
      <x:c r="D272" s="20" t="inlineStr">
        <x:is>
          <x:t xml:space="preserve"/>
        </x:is>
      </x:c>
      <x:c r="E272" s="20" t="inlineStr">
        <x:is>
          <x:t xml:space="preserve">LAYER ELEMENTARY SCHOOL</x:t>
        </x:is>
      </x:c>
      <x:c r="F272" s="20" t="inlineStr">
        <x:is>
          <x:t xml:space="preserve">Elementary</x:t>
        </x:is>
      </x:c>
      <x:c r="G272" s="20" t="inlineStr">
        <x:is>
          <x:t xml:space="preserve">YES</x:t>
        </x:is>
      </x:c>
      <x:c r="H272" s="20" t="inlineStr">
        <x:is>
          <x:t xml:space="preserve">NO</x:t>
        </x:is>
      </x:c>
      <x:c r="I272" s="20" t="inlineStr">
        <x:is>
          <x:t xml:space="preserve"/>
        </x:is>
      </x:c>
      <x:c r="J272" s="20" t="inlineStr">
        <x:is>
          <x:t xml:space="preserve">NO</x:t>
        </x:is>
      </x:c>
      <x:c r="K272" s="20" t="inlineStr">
        <x:is>
          <x:t xml:space="preserve"/>
        </x:is>
      </x:c>
      <x:c r="L272" s="20" t="inlineStr">
        <x:is>
          <x:t xml:space="preserve"/>
        </x:is>
      </x:c>
      <x:c r="M272" s="20" t="inlineStr">
        <x:is>
          <x:t xml:space="preserve"/>
        </x:is>
      </x:c>
      <x:c r="N272" s="20" t="inlineStr">
        <x:is>
          <x:t xml:space="preserve"/>
        </x:is>
      </x:c>
      <x:c r="O272" s="20" t="inlineStr">
        <x:is>
          <x:t xml:space="preserve"/>
        </x:is>
      </x:c>
      <x:c r="P272" s="20" t="inlineStr">
        <x:is>
          <x:t xml:space="preserve"/>
        </x:is>
      </x:c>
      <x:c r="Q272" s="20" t="inlineStr">
        <x:is>
          <x:t xml:space="preserve">https://www.fldoe.org/file/18534/SchoolGrades25.xlsx</x:t>
        </x:is>
      </x:c>
      <x:c r="R272" s="20" t="inlineStr">
        <x:is>
          <x:t xml:space="preserve">School type code 01; Title I=NO; Alternative/ESE=N; coordinates pending NCES/district GIS pull.</x:t>
        </x:is>
      </x:c>
    </x:row>
    <x:row r="273">
      <x:c r="A273" s="20" t="inlineStr">
        <x:is>
          <x:t xml:space="preserve">SEMINOLE</x:t>
        </x:is>
      </x:c>
      <x:c r="B273" s="20" t="inlineStr">
        <x:is>
          <x:t xml:space="preserve">SEMINOLE</x:t>
        </x:is>
      </x:c>
      <x:c r="C273" s="20" t="inlineStr">
        <x:is>
          <x:t xml:space="preserve">590131</x:t>
        </x:is>
      </x:c>
      <x:c r="D273" s="20" t="inlineStr">
        <x:is>
          <x:t xml:space="preserve"/>
        </x:is>
      </x:c>
      <x:c r="E273" s="20" t="inlineStr">
        <x:is>
          <x:t xml:space="preserve">LAWTON ELEMENTARY SCHOOL</x:t>
        </x:is>
      </x:c>
      <x:c r="F273" s="20" t="inlineStr">
        <x:is>
          <x:t xml:space="preserve">Elementary</x:t>
        </x:is>
      </x:c>
      <x:c r="G273" s="20" t="inlineStr">
        <x:is>
          <x:t xml:space="preserve">YES</x:t>
        </x:is>
      </x:c>
      <x:c r="H273" s="20" t="inlineStr">
        <x:is>
          <x:t xml:space="preserve">NO</x:t>
        </x:is>
      </x:c>
      <x:c r="I273" s="20" t="inlineStr">
        <x:is>
          <x:t xml:space="preserve"/>
        </x:is>
      </x:c>
      <x:c r="J273" s="20" t="inlineStr">
        <x:is>
          <x:t xml:space="preserve">NO</x:t>
        </x:is>
      </x:c>
      <x:c r="K273" s="20" t="inlineStr">
        <x:is>
          <x:t xml:space="preserve"/>
        </x:is>
      </x:c>
      <x:c r="L273" s="20" t="inlineStr">
        <x:is>
          <x:t xml:space="preserve"/>
        </x:is>
      </x:c>
      <x:c r="M273" s="20" t="inlineStr">
        <x:is>
          <x:t xml:space="preserve"/>
        </x:is>
      </x:c>
      <x:c r="N273" s="20" t="inlineStr">
        <x:is>
          <x:t xml:space="preserve"/>
        </x:is>
      </x:c>
      <x:c r="O273" s="20" t="inlineStr">
        <x:is>
          <x:t xml:space="preserve"/>
        </x:is>
      </x:c>
      <x:c r="P273" s="20" t="inlineStr">
        <x:is>
          <x:t xml:space="preserve"/>
        </x:is>
      </x:c>
      <x:c r="Q273" s="20" t="inlineStr">
        <x:is>
          <x:t xml:space="preserve">https://www.fldoe.org/file/18534/SchoolGrades25.xlsx</x:t>
        </x:is>
      </x:c>
      <x:c r="R273" s="20" t="inlineStr">
        <x:is>
          <x:t xml:space="preserve">School type code 01; Title I=NO; Alternative/ESE=N; coordinates pending NCES/district GIS pull.</x:t>
        </x:is>
      </x:c>
    </x:row>
    <x:row r="274">
      <x:c r="A274" s="20" t="inlineStr">
        <x:is>
          <x:t xml:space="preserve">SEMINOLE</x:t>
        </x:is>
      </x:c>
      <x:c r="B274" s="20" t="inlineStr">
        <x:is>
          <x:t xml:space="preserve">SEMINOLE</x:t>
        </x:is>
      </x:c>
      <x:c r="C274" s="20" t="inlineStr">
        <x:is>
          <x:t xml:space="preserve">590141</x:t>
        </x:is>
      </x:c>
      <x:c r="D274" s="20" t="inlineStr">
        <x:is>
          <x:t xml:space="preserve"/>
        </x:is>
      </x:c>
      <x:c r="E274" s="20" t="inlineStr">
        <x:is>
          <x:t xml:space="preserve">PINE CREST ELEMENTARY SCHOOL</x:t>
        </x:is>
      </x:c>
      <x:c r="F274" s="20" t="inlineStr">
        <x:is>
          <x:t xml:space="preserve">Elementary</x:t>
        </x:is>
      </x:c>
      <x:c r="G274" s="20" t="inlineStr">
        <x:is>
          <x:t xml:space="preserve">YES</x:t>
        </x:is>
      </x:c>
      <x:c r="H274" s="20" t="inlineStr">
        <x:is>
          <x:t xml:space="preserve">NO</x:t>
        </x:is>
      </x:c>
      <x:c r="I274" s="20" t="inlineStr">
        <x:is>
          <x:t xml:space="preserve"/>
        </x:is>
      </x:c>
      <x:c r="J274" s="20" t="inlineStr">
        <x:is>
          <x:t xml:space="preserve">NO</x:t>
        </x:is>
      </x:c>
      <x:c r="K274" s="20" t="inlineStr">
        <x:is>
          <x:t xml:space="preserve"/>
        </x:is>
      </x:c>
      <x:c r="L274" s="20" t="inlineStr">
        <x:is>
          <x:t xml:space="preserve"/>
        </x:is>
      </x:c>
      <x:c r="M274" s="20" t="inlineStr">
        <x:is>
          <x:t xml:space="preserve"/>
        </x:is>
      </x:c>
      <x:c r="N274" s="20" t="inlineStr">
        <x:is>
          <x:t xml:space="preserve"/>
        </x:is>
      </x:c>
      <x:c r="O274" s="20" t="inlineStr">
        <x:is>
          <x:t xml:space="preserve"/>
        </x:is>
      </x:c>
      <x:c r="P274" s="20" t="inlineStr">
        <x:is>
          <x:t xml:space="preserve"/>
        </x:is>
      </x:c>
      <x:c r="Q274" s="20" t="inlineStr">
        <x:is>
          <x:t xml:space="preserve">https://www.fldoe.org/file/18534/SchoolGrades25.xlsx</x:t>
        </x:is>
      </x:c>
      <x:c r="R274" s="20" t="inlineStr">
        <x:is>
          <x:t xml:space="preserve">School type code 01; Title I=YES; Alternative/ESE=N; coordinates pending NCES/district GIS pull.</x:t>
        </x:is>
      </x:c>
    </x:row>
    <x:row r="275">
      <x:c r="A275" s="20" t="inlineStr">
        <x:is>
          <x:t xml:space="preserve">SEMINOLE</x:t>
        </x:is>
      </x:c>
      <x:c r="B275" s="20" t="inlineStr">
        <x:is>
          <x:t xml:space="preserve">SEMINOLE</x:t>
        </x:is>
      </x:c>
      <x:c r="C275" s="20" t="inlineStr">
        <x:is>
          <x:t xml:space="preserve">590151</x:t>
        </x:is>
      </x:c>
      <x:c r="D275" s="20" t="inlineStr">
        <x:is>
          <x:t xml:space="preserve"/>
        </x:is>
      </x:c>
      <x:c r="E275" s="20" t="inlineStr">
        <x:is>
          <x:t xml:space="preserve">SANFORD MIDDLE SCHOOL</x:t>
        </x:is>
      </x:c>
      <x:c r="F275" s="20" t="inlineStr">
        <x:is>
          <x:t xml:space="preserve">Middle/Junior</x:t>
        </x:is>
      </x:c>
      <x:c r="G275" s="20" t="inlineStr">
        <x:is>
          <x:t xml:space="preserve">YES</x:t>
        </x:is>
      </x:c>
      <x:c r="H275" s="20" t="inlineStr">
        <x:is>
          <x:t xml:space="preserve">NO</x:t>
        </x:is>
      </x:c>
      <x:c r="I275" s="20" t="inlineStr">
        <x:is>
          <x:t xml:space="preserve"/>
        </x:is>
      </x:c>
      <x:c r="J275" s="20" t="inlineStr">
        <x:is>
          <x:t xml:space="preserve">NO</x:t>
        </x:is>
      </x:c>
      <x:c r="K275" s="20" t="inlineStr">
        <x:is>
          <x:t xml:space="preserve"/>
        </x:is>
      </x:c>
      <x:c r="L275" s="20" t="inlineStr">
        <x:is>
          <x:t xml:space="preserve"/>
        </x:is>
      </x:c>
      <x:c r="M275" s="20" t="inlineStr">
        <x:is>
          <x:t xml:space="preserve"/>
        </x:is>
      </x:c>
      <x:c r="N275" s="20" t="inlineStr">
        <x:is>
          <x:t xml:space="preserve"/>
        </x:is>
      </x:c>
      <x:c r="O275" s="20" t="inlineStr">
        <x:is>
          <x:t xml:space="preserve"/>
        </x:is>
      </x:c>
      <x:c r="P275" s="20" t="inlineStr">
        <x:is>
          <x:t xml:space="preserve"/>
        </x:is>
      </x:c>
      <x:c r="Q275" s="20" t="inlineStr">
        <x:is>
          <x:t xml:space="preserve">https://www.fldoe.org/file/18534/SchoolGrades25.xlsx</x:t>
        </x:is>
      </x:c>
      <x:c r="R275" s="20" t="inlineStr">
        <x:is>
          <x:t xml:space="preserve">School type code 02; Title I=NO; Alternative/ESE=N; coordinates pending NCES/district GIS pull.</x:t>
        </x:is>
      </x:c>
    </x:row>
    <x:row r="276">
      <x:c r="A276" s="20" t="inlineStr">
        <x:is>
          <x:t xml:space="preserve">SEMINOLE</x:t>
        </x:is>
      </x:c>
      <x:c r="B276" s="20" t="inlineStr">
        <x:is>
          <x:t xml:space="preserve">SEMINOLE</x:t>
        </x:is>
      </x:c>
      <x:c r="C276" s="20" t="inlineStr">
        <x:is>
          <x:t xml:space="preserve">590171</x:t>
        </x:is>
      </x:c>
      <x:c r="D276" s="20" t="inlineStr">
        <x:is>
          <x:t xml:space="preserve"/>
        </x:is>
      </x:c>
      <x:c r="E276" s="20" t="inlineStr">
        <x:is>
          <x:t xml:space="preserve">WALKER ELEMENTARY SCHOOL</x:t>
        </x:is>
      </x:c>
      <x:c r="F276" s="20" t="inlineStr">
        <x:is>
          <x:t xml:space="preserve">Elementary</x:t>
        </x:is>
      </x:c>
      <x:c r="G276" s="20" t="inlineStr">
        <x:is>
          <x:t xml:space="preserve">YES</x:t>
        </x:is>
      </x:c>
      <x:c r="H276" s="20" t="inlineStr">
        <x:is>
          <x:t xml:space="preserve">NO</x:t>
        </x:is>
      </x:c>
      <x:c r="I276" s="20" t="inlineStr">
        <x:is>
          <x:t xml:space="preserve"/>
        </x:is>
      </x:c>
      <x:c r="J276" s="20" t="inlineStr">
        <x:is>
          <x:t xml:space="preserve">NO</x:t>
        </x:is>
      </x:c>
      <x:c r="K276" s="20" t="inlineStr">
        <x:is>
          <x:t xml:space="preserve"/>
        </x:is>
      </x:c>
      <x:c r="L276" s="20" t="inlineStr">
        <x:is>
          <x:t xml:space="preserve"/>
        </x:is>
      </x:c>
      <x:c r="M276" s="20" t="inlineStr">
        <x:is>
          <x:t xml:space="preserve"/>
        </x:is>
      </x:c>
      <x:c r="N276" s="20" t="inlineStr">
        <x:is>
          <x:t xml:space="preserve"/>
        </x:is>
      </x:c>
      <x:c r="O276" s="20" t="inlineStr">
        <x:is>
          <x:t xml:space="preserve"/>
        </x:is>
      </x:c>
      <x:c r="P276" s="20" t="inlineStr">
        <x:is>
          <x:t xml:space="preserve"/>
        </x:is>
      </x:c>
      <x:c r="Q276" s="20" t="inlineStr">
        <x:is>
          <x:t xml:space="preserve">https://www.fldoe.org/file/18534/SchoolGrades25.xlsx</x:t>
        </x:is>
      </x:c>
      <x:c r="R276" s="20" t="inlineStr">
        <x:is>
          <x:t xml:space="preserve">School type code 01; Title I=NO; Alternative/ESE=N; coordinates pending NCES/district GIS pull.</x:t>
        </x:is>
      </x:c>
    </x:row>
    <x:row r="277">
      <x:c r="A277" s="20" t="inlineStr">
        <x:is>
          <x:t xml:space="preserve">SEMINOLE</x:t>
        </x:is>
      </x:c>
      <x:c r="B277" s="20" t="inlineStr">
        <x:is>
          <x:t xml:space="preserve">SEMINOLE</x:t>
        </x:is>
      </x:c>
      <x:c r="C277" s="20" t="inlineStr">
        <x:is>
          <x:t xml:space="preserve">590181</x:t>
        </x:is>
      </x:c>
      <x:c r="D277" s="20" t="inlineStr">
        <x:is>
          <x:t xml:space="preserve"/>
        </x:is>
      </x:c>
      <x:c r="E277" s="20" t="inlineStr">
        <x:is>
          <x:t xml:space="preserve">SEMINOLE HIGH SCHOOL</x:t>
        </x:is>
      </x:c>
      <x:c r="F277" s="20" t="inlineStr">
        <x:is>
          <x:t xml:space="preserve">Senior High</x:t>
        </x:is>
      </x:c>
      <x:c r="G277" s="20" t="inlineStr">
        <x:is>
          <x:t xml:space="preserve">YES</x:t>
        </x:is>
      </x:c>
      <x:c r="H277" s="20" t="inlineStr">
        <x:is>
          <x:t xml:space="preserve">NO</x:t>
        </x:is>
      </x:c>
      <x:c r="I277" s="20" t="inlineStr">
        <x:is>
          <x:t xml:space="preserve"/>
        </x:is>
      </x:c>
      <x:c r="J277" s="20" t="inlineStr">
        <x:is>
          <x:t xml:space="preserve">NO</x:t>
        </x:is>
      </x:c>
      <x:c r="K277" s="20" t="inlineStr">
        <x:is>
          <x:t xml:space="preserve"/>
        </x:is>
      </x:c>
      <x:c r="L277" s="20" t="inlineStr">
        <x:is>
          <x:t xml:space="preserve"/>
        </x:is>
      </x:c>
      <x:c r="M277" s="20" t="inlineStr">
        <x:is>
          <x:t xml:space="preserve"/>
        </x:is>
      </x:c>
      <x:c r="N277" s="20" t="inlineStr">
        <x:is>
          <x:t xml:space="preserve"/>
        </x:is>
      </x:c>
      <x:c r="O277" s="20" t="inlineStr">
        <x:is>
          <x:t xml:space="preserve"/>
        </x:is>
      </x:c>
      <x:c r="P277" s="20" t="inlineStr">
        <x:is>
          <x:t xml:space="preserve"/>
        </x:is>
      </x:c>
      <x:c r="Q277" s="20" t="inlineStr">
        <x:is>
          <x:t xml:space="preserve">https://www.fldoe.org/file/18534/SchoolGrades25.xlsx</x:t>
        </x:is>
      </x:c>
      <x:c r="R277" s="20" t="inlineStr">
        <x:is>
          <x:t xml:space="preserve">School type code 03; Title I=NO; Alternative/ESE=N; coordinates pending NCES/district GIS pull.</x:t>
        </x:is>
      </x:c>
    </x:row>
    <x:row r="278">
      <x:c r="A278" s="20" t="inlineStr">
        <x:is>
          <x:t xml:space="preserve">SEMINOLE</x:t>
        </x:is>
      </x:c>
      <x:c r="B278" s="20" t="inlineStr">
        <x:is>
          <x:t xml:space="preserve">SEMINOLE</x:t>
        </x:is>
      </x:c>
      <x:c r="C278" s="20" t="inlineStr">
        <x:is>
          <x:t xml:space="preserve">590182</x:t>
        </x:is>
      </x:c>
      <x:c r="D278" s="20" t="inlineStr">
        <x:is>
          <x:t xml:space="preserve"/>
        </x:is>
      </x:c>
      <x:c r="E278" s="20" t="inlineStr">
        <x:is>
          <x:t xml:space="preserve">MILLENNIUM MIDDLE SCHOOL</x:t>
        </x:is>
      </x:c>
      <x:c r="F278" s="20" t="inlineStr">
        <x:is>
          <x:t xml:space="preserve">Middle/Junior</x:t>
        </x:is>
      </x:c>
      <x:c r="G278" s="20" t="inlineStr">
        <x:is>
          <x:t xml:space="preserve">YES</x:t>
        </x:is>
      </x:c>
      <x:c r="H278" s="20" t="inlineStr">
        <x:is>
          <x:t xml:space="preserve">NO</x:t>
        </x:is>
      </x:c>
      <x:c r="I278" s="20" t="inlineStr">
        <x:is>
          <x:t xml:space="preserve"/>
        </x:is>
      </x:c>
      <x:c r="J278" s="20" t="inlineStr">
        <x:is>
          <x:t xml:space="preserve">NO</x:t>
        </x:is>
      </x:c>
      <x:c r="K278" s="20" t="inlineStr">
        <x:is>
          <x:t xml:space="preserve"/>
        </x:is>
      </x:c>
      <x:c r="L278" s="20" t="inlineStr">
        <x:is>
          <x:t xml:space="preserve"/>
        </x:is>
      </x:c>
      <x:c r="M278" s="20" t="inlineStr">
        <x:is>
          <x:t xml:space="preserve"/>
        </x:is>
      </x:c>
      <x:c r="N278" s="20" t="inlineStr">
        <x:is>
          <x:t xml:space="preserve"/>
        </x:is>
      </x:c>
      <x:c r="O278" s="20" t="inlineStr">
        <x:is>
          <x:t xml:space="preserve"/>
        </x:is>
      </x:c>
      <x:c r="P278" s="20" t="inlineStr">
        <x:is>
          <x:t xml:space="preserve"/>
        </x:is>
      </x:c>
      <x:c r="Q278" s="20" t="inlineStr">
        <x:is>
          <x:t xml:space="preserve">https://www.fldoe.org/file/18534/SchoolGrades25.xlsx</x:t>
        </x:is>
      </x:c>
      <x:c r="R278" s="20" t="inlineStr">
        <x:is>
          <x:t xml:space="preserve">School type code 02; Title I=YES; Alternative/ESE=N; coordinates pending NCES/district GIS pull.</x:t>
        </x:is>
      </x:c>
    </x:row>
    <x:row r="279">
      <x:c r="A279" s="20" t="inlineStr">
        <x:is>
          <x:t xml:space="preserve">SEMINOLE</x:t>
        </x:is>
      </x:c>
      <x:c r="B279" s="20" t="inlineStr">
        <x:is>
          <x:t xml:space="preserve">SEMINOLE</x:t>
        </x:is>
      </x:c>
      <x:c r="C279" s="20" t="inlineStr">
        <x:is>
          <x:t xml:space="preserve">590201</x:t>
        </x:is>
      </x:c>
      <x:c r="D279" s="20" t="inlineStr">
        <x:is>
          <x:t xml:space="preserve"/>
        </x:is>
      </x:c>
      <x:c r="E279" s="20" t="inlineStr">
        <x:is>
          <x:t xml:space="preserve">SOUTH SEMINOLE MIDDLE SCHOOL</x:t>
        </x:is>
      </x:c>
      <x:c r="F279" s="20" t="inlineStr">
        <x:is>
          <x:t xml:space="preserve">Middle/Junior</x:t>
        </x:is>
      </x:c>
      <x:c r="G279" s="20" t="inlineStr">
        <x:is>
          <x:t xml:space="preserve">YES</x:t>
        </x:is>
      </x:c>
      <x:c r="H279" s="20" t="inlineStr">
        <x:is>
          <x:t xml:space="preserve">NO</x:t>
        </x:is>
      </x:c>
      <x:c r="I279" s="20" t="inlineStr">
        <x:is>
          <x:t xml:space="preserve"/>
        </x:is>
      </x:c>
      <x:c r="J279" s="20" t="inlineStr">
        <x:is>
          <x:t xml:space="preserve">NO</x:t>
        </x:is>
      </x:c>
      <x:c r="K279" s="20" t="inlineStr">
        <x:is>
          <x:t xml:space="preserve"/>
        </x:is>
      </x:c>
      <x:c r="L279" s="20" t="inlineStr">
        <x:is>
          <x:t xml:space="preserve"/>
        </x:is>
      </x:c>
      <x:c r="M279" s="20" t="inlineStr">
        <x:is>
          <x:t xml:space="preserve"/>
        </x:is>
      </x:c>
      <x:c r="N279" s="20" t="inlineStr">
        <x:is>
          <x:t xml:space="preserve"/>
        </x:is>
      </x:c>
      <x:c r="O279" s="20" t="inlineStr">
        <x:is>
          <x:t xml:space="preserve"/>
        </x:is>
      </x:c>
      <x:c r="P279" s="20" t="inlineStr">
        <x:is>
          <x:t xml:space="preserve"/>
        </x:is>
      </x:c>
      <x:c r="Q279" s="20" t="inlineStr">
        <x:is>
          <x:t xml:space="preserve">https://www.fldoe.org/file/18534/SchoolGrades25.xlsx</x:t>
        </x:is>
      </x:c>
      <x:c r="R279" s="20" t="inlineStr">
        <x:is>
          <x:t xml:space="preserve">School type code 02; Title I=YES; Alternative/ESE=N; coordinates pending NCES/district GIS pull.</x:t>
        </x:is>
      </x:c>
    </x:row>
    <x:row r="280">
      <x:c r="A280" s="20" t="inlineStr">
        <x:is>
          <x:t xml:space="preserve">SEMINOLE</x:t>
        </x:is>
      </x:c>
      <x:c r="B280" s="20" t="inlineStr">
        <x:is>
          <x:t xml:space="preserve">SEMINOLE</x:t>
        </x:is>
      </x:c>
      <x:c r="C280" s="20" t="inlineStr">
        <x:is>
          <x:t xml:space="preserve">590202</x:t>
        </x:is>
      </x:c>
      <x:c r="D280" s="20" t="inlineStr">
        <x:is>
          <x:t xml:space="preserve"/>
        </x:is>
      </x:c>
      <x:c r="E280" s="20" t="inlineStr">
        <x:is>
          <x:t xml:space="preserve">CASSELBERRY ELEMENTARY SCHOOL</x:t>
        </x:is>
      </x:c>
      <x:c r="F280" s="20" t="inlineStr">
        <x:is>
          <x:t xml:space="preserve">Elementary</x:t>
        </x:is>
      </x:c>
      <x:c r="G280" s="20" t="inlineStr">
        <x:is>
          <x:t xml:space="preserve">YES</x:t>
        </x:is>
      </x:c>
      <x:c r="H280" s="20" t="inlineStr">
        <x:is>
          <x:t xml:space="preserve">NO</x:t>
        </x:is>
      </x:c>
      <x:c r="I280" s="20" t="inlineStr">
        <x:is>
          <x:t xml:space="preserve"/>
        </x:is>
      </x:c>
      <x:c r="J280" s="20" t="inlineStr">
        <x:is>
          <x:t xml:space="preserve">NO</x:t>
        </x:is>
      </x:c>
      <x:c r="K280" s="20" t="inlineStr">
        <x:is>
          <x:t xml:space="preserve"/>
        </x:is>
      </x:c>
      <x:c r="L280" s="20" t="inlineStr">
        <x:is>
          <x:t xml:space="preserve"/>
        </x:is>
      </x:c>
      <x:c r="M280" s="20" t="inlineStr">
        <x:is>
          <x:t xml:space="preserve"/>
        </x:is>
      </x:c>
      <x:c r="N280" s="20" t="inlineStr">
        <x:is>
          <x:t xml:space="preserve"/>
        </x:is>
      </x:c>
      <x:c r="O280" s="20" t="inlineStr">
        <x:is>
          <x:t xml:space="preserve"/>
        </x:is>
      </x:c>
      <x:c r="P280" s="20" t="inlineStr">
        <x:is>
          <x:t xml:space="preserve"/>
        </x:is>
      </x:c>
      <x:c r="Q280" s="20" t="inlineStr">
        <x:is>
          <x:t xml:space="preserve">https://www.fldoe.org/file/18534/SchoolGrades25.xlsx</x:t>
        </x:is>
      </x:c>
      <x:c r="R280" s="20" t="inlineStr">
        <x:is>
          <x:t xml:space="preserve">School type code 01; Title I=YES; Alternative/ESE=N; coordinates pending NCES/district GIS pull.</x:t>
        </x:is>
      </x:c>
    </x:row>
    <x:row r="281">
      <x:c r="A281" s="20" t="inlineStr">
        <x:is>
          <x:t xml:space="preserve">SEMINOLE</x:t>
        </x:is>
      </x:c>
      <x:c r="B281" s="20" t="inlineStr">
        <x:is>
          <x:t xml:space="preserve">SEMINOLE</x:t>
        </x:is>
      </x:c>
      <x:c r="C281" s="20" t="inlineStr">
        <x:is>
          <x:t xml:space="preserve">590231</x:t>
        </x:is>
      </x:c>
      <x:c r="D281" s="20" t="inlineStr">
        <x:is>
          <x:t xml:space="preserve"/>
        </x:is>
      </x:c>
      <x:c r="E281" s="20" t="inlineStr">
        <x:is>
          <x:t xml:space="preserve">WILSON ELEMENTARY SCHOOL</x:t>
        </x:is>
      </x:c>
      <x:c r="F281" s="20" t="inlineStr">
        <x:is>
          <x:t xml:space="preserve">Elementary</x:t>
        </x:is>
      </x:c>
      <x:c r="G281" s="20" t="inlineStr">
        <x:is>
          <x:t xml:space="preserve">YES</x:t>
        </x:is>
      </x:c>
      <x:c r="H281" s="20" t="inlineStr">
        <x:is>
          <x:t xml:space="preserve">NO</x:t>
        </x:is>
      </x:c>
      <x:c r="I281" s="20" t="inlineStr">
        <x:is>
          <x:t xml:space="preserve"/>
        </x:is>
      </x:c>
      <x:c r="J281" s="20" t="inlineStr">
        <x:is>
          <x:t xml:space="preserve">NO</x:t>
        </x:is>
      </x:c>
      <x:c r="K281" s="20" t="inlineStr">
        <x:is>
          <x:t xml:space="preserve"/>
        </x:is>
      </x:c>
      <x:c r="L281" s="20" t="inlineStr">
        <x:is>
          <x:t xml:space="preserve"/>
        </x:is>
      </x:c>
      <x:c r="M281" s="20" t="inlineStr">
        <x:is>
          <x:t xml:space="preserve"/>
        </x:is>
      </x:c>
      <x:c r="N281" s="20" t="inlineStr">
        <x:is>
          <x:t xml:space="preserve"/>
        </x:is>
      </x:c>
      <x:c r="O281" s="20" t="inlineStr">
        <x:is>
          <x:t xml:space="preserve"/>
        </x:is>
      </x:c>
      <x:c r="P281" s="20" t="inlineStr">
        <x:is>
          <x:t xml:space="preserve"/>
        </x:is>
      </x:c>
      <x:c r="Q281" s="20" t="inlineStr">
        <x:is>
          <x:t xml:space="preserve">https://www.fldoe.org/file/18534/SchoolGrades25.xlsx</x:t>
        </x:is>
      </x:c>
      <x:c r="R281" s="20" t="inlineStr">
        <x:is>
          <x:t xml:space="preserve">School type code 01; Title I=NO; Alternative/ESE=N; coordinates pending NCES/district GIS pull.</x:t>
        </x:is>
      </x:c>
    </x:row>
    <x:row r="282">
      <x:c r="A282" s="20" t="inlineStr">
        <x:is>
          <x:t xml:space="preserve">SEMINOLE</x:t>
        </x:is>
      </x:c>
      <x:c r="B282" s="20" t="inlineStr">
        <x:is>
          <x:t xml:space="preserve">SEMINOLE</x:t>
        </x:is>
      </x:c>
      <x:c r="C282" s="20" t="inlineStr">
        <x:is>
          <x:t xml:space="preserve">590251</x:t>
        </x:is>
      </x:c>
      <x:c r="D282" s="20" t="inlineStr">
        <x:is>
          <x:t xml:space="preserve"/>
        </x:is>
      </x:c>
      <x:c r="E282" s="20" t="inlineStr">
        <x:is>
          <x:t xml:space="preserve">CROOMS ACADEMY OF INFORMATION TECHNOLOGY</x:t>
        </x:is>
      </x:c>
      <x:c r="F282" s="20" t="inlineStr">
        <x:is>
          <x:t xml:space="preserve">Senior High</x:t>
        </x:is>
      </x:c>
      <x:c r="G282" s="20" t="inlineStr">
        <x:is>
          <x:t xml:space="preserve">YES</x:t>
        </x:is>
      </x:c>
      <x:c r="H282" s="20" t="inlineStr">
        <x:is>
          <x:t xml:space="preserve">NO</x:t>
        </x:is>
      </x:c>
      <x:c r="I282" s="20" t="inlineStr">
        <x:is>
          <x:t xml:space="preserve"/>
        </x:is>
      </x:c>
      <x:c r="J282" s="20" t="inlineStr">
        <x:is>
          <x:t xml:space="preserve">NO</x:t>
        </x:is>
      </x:c>
      <x:c r="K282" s="20" t="inlineStr">
        <x:is>
          <x:t xml:space="preserve"/>
        </x:is>
      </x:c>
      <x:c r="L282" s="20" t="inlineStr">
        <x:is>
          <x:t xml:space="preserve"/>
        </x:is>
      </x:c>
      <x:c r="M282" s="20" t="inlineStr">
        <x:is>
          <x:t xml:space="preserve"/>
        </x:is>
      </x:c>
      <x:c r="N282" s="20" t="inlineStr">
        <x:is>
          <x:t xml:space="preserve"/>
        </x:is>
      </x:c>
      <x:c r="O282" s="20" t="inlineStr">
        <x:is>
          <x:t xml:space="preserve"/>
        </x:is>
      </x:c>
      <x:c r="P282" s="20" t="inlineStr">
        <x:is>
          <x:t xml:space="preserve"/>
        </x:is>
      </x:c>
      <x:c r="Q282" s="20" t="inlineStr">
        <x:is>
          <x:t xml:space="preserve">https://www.fldoe.org/file/18534/SchoolGrades25.xlsx</x:t>
        </x:is>
      </x:c>
      <x:c r="R282" s="20" t="inlineStr">
        <x:is>
          <x:t xml:space="preserve">School type code 03; Title I=NO; Alternative/ESE=N; coordinates pending NCES/district GIS pull.</x:t>
        </x:is>
      </x:c>
    </x:row>
    <x:row r="283">
      <x:c r="A283" s="20" t="inlineStr">
        <x:is>
          <x:t xml:space="preserve">SEMINOLE</x:t>
        </x:is>
      </x:c>
      <x:c r="B283" s="20" t="inlineStr">
        <x:is>
          <x:t xml:space="preserve">SEMINOLE</x:t>
        </x:is>
      </x:c>
      <x:c r="C283" s="20" t="inlineStr">
        <x:is>
          <x:t xml:space="preserve">590271</x:t>
        </x:is>
      </x:c>
      <x:c r="D283" s="20" t="inlineStr">
        <x:is>
          <x:t xml:space="preserve"/>
        </x:is>
      </x:c>
      <x:c r="E283" s="20" t="inlineStr">
        <x:is>
          <x:t xml:space="preserve">GOLDSBORO ELEMENTARY MAGNET</x:t>
        </x:is>
      </x:c>
      <x:c r="F283" s="20" t="inlineStr">
        <x:is>
          <x:t xml:space="preserve">Elementary</x:t>
        </x:is>
      </x:c>
      <x:c r="G283" s="20" t="inlineStr">
        <x:is>
          <x:t xml:space="preserve">YES</x:t>
        </x:is>
      </x:c>
      <x:c r="H283" s="20" t="inlineStr">
        <x:is>
          <x:t xml:space="preserve">NO</x:t>
        </x:is>
      </x:c>
      <x:c r="I283" s="20" t="inlineStr">
        <x:is>
          <x:t xml:space="preserve"/>
        </x:is>
      </x:c>
      <x:c r="J283" s="20" t="inlineStr">
        <x:is>
          <x:t xml:space="preserve">NO</x:t>
        </x:is>
      </x:c>
      <x:c r="K283" s="20" t="inlineStr">
        <x:is>
          <x:t xml:space="preserve"/>
        </x:is>
      </x:c>
      <x:c r="L283" s="20" t="inlineStr">
        <x:is>
          <x:t xml:space="preserve"/>
        </x:is>
      </x:c>
      <x:c r="M283" s="20" t="inlineStr">
        <x:is>
          <x:t xml:space="preserve"/>
        </x:is>
      </x:c>
      <x:c r="N283" s="20" t="inlineStr">
        <x:is>
          <x:t xml:space="preserve"/>
        </x:is>
      </x:c>
      <x:c r="O283" s="20" t="inlineStr">
        <x:is>
          <x:t xml:space="preserve"/>
        </x:is>
      </x:c>
      <x:c r="P283" s="20" t="inlineStr">
        <x:is>
          <x:t xml:space="preserve"/>
        </x:is>
      </x:c>
      <x:c r="Q283" s="20" t="inlineStr">
        <x:is>
          <x:t xml:space="preserve">https://www.fldoe.org/file/18534/SchoolGrades25.xlsx</x:t>
        </x:is>
      </x:c>
      <x:c r="R283" s="20" t="inlineStr">
        <x:is>
          <x:t xml:space="preserve">School type code 01; Title I=NO; Alternative/ESE=N; coordinates pending NCES/district GIS pull.</x:t>
        </x:is>
      </x:c>
    </x:row>
    <x:row r="284">
      <x:c r="A284" s="20" t="inlineStr">
        <x:is>
          <x:t xml:space="preserve">SEMINOLE</x:t>
        </x:is>
      </x:c>
      <x:c r="B284" s="20" t="inlineStr">
        <x:is>
          <x:t xml:space="preserve">SEMINOLE</x:t>
        </x:is>
      </x:c>
      <x:c r="C284" s="20" t="inlineStr">
        <x:is>
          <x:t xml:space="preserve">590291</x:t>
        </x:is>
      </x:c>
      <x:c r="D284" s="20" t="inlineStr">
        <x:is>
          <x:t xml:space="preserve"/>
        </x:is>
      </x:c>
      <x:c r="E284" s="20" t="inlineStr">
        <x:is>
          <x:t xml:space="preserve">JACKSON HEIGHTS MIDDLE SCHOOL</x:t>
        </x:is>
      </x:c>
      <x:c r="F284" s="20" t="inlineStr">
        <x:is>
          <x:t xml:space="preserve">Middle/Junior</x:t>
        </x:is>
      </x:c>
      <x:c r="G284" s="20" t="inlineStr">
        <x:is>
          <x:t xml:space="preserve">YES</x:t>
        </x:is>
      </x:c>
      <x:c r="H284" s="20" t="inlineStr">
        <x:is>
          <x:t xml:space="preserve">NO</x:t>
        </x:is>
      </x:c>
      <x:c r="I284" s="20" t="inlineStr">
        <x:is>
          <x:t xml:space="preserve"/>
        </x:is>
      </x:c>
      <x:c r="J284" s="20" t="inlineStr">
        <x:is>
          <x:t xml:space="preserve">NO</x:t>
        </x:is>
      </x:c>
      <x:c r="K284" s="20" t="inlineStr">
        <x:is>
          <x:t xml:space="preserve"/>
        </x:is>
      </x:c>
      <x:c r="L284" s="20" t="inlineStr">
        <x:is>
          <x:t xml:space="preserve"/>
        </x:is>
      </x:c>
      <x:c r="M284" s="20" t="inlineStr">
        <x:is>
          <x:t xml:space="preserve"/>
        </x:is>
      </x:c>
      <x:c r="N284" s="20" t="inlineStr">
        <x:is>
          <x:t xml:space="preserve"/>
        </x:is>
      </x:c>
      <x:c r="O284" s="20" t="inlineStr">
        <x:is>
          <x:t xml:space="preserve"/>
        </x:is>
      </x:c>
      <x:c r="P284" s="20" t="inlineStr">
        <x:is>
          <x:t xml:space="preserve"/>
        </x:is>
      </x:c>
      <x:c r="Q284" s="20" t="inlineStr">
        <x:is>
          <x:t xml:space="preserve">https://www.fldoe.org/file/18534/SchoolGrades25.xlsx</x:t>
        </x:is>
      </x:c>
      <x:c r="R284" s="20" t="inlineStr">
        <x:is>
          <x:t xml:space="preserve">School type code 02; Title I=NO; Alternative/ESE=N; coordinates pending NCES/district GIS pull.</x:t>
        </x:is>
      </x:c>
    </x:row>
    <x:row r="285">
      <x:c r="A285" s="20" t="inlineStr">
        <x:is>
          <x:t xml:space="preserve">SEMINOLE</x:t>
        </x:is>
      </x:c>
      <x:c r="B285" s="20" t="inlineStr">
        <x:is>
          <x:t xml:space="preserve">SEMINOLE</x:t>
        </x:is>
      </x:c>
      <x:c r="C285" s="20" t="inlineStr">
        <x:is>
          <x:t xml:space="preserve">590301</x:t>
        </x:is>
      </x:c>
      <x:c r="D285" s="20" t="inlineStr">
        <x:is>
          <x:t xml:space="preserve"/>
        </x:is>
      </x:c>
      <x:c r="E285" s="20" t="inlineStr">
        <x:is>
          <x:t xml:space="preserve">MIDWAY ELEMENTARY SCHOOL</x:t>
        </x:is>
      </x:c>
      <x:c r="F285" s="20" t="inlineStr">
        <x:is>
          <x:t xml:space="preserve">Elementary</x:t>
        </x:is>
      </x:c>
      <x:c r="G285" s="20" t="inlineStr">
        <x:is>
          <x:t xml:space="preserve">YES</x:t>
        </x:is>
      </x:c>
      <x:c r="H285" s="20" t="inlineStr">
        <x:is>
          <x:t xml:space="preserve">NO</x:t>
        </x:is>
      </x:c>
      <x:c r="I285" s="20" t="inlineStr">
        <x:is>
          <x:t xml:space="preserve"/>
        </x:is>
      </x:c>
      <x:c r="J285" s="20" t="inlineStr">
        <x:is>
          <x:t xml:space="preserve">NO</x:t>
        </x:is>
      </x:c>
      <x:c r="K285" s="20" t="inlineStr">
        <x:is>
          <x:t xml:space="preserve"/>
        </x:is>
      </x:c>
      <x:c r="L285" s="20" t="inlineStr">
        <x:is>
          <x:t xml:space="preserve"/>
        </x:is>
      </x:c>
      <x:c r="M285" s="20" t="inlineStr">
        <x:is>
          <x:t xml:space="preserve"/>
        </x:is>
      </x:c>
      <x:c r="N285" s="20" t="inlineStr">
        <x:is>
          <x:t xml:space="preserve"/>
        </x:is>
      </x:c>
      <x:c r="O285" s="20" t="inlineStr">
        <x:is>
          <x:t xml:space="preserve"/>
        </x:is>
      </x:c>
      <x:c r="P285" s="20" t="inlineStr">
        <x:is>
          <x:t xml:space="preserve"/>
        </x:is>
      </x:c>
      <x:c r="Q285" s="20" t="inlineStr">
        <x:is>
          <x:t xml:space="preserve">https://www.fldoe.org/file/18534/SchoolGrades25.xlsx</x:t>
        </x:is>
      </x:c>
      <x:c r="R285" s="20" t="inlineStr">
        <x:is>
          <x:t xml:space="preserve">School type code 01; Title I=YES; Alternative/ESE=N; coordinates pending NCES/district GIS pull.</x:t>
        </x:is>
      </x:c>
    </x:row>
    <x:row r="286">
      <x:c r="A286" s="20" t="inlineStr">
        <x:is>
          <x:t xml:space="preserve">SEMINOLE</x:t>
        </x:is>
      </x:c>
      <x:c r="B286" s="20" t="inlineStr">
        <x:is>
          <x:t xml:space="preserve">SEMINOLE</x:t>
        </x:is>
      </x:c>
      <x:c r="C286" s="20" t="inlineStr">
        <x:is>
          <x:t xml:space="preserve">590331</x:t>
        </x:is>
      </x:c>
      <x:c r="D286" s="20" t="inlineStr">
        <x:is>
          <x:t xml:space="preserve"/>
        </x:is>
      </x:c>
      <x:c r="E286" s="20" t="inlineStr">
        <x:is>
          <x:t xml:space="preserve">HIGHLANDS ELEMENTARY SCHOOL</x:t>
        </x:is>
      </x:c>
      <x:c r="F286" s="20" t="inlineStr">
        <x:is>
          <x:t xml:space="preserve">Elementary</x:t>
        </x:is>
      </x:c>
      <x:c r="G286" s="20" t="inlineStr">
        <x:is>
          <x:t xml:space="preserve">YES</x:t>
        </x:is>
      </x:c>
      <x:c r="H286" s="20" t="inlineStr">
        <x:is>
          <x:t xml:space="preserve">NO</x:t>
        </x:is>
      </x:c>
      <x:c r="I286" s="20" t="inlineStr">
        <x:is>
          <x:t xml:space="preserve"/>
        </x:is>
      </x:c>
      <x:c r="J286" s="20" t="inlineStr">
        <x:is>
          <x:t xml:space="preserve">NO</x:t>
        </x:is>
      </x:c>
      <x:c r="K286" s="20" t="inlineStr">
        <x:is>
          <x:t xml:space="preserve"/>
        </x:is>
      </x:c>
      <x:c r="L286" s="20" t="inlineStr">
        <x:is>
          <x:t xml:space="preserve"/>
        </x:is>
      </x:c>
      <x:c r="M286" s="20" t="inlineStr">
        <x:is>
          <x:t xml:space="preserve"/>
        </x:is>
      </x:c>
      <x:c r="N286" s="20" t="inlineStr">
        <x:is>
          <x:t xml:space="preserve"/>
        </x:is>
      </x:c>
      <x:c r="O286" s="20" t="inlineStr">
        <x:is>
          <x:t xml:space="preserve"/>
        </x:is>
      </x:c>
      <x:c r="P286" s="20" t="inlineStr">
        <x:is>
          <x:t xml:space="preserve"/>
        </x:is>
      </x:c>
      <x:c r="Q286" s="20" t="inlineStr">
        <x:is>
          <x:t xml:space="preserve">https://www.fldoe.org/file/18534/SchoolGrades25.xlsx</x:t>
        </x:is>
      </x:c>
      <x:c r="R286" s="20" t="inlineStr">
        <x:is>
          <x:t xml:space="preserve">School type code 01; Title I=YES; Alternative/ESE=N; coordinates pending NCES/district GIS pull.</x:t>
        </x:is>
      </x:c>
    </x:row>
    <x:row r="287">
      <x:c r="A287" s="20" t="inlineStr">
        <x:is>
          <x:t xml:space="preserve">SEMINOLE</x:t>
        </x:is>
      </x:c>
      <x:c r="B287" s="20" t="inlineStr">
        <x:is>
          <x:t xml:space="preserve">SEMINOLE</x:t>
        </x:is>
      </x:c>
      <x:c r="C287" s="20" t="inlineStr">
        <x:is>
          <x:t xml:space="preserve">590361</x:t>
        </x:is>
      </x:c>
      <x:c r="D287" s="20" t="inlineStr">
        <x:is>
          <x:t xml:space="preserve"/>
        </x:is>
      </x:c>
      <x:c r="E287" s="20" t="inlineStr">
        <x:is>
          <x:t xml:space="preserve">RAINBOW ELEMENTARY SCHOOL</x:t>
        </x:is>
      </x:c>
      <x:c r="F287" s="20" t="inlineStr">
        <x:is>
          <x:t xml:space="preserve">Elementary</x:t>
        </x:is>
      </x:c>
      <x:c r="G287" s="20" t="inlineStr">
        <x:is>
          <x:t xml:space="preserve">YES</x:t>
        </x:is>
      </x:c>
      <x:c r="H287" s="20" t="inlineStr">
        <x:is>
          <x:t xml:space="preserve">NO</x:t>
        </x:is>
      </x:c>
      <x:c r="I287" s="20" t="inlineStr">
        <x:is>
          <x:t xml:space="preserve"/>
        </x:is>
      </x:c>
      <x:c r="J287" s="20" t="inlineStr">
        <x:is>
          <x:t xml:space="preserve">NO</x:t>
        </x:is>
      </x:c>
      <x:c r="K287" s="20" t="inlineStr">
        <x:is>
          <x:t xml:space="preserve"/>
        </x:is>
      </x:c>
      <x:c r="L287" s="20" t="inlineStr">
        <x:is>
          <x:t xml:space="preserve"/>
        </x:is>
      </x:c>
      <x:c r="M287" s="20" t="inlineStr">
        <x:is>
          <x:t xml:space="preserve"/>
        </x:is>
      </x:c>
      <x:c r="N287" s="20" t="inlineStr">
        <x:is>
          <x:t xml:space="preserve"/>
        </x:is>
      </x:c>
      <x:c r="O287" s="20" t="inlineStr">
        <x:is>
          <x:t xml:space="preserve"/>
        </x:is>
      </x:c>
      <x:c r="P287" s="20" t="inlineStr">
        <x:is>
          <x:t xml:space="preserve"/>
        </x:is>
      </x:c>
      <x:c r="Q287" s="20" t="inlineStr">
        <x:is>
          <x:t xml:space="preserve">https://www.fldoe.org/file/18534/SchoolGrades25.xlsx</x:t>
        </x:is>
      </x:c>
      <x:c r="R287" s="20" t="inlineStr">
        <x:is>
          <x:t xml:space="preserve">School type code 01; Title I=NO; Alternative/ESE=N; coordinates pending NCES/district GIS pull.</x:t>
        </x:is>
      </x:c>
    </x:row>
    <x:row r="288">
      <x:c r="A288" s="20" t="inlineStr">
        <x:is>
          <x:t xml:space="preserve">SEMINOLE</x:t>
        </x:is>
      </x:c>
      <x:c r="B288" s="20" t="inlineStr">
        <x:is>
          <x:t xml:space="preserve">SEMINOLE</x:t>
        </x:is>
      </x:c>
      <x:c r="C288" s="20" t="inlineStr">
        <x:is>
          <x:t xml:space="preserve">590391</x:t>
        </x:is>
      </x:c>
      <x:c r="D288" s="20" t="inlineStr">
        <x:is>
          <x:t xml:space="preserve"/>
        </x:is>
      </x:c>
      <x:c r="E288" s="20" t="inlineStr">
        <x:is>
          <x:t xml:space="preserve">WINTER SPRINGS ELEMENTARY SCHOOL</x:t>
        </x:is>
      </x:c>
      <x:c r="F288" s="20" t="inlineStr">
        <x:is>
          <x:t xml:space="preserve">Elementary</x:t>
        </x:is>
      </x:c>
      <x:c r="G288" s="20" t="inlineStr">
        <x:is>
          <x:t xml:space="preserve">YES</x:t>
        </x:is>
      </x:c>
      <x:c r="H288" s="20" t="inlineStr">
        <x:is>
          <x:t xml:space="preserve">NO</x:t>
        </x:is>
      </x:c>
      <x:c r="I288" s="20" t="inlineStr">
        <x:is>
          <x:t xml:space="preserve"/>
        </x:is>
      </x:c>
      <x:c r="J288" s="20" t="inlineStr">
        <x:is>
          <x:t xml:space="preserve">NO</x:t>
        </x:is>
      </x:c>
      <x:c r="K288" s="20" t="inlineStr">
        <x:is>
          <x:t xml:space="preserve"/>
        </x:is>
      </x:c>
      <x:c r="L288" s="20" t="inlineStr">
        <x:is>
          <x:t xml:space="preserve"/>
        </x:is>
      </x:c>
      <x:c r="M288" s="20" t="inlineStr">
        <x:is>
          <x:t xml:space="preserve"/>
        </x:is>
      </x:c>
      <x:c r="N288" s="20" t="inlineStr">
        <x:is>
          <x:t xml:space="preserve"/>
        </x:is>
      </x:c>
      <x:c r="O288" s="20" t="inlineStr">
        <x:is>
          <x:t xml:space="preserve"/>
        </x:is>
      </x:c>
      <x:c r="P288" s="20" t="inlineStr">
        <x:is>
          <x:t xml:space="preserve"/>
        </x:is>
      </x:c>
      <x:c r="Q288" s="20" t="inlineStr">
        <x:is>
          <x:t xml:space="preserve">https://www.fldoe.org/file/18534/SchoolGrades25.xlsx</x:t>
        </x:is>
      </x:c>
      <x:c r="R288" s="20" t="inlineStr">
        <x:is>
          <x:t xml:space="preserve">School type code 01; Title I=YES; Alternative/ESE=N; coordinates pending NCES/district GIS pull.</x:t>
        </x:is>
      </x:c>
    </x:row>
    <x:row r="289">
      <x:c r="A289" s="20" t="inlineStr">
        <x:is>
          <x:t xml:space="preserve">SEMINOLE</x:t>
        </x:is>
      </x:c>
      <x:c r="B289" s="20" t="inlineStr">
        <x:is>
          <x:t xml:space="preserve">SEMINOLE</x:t>
        </x:is>
      </x:c>
      <x:c r="C289" s="20" t="inlineStr">
        <x:is>
          <x:t xml:space="preserve">590401</x:t>
        </x:is>
      </x:c>
      <x:c r="D289" s="20" t="inlineStr">
        <x:is>
          <x:t xml:space="preserve"/>
        </x:is>
      </x:c>
      <x:c r="E289" s="20" t="inlineStr">
        <x:is>
          <x:t xml:space="preserve">SPRING LAKE ELEMENTARY SCHOOL</x:t>
        </x:is>
      </x:c>
      <x:c r="F289" s="20" t="inlineStr">
        <x:is>
          <x:t xml:space="preserve">Elementary</x:t>
        </x:is>
      </x:c>
      <x:c r="G289" s="20" t="inlineStr">
        <x:is>
          <x:t xml:space="preserve">YES</x:t>
        </x:is>
      </x:c>
      <x:c r="H289" s="20" t="inlineStr">
        <x:is>
          <x:t xml:space="preserve">NO</x:t>
        </x:is>
      </x:c>
      <x:c r="I289" s="20" t="inlineStr">
        <x:is>
          <x:t xml:space="preserve"/>
        </x:is>
      </x:c>
      <x:c r="J289" s="20" t="inlineStr">
        <x:is>
          <x:t xml:space="preserve">NO</x:t>
        </x:is>
      </x:c>
      <x:c r="K289" s="20" t="inlineStr">
        <x:is>
          <x:t xml:space="preserve"/>
        </x:is>
      </x:c>
      <x:c r="L289" s="20" t="inlineStr">
        <x:is>
          <x:t xml:space="preserve"/>
        </x:is>
      </x:c>
      <x:c r="M289" s="20" t="inlineStr">
        <x:is>
          <x:t xml:space="preserve"/>
        </x:is>
      </x:c>
      <x:c r="N289" s="20" t="inlineStr">
        <x:is>
          <x:t xml:space="preserve"/>
        </x:is>
      </x:c>
      <x:c r="O289" s="20" t="inlineStr">
        <x:is>
          <x:t xml:space="preserve"/>
        </x:is>
      </x:c>
      <x:c r="P289" s="20" t="inlineStr">
        <x:is>
          <x:t xml:space="preserve"/>
        </x:is>
      </x:c>
      <x:c r="Q289" s="20" t="inlineStr">
        <x:is>
          <x:t xml:space="preserve">https://www.fldoe.org/file/18534/SchoolGrades25.xlsx</x:t>
        </x:is>
      </x:c>
      <x:c r="R289" s="20" t="inlineStr">
        <x:is>
          <x:t xml:space="preserve">School type code 01; Title I=YES; Alternative/ESE=N; coordinates pending NCES/district GIS pull.</x:t>
        </x:is>
      </x:c>
    </x:row>
    <x:row r="290">
      <x:c r="A290" s="20" t="inlineStr">
        <x:is>
          <x:t xml:space="preserve">SEMINOLE</x:t>
        </x:is>
      </x:c>
      <x:c r="B290" s="20" t="inlineStr">
        <x:is>
          <x:t xml:space="preserve">SEMINOLE</x:t>
        </x:is>
      </x:c>
      <x:c r="C290" s="20" t="inlineStr">
        <x:is>
          <x:t xml:space="preserve">590421</x:t>
        </x:is>
      </x:c>
      <x:c r="D290" s="20" t="inlineStr">
        <x:is>
          <x:t xml:space="preserve"/>
        </x:is>
      </x:c>
      <x:c r="E290" s="20" t="inlineStr">
        <x:is>
          <x:t xml:space="preserve">OVIEDO HIGH SCHOOL</x:t>
        </x:is>
      </x:c>
      <x:c r="F290" s="20" t="inlineStr">
        <x:is>
          <x:t xml:space="preserve">Senior High</x:t>
        </x:is>
      </x:c>
      <x:c r="G290" s="20" t="inlineStr">
        <x:is>
          <x:t xml:space="preserve">YES</x:t>
        </x:is>
      </x:c>
      <x:c r="H290" s="20" t="inlineStr">
        <x:is>
          <x:t xml:space="preserve">NO</x:t>
        </x:is>
      </x:c>
      <x:c r="I290" s="20" t="inlineStr">
        <x:is>
          <x:t xml:space="preserve"/>
        </x:is>
      </x:c>
      <x:c r="J290" s="20" t="inlineStr">
        <x:is>
          <x:t xml:space="preserve">NO</x:t>
        </x:is>
      </x:c>
      <x:c r="K290" s="20" t="inlineStr">
        <x:is>
          <x:t xml:space="preserve"/>
        </x:is>
      </x:c>
      <x:c r="L290" s="20" t="inlineStr">
        <x:is>
          <x:t xml:space="preserve"/>
        </x:is>
      </x:c>
      <x:c r="M290" s="20" t="inlineStr">
        <x:is>
          <x:t xml:space="preserve"/>
        </x:is>
      </x:c>
      <x:c r="N290" s="20" t="inlineStr">
        <x:is>
          <x:t xml:space="preserve"/>
        </x:is>
      </x:c>
      <x:c r="O290" s="20" t="inlineStr">
        <x:is>
          <x:t xml:space="preserve"/>
        </x:is>
      </x:c>
      <x:c r="P290" s="20" t="inlineStr">
        <x:is>
          <x:t xml:space="preserve"/>
        </x:is>
      </x:c>
      <x:c r="Q290" s="20" t="inlineStr">
        <x:is>
          <x:t xml:space="preserve">https://www.fldoe.org/file/18534/SchoolGrades25.xlsx</x:t>
        </x:is>
      </x:c>
      <x:c r="R290" s="20" t="inlineStr">
        <x:is>
          <x:t xml:space="preserve">School type code 03; Title I=NO; Alternative/ESE=N; coordinates pending NCES/district GIS pull.</x:t>
        </x:is>
      </x:c>
    </x:row>
    <x:row r="291">
      <x:c r="A291" s="20" t="inlineStr">
        <x:is>
          <x:t xml:space="preserve">SEMINOLE</x:t>
        </x:is>
      </x:c>
      <x:c r="B291" s="20" t="inlineStr">
        <x:is>
          <x:t xml:space="preserve">SEMINOLE</x:t>
        </x:is>
      </x:c>
      <x:c r="C291" s="20" t="inlineStr">
        <x:is>
          <x:t xml:space="preserve">590431</x:t>
        </x:is>
      </x:c>
      <x:c r="D291" s="20" t="inlineStr">
        <x:is>
          <x:t xml:space="preserve"/>
        </x:is>
      </x:c>
      <x:c r="E291" s="20" t="inlineStr">
        <x:is>
          <x:t xml:space="preserve">LYMAN HIGH SCHOOL</x:t>
        </x:is>
      </x:c>
      <x:c r="F291" s="20" t="inlineStr">
        <x:is>
          <x:t xml:space="preserve">Senior High</x:t>
        </x:is>
      </x:c>
      <x:c r="G291" s="20" t="inlineStr">
        <x:is>
          <x:t xml:space="preserve">YES</x:t>
        </x:is>
      </x:c>
      <x:c r="H291" s="20" t="inlineStr">
        <x:is>
          <x:t xml:space="preserve">NO</x:t>
        </x:is>
      </x:c>
      <x:c r="I291" s="20" t="inlineStr">
        <x:is>
          <x:t xml:space="preserve"/>
        </x:is>
      </x:c>
      <x:c r="J291" s="20" t="inlineStr">
        <x:is>
          <x:t xml:space="preserve">NO</x:t>
        </x:is>
      </x:c>
      <x:c r="K291" s="20" t="inlineStr">
        <x:is>
          <x:t xml:space="preserve"/>
        </x:is>
      </x:c>
      <x:c r="L291" s="20" t="inlineStr">
        <x:is>
          <x:t xml:space="preserve"/>
        </x:is>
      </x:c>
      <x:c r="M291" s="20" t="inlineStr">
        <x:is>
          <x:t xml:space="preserve"/>
        </x:is>
      </x:c>
      <x:c r="N291" s="20" t="inlineStr">
        <x:is>
          <x:t xml:space="preserve"/>
        </x:is>
      </x:c>
      <x:c r="O291" s="20" t="inlineStr">
        <x:is>
          <x:t xml:space="preserve"/>
        </x:is>
      </x:c>
      <x:c r="P291" s="20" t="inlineStr">
        <x:is>
          <x:t xml:space="preserve"/>
        </x:is>
      </x:c>
      <x:c r="Q291" s="20" t="inlineStr">
        <x:is>
          <x:t xml:space="preserve">https://www.fldoe.org/file/18534/SchoolGrades25.xlsx</x:t>
        </x:is>
      </x:c>
      <x:c r="R291" s="20" t="inlineStr">
        <x:is>
          <x:t xml:space="preserve">School type code 03; Title I=NO; Alternative/ESE=N; coordinates pending NCES/district GIS pull.</x:t>
        </x:is>
      </x:c>
    </x:row>
    <x:row r="292">
      <x:c r="A292" s="20" t="inlineStr">
        <x:is>
          <x:t xml:space="preserve">SEMINOLE</x:t>
        </x:is>
      </x:c>
      <x:c r="B292" s="20" t="inlineStr">
        <x:is>
          <x:t xml:space="preserve">SEMINOLE</x:t>
        </x:is>
      </x:c>
      <x:c r="C292" s="20" t="inlineStr">
        <x:is>
          <x:t xml:space="preserve">590441</x:t>
        </x:is>
      </x:c>
      <x:c r="D292" s="20" t="inlineStr">
        <x:is>
          <x:t xml:space="preserve"/>
        </x:is>
      </x:c>
      <x:c r="E292" s="20" t="inlineStr">
        <x:is>
          <x:t xml:space="preserve">CARILLON ELEMENTARY SCHOOL</x:t>
        </x:is>
      </x:c>
      <x:c r="F292" s="20" t="inlineStr">
        <x:is>
          <x:t xml:space="preserve">Elementary</x:t>
        </x:is>
      </x:c>
      <x:c r="G292" s="20" t="inlineStr">
        <x:is>
          <x:t xml:space="preserve">YES</x:t>
        </x:is>
      </x:c>
      <x:c r="H292" s="20" t="inlineStr">
        <x:is>
          <x:t xml:space="preserve">NO</x:t>
        </x:is>
      </x:c>
      <x:c r="I292" s="20" t="inlineStr">
        <x:is>
          <x:t xml:space="preserve"/>
        </x:is>
      </x:c>
      <x:c r="J292" s="20" t="inlineStr">
        <x:is>
          <x:t xml:space="preserve">NO</x:t>
        </x:is>
      </x:c>
      <x:c r="K292" s="20" t="inlineStr">
        <x:is>
          <x:t xml:space="preserve"/>
        </x:is>
      </x:c>
      <x:c r="L292" s="20" t="inlineStr">
        <x:is>
          <x:t xml:space="preserve"/>
        </x:is>
      </x:c>
      <x:c r="M292" s="20" t="inlineStr">
        <x:is>
          <x:t xml:space="preserve"/>
        </x:is>
      </x:c>
      <x:c r="N292" s="20" t="inlineStr">
        <x:is>
          <x:t xml:space="preserve"/>
        </x:is>
      </x:c>
      <x:c r="O292" s="20" t="inlineStr">
        <x:is>
          <x:t xml:space="preserve"/>
        </x:is>
      </x:c>
      <x:c r="P292" s="20" t="inlineStr">
        <x:is>
          <x:t xml:space="preserve"/>
        </x:is>
      </x:c>
      <x:c r="Q292" s="20" t="inlineStr">
        <x:is>
          <x:t xml:space="preserve">https://www.fldoe.org/file/18534/SchoolGrades25.xlsx</x:t>
        </x:is>
      </x:c>
      <x:c r="R292" s="20" t="inlineStr">
        <x:is>
          <x:t xml:space="preserve">School type code 01; Title I=NO; Alternative/ESE=N; coordinates pending NCES/district GIS pull.</x:t>
        </x:is>
      </x:c>
    </x:row>
    <x:row r="293">
      <x:c r="A293" s="20" t="inlineStr">
        <x:is>
          <x:t xml:space="preserve">SEMINOLE</x:t>
        </x:is>
      </x:c>
      <x:c r="B293" s="20" t="inlineStr">
        <x:is>
          <x:t xml:space="preserve">SEMINOLE</x:t>
        </x:is>
      </x:c>
      <x:c r="C293" s="20" t="inlineStr">
        <x:is>
          <x:t xml:space="preserve">590491</x:t>
        </x:is>
      </x:c>
      <x:c r="D293" s="20" t="inlineStr">
        <x:is>
          <x:t xml:space="preserve"/>
        </x:is>
      </x:c>
      <x:c r="E293" s="20" t="inlineStr">
        <x:is>
          <x:t xml:space="preserve">LAKE BRANTLEY HIGH SCHOOL</x:t>
        </x:is>
      </x:c>
      <x:c r="F293" s="20" t="inlineStr">
        <x:is>
          <x:t xml:space="preserve">Senior High</x:t>
        </x:is>
      </x:c>
      <x:c r="G293" s="20" t="inlineStr">
        <x:is>
          <x:t xml:space="preserve">YES</x:t>
        </x:is>
      </x:c>
      <x:c r="H293" s="20" t="inlineStr">
        <x:is>
          <x:t xml:space="preserve">NO</x:t>
        </x:is>
      </x:c>
      <x:c r="I293" s="20" t="inlineStr">
        <x:is>
          <x:t xml:space="preserve"/>
        </x:is>
      </x:c>
      <x:c r="J293" s="20" t="inlineStr">
        <x:is>
          <x:t xml:space="preserve">NO</x:t>
        </x:is>
      </x:c>
      <x:c r="K293" s="20" t="inlineStr">
        <x:is>
          <x:t xml:space="preserve"/>
        </x:is>
      </x:c>
      <x:c r="L293" s="20" t="inlineStr">
        <x:is>
          <x:t xml:space="preserve"/>
        </x:is>
      </x:c>
      <x:c r="M293" s="20" t="inlineStr">
        <x:is>
          <x:t xml:space="preserve"/>
        </x:is>
      </x:c>
      <x:c r="N293" s="20" t="inlineStr">
        <x:is>
          <x:t xml:space="preserve"/>
        </x:is>
      </x:c>
      <x:c r="O293" s="20" t="inlineStr">
        <x:is>
          <x:t xml:space="preserve"/>
        </x:is>
      </x:c>
      <x:c r="P293" s="20" t="inlineStr">
        <x:is>
          <x:t xml:space="preserve"/>
        </x:is>
      </x:c>
      <x:c r="Q293" s="20" t="inlineStr">
        <x:is>
          <x:t xml:space="preserve">https://www.fldoe.org/file/18534/SchoolGrades25.xlsx</x:t>
        </x:is>
      </x:c>
      <x:c r="R293" s="20" t="inlineStr">
        <x:is>
          <x:t xml:space="preserve">School type code 03; Title I=NO; Alternative/ESE=N; coordinates pending NCES/district GIS pull.</x:t>
        </x:is>
      </x:c>
    </x:row>
    <x:row r="294">
      <x:c r="A294" s="20" t="inlineStr">
        <x:is>
          <x:t xml:space="preserve">SEMINOLE</x:t>
        </x:is>
      </x:c>
      <x:c r="B294" s="20" t="inlineStr">
        <x:is>
          <x:t xml:space="preserve">SEMINOLE</x:t>
        </x:is>
      </x:c>
      <x:c r="C294" s="20" t="inlineStr">
        <x:is>
          <x:t xml:space="preserve">590501</x:t>
        </x:is>
      </x:c>
      <x:c r="D294" s="20" t="inlineStr">
        <x:is>
          <x:t xml:space="preserve"/>
        </x:is>
      </x:c>
      <x:c r="E294" s="20" t="inlineStr">
        <x:is>
          <x:t xml:space="preserve">TEAGUE MIDDLE SCHOOL</x:t>
        </x:is>
      </x:c>
      <x:c r="F294" s="20" t="inlineStr">
        <x:is>
          <x:t xml:space="preserve">Middle/Junior</x:t>
        </x:is>
      </x:c>
      <x:c r="G294" s="20" t="inlineStr">
        <x:is>
          <x:t xml:space="preserve">YES</x:t>
        </x:is>
      </x:c>
      <x:c r="H294" s="20" t="inlineStr">
        <x:is>
          <x:t xml:space="preserve">NO</x:t>
        </x:is>
      </x:c>
      <x:c r="I294" s="20" t="inlineStr">
        <x:is>
          <x:t xml:space="preserve"/>
        </x:is>
      </x:c>
      <x:c r="J294" s="20" t="inlineStr">
        <x:is>
          <x:t xml:space="preserve">NO</x:t>
        </x:is>
      </x:c>
      <x:c r="K294" s="20" t="inlineStr">
        <x:is>
          <x:t xml:space="preserve"/>
        </x:is>
      </x:c>
      <x:c r="L294" s="20" t="inlineStr">
        <x:is>
          <x:t xml:space="preserve"/>
        </x:is>
      </x:c>
      <x:c r="M294" s="20" t="inlineStr">
        <x:is>
          <x:t xml:space="preserve"/>
        </x:is>
      </x:c>
      <x:c r="N294" s="20" t="inlineStr">
        <x:is>
          <x:t xml:space="preserve"/>
        </x:is>
      </x:c>
      <x:c r="O294" s="20" t="inlineStr">
        <x:is>
          <x:t xml:space="preserve"/>
        </x:is>
      </x:c>
      <x:c r="P294" s="20" t="inlineStr">
        <x:is>
          <x:t xml:space="preserve"/>
        </x:is>
      </x:c>
      <x:c r="Q294" s="20" t="inlineStr">
        <x:is>
          <x:t xml:space="preserve">https://www.fldoe.org/file/18534/SchoolGrades25.xlsx</x:t>
        </x:is>
      </x:c>
      <x:c r="R294" s="20" t="inlineStr">
        <x:is>
          <x:t xml:space="preserve">School type code 02; Title I=YES; Alternative/ESE=N; coordinates pending NCES/district GIS pull.</x:t>
        </x:is>
      </x:c>
    </x:row>
    <x:row r="295">
      <x:c r="A295" s="20" t="inlineStr">
        <x:is>
          <x:t xml:space="preserve">SEMINOLE</x:t>
        </x:is>
      </x:c>
      <x:c r="B295" s="20" t="inlineStr">
        <x:is>
          <x:t xml:space="preserve">SEMINOLE</x:t>
        </x:is>
      </x:c>
      <x:c r="C295" s="20" t="inlineStr">
        <x:is>
          <x:t xml:space="preserve">590502</x:t>
        </x:is>
      </x:c>
      <x:c r="D295" s="20" t="inlineStr">
        <x:is>
          <x:t xml:space="preserve"/>
        </x:is>
      </x:c>
      <x:c r="E295" s="20" t="inlineStr">
        <x:is>
          <x:t xml:space="preserve">FOREST CITY ELEMENTARY SCHOOL</x:t>
        </x:is>
      </x:c>
      <x:c r="F295" s="20" t="inlineStr">
        <x:is>
          <x:t xml:space="preserve">Elementary</x:t>
        </x:is>
      </x:c>
      <x:c r="G295" s="20" t="inlineStr">
        <x:is>
          <x:t xml:space="preserve">YES</x:t>
        </x:is>
      </x:c>
      <x:c r="H295" s="20" t="inlineStr">
        <x:is>
          <x:t xml:space="preserve">NO</x:t>
        </x:is>
      </x:c>
      <x:c r="I295" s="20" t="inlineStr">
        <x:is>
          <x:t xml:space="preserve"/>
        </x:is>
      </x:c>
      <x:c r="J295" s="20" t="inlineStr">
        <x:is>
          <x:t xml:space="preserve">NO</x:t>
        </x:is>
      </x:c>
      <x:c r="K295" s="20" t="inlineStr">
        <x:is>
          <x:t xml:space="preserve"/>
        </x:is>
      </x:c>
      <x:c r="L295" s="20" t="inlineStr">
        <x:is>
          <x:t xml:space="preserve"/>
        </x:is>
      </x:c>
      <x:c r="M295" s="20" t="inlineStr">
        <x:is>
          <x:t xml:space="preserve"/>
        </x:is>
      </x:c>
      <x:c r="N295" s="20" t="inlineStr">
        <x:is>
          <x:t xml:space="preserve"/>
        </x:is>
      </x:c>
      <x:c r="O295" s="20" t="inlineStr">
        <x:is>
          <x:t xml:space="preserve"/>
        </x:is>
      </x:c>
      <x:c r="P295" s="20" t="inlineStr">
        <x:is>
          <x:t xml:space="preserve"/>
        </x:is>
      </x:c>
      <x:c r="Q295" s="20" t="inlineStr">
        <x:is>
          <x:t xml:space="preserve">https://www.fldoe.org/file/18534/SchoolGrades25.xlsx</x:t>
        </x:is>
      </x:c>
      <x:c r="R295" s="20" t="inlineStr">
        <x:is>
          <x:t xml:space="preserve">School type code 01; Title I=YES; Alternative/ESE=N; coordinates pending NCES/district GIS pull.</x:t>
        </x:is>
      </x:c>
    </x:row>
    <x:row r="296">
      <x:c r="A296" s="20" t="inlineStr">
        <x:is>
          <x:t xml:space="preserve">SEMINOLE</x:t>
        </x:is>
      </x:c>
      <x:c r="B296" s="20" t="inlineStr">
        <x:is>
          <x:t xml:space="preserve">SEMINOLE</x:t>
        </x:is>
      </x:c>
      <x:c r="C296" s="20" t="inlineStr">
        <x:is>
          <x:t xml:space="preserve">590511</x:t>
        </x:is>
      </x:c>
      <x:c r="D296" s="20" t="inlineStr">
        <x:is>
          <x:t xml:space="preserve"/>
        </x:is>
      </x:c>
      <x:c r="E296" s="20" t="inlineStr">
        <x:is>
          <x:t xml:space="preserve">RED BUG ELEMENTARY SCHOOL</x:t>
        </x:is>
      </x:c>
      <x:c r="F296" s="20" t="inlineStr">
        <x:is>
          <x:t xml:space="preserve">Elementary</x:t>
        </x:is>
      </x:c>
      <x:c r="G296" s="20" t="inlineStr">
        <x:is>
          <x:t xml:space="preserve">YES</x:t>
        </x:is>
      </x:c>
      <x:c r="H296" s="20" t="inlineStr">
        <x:is>
          <x:t xml:space="preserve">NO</x:t>
        </x:is>
      </x:c>
      <x:c r="I296" s="20" t="inlineStr">
        <x:is>
          <x:t xml:space="preserve"/>
        </x:is>
      </x:c>
      <x:c r="J296" s="20" t="inlineStr">
        <x:is>
          <x:t xml:space="preserve">NO</x:t>
        </x:is>
      </x:c>
      <x:c r="K296" s="20" t="inlineStr">
        <x:is>
          <x:t xml:space="preserve"/>
        </x:is>
      </x:c>
      <x:c r="L296" s="20" t="inlineStr">
        <x:is>
          <x:t xml:space="preserve"/>
        </x:is>
      </x:c>
      <x:c r="M296" s="20" t="inlineStr">
        <x:is>
          <x:t xml:space="preserve"/>
        </x:is>
      </x:c>
      <x:c r="N296" s="20" t="inlineStr">
        <x:is>
          <x:t xml:space="preserve"/>
        </x:is>
      </x:c>
      <x:c r="O296" s="20" t="inlineStr">
        <x:is>
          <x:t xml:space="preserve"/>
        </x:is>
      </x:c>
      <x:c r="P296" s="20" t="inlineStr">
        <x:is>
          <x:t xml:space="preserve"/>
        </x:is>
      </x:c>
      <x:c r="Q296" s="20" t="inlineStr">
        <x:is>
          <x:t xml:space="preserve">https://www.fldoe.org/file/18534/SchoolGrades25.xlsx</x:t>
        </x:is>
      </x:c>
      <x:c r="R296" s="20" t="inlineStr">
        <x:is>
          <x:t xml:space="preserve">School type code 01; Title I=NO; Alternative/ESE=N; coordinates pending NCES/district GIS pull.</x:t>
        </x:is>
      </x:c>
    </x:row>
    <x:row r="297">
      <x:c r="A297" s="20" t="inlineStr">
        <x:is>
          <x:t xml:space="preserve">SEMINOLE</x:t>
        </x:is>
      </x:c>
      <x:c r="B297" s="20" t="inlineStr">
        <x:is>
          <x:t xml:space="preserve">SEMINOLE</x:t>
        </x:is>
      </x:c>
      <x:c r="C297" s="20" t="inlineStr">
        <x:is>
          <x:t xml:space="preserve">590521</x:t>
        </x:is>
      </x:c>
      <x:c r="D297" s="20" t="inlineStr">
        <x:is>
          <x:t xml:space="preserve"/>
        </x:is>
      </x:c>
      <x:c r="E297" s="20" t="inlineStr">
        <x:is>
          <x:t xml:space="preserve">IDYLLWILDE ELEMENTARY SCHOOL</x:t>
        </x:is>
      </x:c>
      <x:c r="F297" s="20" t="inlineStr">
        <x:is>
          <x:t xml:space="preserve">Elementary</x:t>
        </x:is>
      </x:c>
      <x:c r="G297" s="20" t="inlineStr">
        <x:is>
          <x:t xml:space="preserve">YES</x:t>
        </x:is>
      </x:c>
      <x:c r="H297" s="20" t="inlineStr">
        <x:is>
          <x:t xml:space="preserve">NO</x:t>
        </x:is>
      </x:c>
      <x:c r="I297" s="20" t="inlineStr">
        <x:is>
          <x:t xml:space="preserve"/>
        </x:is>
      </x:c>
      <x:c r="J297" s="20" t="inlineStr">
        <x:is>
          <x:t xml:space="preserve">NO</x:t>
        </x:is>
      </x:c>
      <x:c r="K297" s="20" t="inlineStr">
        <x:is>
          <x:t xml:space="preserve"/>
        </x:is>
      </x:c>
      <x:c r="L297" s="20" t="inlineStr">
        <x:is>
          <x:t xml:space="preserve"/>
        </x:is>
      </x:c>
      <x:c r="M297" s="20" t="inlineStr">
        <x:is>
          <x:t xml:space="preserve"/>
        </x:is>
      </x:c>
      <x:c r="N297" s="20" t="inlineStr">
        <x:is>
          <x:t xml:space="preserve"/>
        </x:is>
      </x:c>
      <x:c r="O297" s="20" t="inlineStr">
        <x:is>
          <x:t xml:space="preserve"/>
        </x:is>
      </x:c>
      <x:c r="P297" s="20" t="inlineStr">
        <x:is>
          <x:t xml:space="preserve"/>
        </x:is>
      </x:c>
      <x:c r="Q297" s="20" t="inlineStr">
        <x:is>
          <x:t xml:space="preserve">https://www.fldoe.org/file/18534/SchoolGrades25.xlsx</x:t>
        </x:is>
      </x:c>
      <x:c r="R297" s="20" t="inlineStr">
        <x:is>
          <x:t xml:space="preserve">School type code 01; Title I=YES; Alternative/ESE=N; coordinates pending NCES/district GIS pull.</x:t>
        </x:is>
      </x:c>
    </x:row>
    <x:row r="298">
      <x:c r="A298" s="20" t="inlineStr">
        <x:is>
          <x:t xml:space="preserve">SEMINOLE</x:t>
        </x:is>
      </x:c>
      <x:c r="B298" s="20" t="inlineStr">
        <x:is>
          <x:t xml:space="preserve">SEMINOLE</x:t>
        </x:is>
      </x:c>
      <x:c r="C298" s="20" t="inlineStr">
        <x:is>
          <x:t xml:space="preserve">590531</x:t>
        </x:is>
      </x:c>
      <x:c r="D298" s="20" t="inlineStr">
        <x:is>
          <x:t xml:space="preserve"/>
        </x:is>
      </x:c>
      <x:c r="E298" s="20" t="inlineStr">
        <x:is>
          <x:t xml:space="preserve">EASTBROOK ELEMENTARY SCHOOL</x:t>
        </x:is>
      </x:c>
      <x:c r="F298" s="20" t="inlineStr">
        <x:is>
          <x:t xml:space="preserve">Elementary</x:t>
        </x:is>
      </x:c>
      <x:c r="G298" s="20" t="inlineStr">
        <x:is>
          <x:t xml:space="preserve">YES</x:t>
        </x:is>
      </x:c>
      <x:c r="H298" s="20" t="inlineStr">
        <x:is>
          <x:t xml:space="preserve">NO</x:t>
        </x:is>
      </x:c>
      <x:c r="I298" s="20" t="inlineStr">
        <x:is>
          <x:t xml:space="preserve"/>
        </x:is>
      </x:c>
      <x:c r="J298" s="20" t="inlineStr">
        <x:is>
          <x:t xml:space="preserve">NO</x:t>
        </x:is>
      </x:c>
      <x:c r="K298" s="20" t="inlineStr">
        <x:is>
          <x:t xml:space="preserve"/>
        </x:is>
      </x:c>
      <x:c r="L298" s="20" t="inlineStr">
        <x:is>
          <x:t xml:space="preserve"/>
        </x:is>
      </x:c>
      <x:c r="M298" s="20" t="inlineStr">
        <x:is>
          <x:t xml:space="preserve"/>
        </x:is>
      </x:c>
      <x:c r="N298" s="20" t="inlineStr">
        <x:is>
          <x:t xml:space="preserve"/>
        </x:is>
      </x:c>
      <x:c r="O298" s="20" t="inlineStr">
        <x:is>
          <x:t xml:space="preserve"/>
        </x:is>
      </x:c>
      <x:c r="P298" s="20" t="inlineStr">
        <x:is>
          <x:t xml:space="preserve"/>
        </x:is>
      </x:c>
      <x:c r="Q298" s="20" t="inlineStr">
        <x:is>
          <x:t xml:space="preserve">https://www.fldoe.org/file/18534/SchoolGrades25.xlsx</x:t>
        </x:is>
      </x:c>
      <x:c r="R298" s="20" t="inlineStr">
        <x:is>
          <x:t xml:space="preserve">School type code 01; Title I=YES; Alternative/ESE=N; coordinates pending NCES/district GIS pull.</x:t>
        </x:is>
      </x:c>
    </x:row>
    <x:row r="299">
      <x:c r="A299" s="20" t="inlineStr">
        <x:is>
          <x:t xml:space="preserve">SEMINOLE</x:t>
        </x:is>
      </x:c>
      <x:c r="B299" s="20" t="inlineStr">
        <x:is>
          <x:t xml:space="preserve">SEMINOLE</x:t>
        </x:is>
      </x:c>
      <x:c r="C299" s="20" t="inlineStr">
        <x:is>
          <x:t xml:space="preserve">590541</x:t>
        </x:is>
      </x:c>
      <x:c r="D299" s="20" t="inlineStr">
        <x:is>
          <x:t xml:space="preserve"/>
        </x:is>
      </x:c>
      <x:c r="E299" s="20" t="inlineStr">
        <x:is>
          <x:t xml:space="preserve">TUSKAWILLA MIDDLE SCHOOL</x:t>
        </x:is>
      </x:c>
      <x:c r="F299" s="20" t="inlineStr">
        <x:is>
          <x:t xml:space="preserve">Middle/Junior</x:t>
        </x:is>
      </x:c>
      <x:c r="G299" s="20" t="inlineStr">
        <x:is>
          <x:t xml:space="preserve">YES</x:t>
        </x:is>
      </x:c>
      <x:c r="H299" s="20" t="inlineStr">
        <x:is>
          <x:t xml:space="preserve">NO</x:t>
        </x:is>
      </x:c>
      <x:c r="I299" s="20" t="inlineStr">
        <x:is>
          <x:t xml:space="preserve"/>
        </x:is>
      </x:c>
      <x:c r="J299" s="20" t="inlineStr">
        <x:is>
          <x:t xml:space="preserve">NO</x:t>
        </x:is>
      </x:c>
      <x:c r="K299" s="20" t="inlineStr">
        <x:is>
          <x:t xml:space="preserve"/>
        </x:is>
      </x:c>
      <x:c r="L299" s="20" t="inlineStr">
        <x:is>
          <x:t xml:space="preserve"/>
        </x:is>
      </x:c>
      <x:c r="M299" s="20" t="inlineStr">
        <x:is>
          <x:t xml:space="preserve"/>
        </x:is>
      </x:c>
      <x:c r="N299" s="20" t="inlineStr">
        <x:is>
          <x:t xml:space="preserve"/>
        </x:is>
      </x:c>
      <x:c r="O299" s="20" t="inlineStr">
        <x:is>
          <x:t xml:space="preserve"/>
        </x:is>
      </x:c>
      <x:c r="P299" s="20" t="inlineStr">
        <x:is>
          <x:t xml:space="preserve"/>
        </x:is>
      </x:c>
      <x:c r="Q299" s="20" t="inlineStr">
        <x:is>
          <x:t xml:space="preserve">https://www.fldoe.org/file/18534/SchoolGrades25.xlsx</x:t>
        </x:is>
      </x:c>
      <x:c r="R299" s="20" t="inlineStr">
        <x:is>
          <x:t xml:space="preserve">School type code 02; Title I=NO; Alternative/ESE=N; coordinates pending NCES/district GIS pull.</x:t>
        </x:is>
      </x:c>
    </x:row>
    <x:row r="300">
      <x:c r="A300" s="20" t="inlineStr">
        <x:is>
          <x:t xml:space="preserve">SEMINOLE</x:t>
        </x:is>
      </x:c>
      <x:c r="B300" s="20" t="inlineStr">
        <x:is>
          <x:t xml:space="preserve">SEMINOLE</x:t>
        </x:is>
      </x:c>
      <x:c r="C300" s="20" t="inlineStr">
        <x:is>
          <x:t xml:space="preserve">590551</x:t>
        </x:is>
      </x:c>
      <x:c r="D300" s="20" t="inlineStr">
        <x:is>
          <x:t xml:space="preserve"/>
        </x:is>
      </x:c>
      <x:c r="E300" s="20" t="inlineStr">
        <x:is>
          <x:t xml:space="preserve">LAKE HOWELL HIGH SCHOOL</x:t>
        </x:is>
      </x:c>
      <x:c r="F300" s="20" t="inlineStr">
        <x:is>
          <x:t xml:space="preserve">Senior High</x:t>
        </x:is>
      </x:c>
      <x:c r="G300" s="20" t="inlineStr">
        <x:is>
          <x:t xml:space="preserve">YES</x:t>
        </x:is>
      </x:c>
      <x:c r="H300" s="20" t="inlineStr">
        <x:is>
          <x:t xml:space="preserve">NO</x:t>
        </x:is>
      </x:c>
      <x:c r="I300" s="20" t="inlineStr">
        <x:is>
          <x:t xml:space="preserve"/>
        </x:is>
      </x:c>
      <x:c r="J300" s="20" t="inlineStr">
        <x:is>
          <x:t xml:space="preserve">NO</x:t>
        </x:is>
      </x:c>
      <x:c r="K300" s="20" t="inlineStr">
        <x:is>
          <x:t xml:space="preserve"/>
        </x:is>
      </x:c>
      <x:c r="L300" s="20" t="inlineStr">
        <x:is>
          <x:t xml:space="preserve"/>
        </x:is>
      </x:c>
      <x:c r="M300" s="20" t="inlineStr">
        <x:is>
          <x:t xml:space="preserve"/>
        </x:is>
      </x:c>
      <x:c r="N300" s="20" t="inlineStr">
        <x:is>
          <x:t xml:space="preserve"/>
        </x:is>
      </x:c>
      <x:c r="O300" s="20" t="inlineStr">
        <x:is>
          <x:t xml:space="preserve"/>
        </x:is>
      </x:c>
      <x:c r="P300" s="20" t="inlineStr">
        <x:is>
          <x:t xml:space="preserve"/>
        </x:is>
      </x:c>
      <x:c r="Q300" s="20" t="inlineStr">
        <x:is>
          <x:t xml:space="preserve">https://www.fldoe.org/file/18534/SchoolGrades25.xlsx</x:t>
        </x:is>
      </x:c>
      <x:c r="R300" s="20" t="inlineStr">
        <x:is>
          <x:t xml:space="preserve">School type code 03; Title I=NO; Alternative/ESE=N; coordinates pending NCES/district GIS pull.</x:t>
        </x:is>
      </x:c>
    </x:row>
    <x:row r="301">
      <x:c r="A301" s="20" t="inlineStr">
        <x:is>
          <x:t xml:space="preserve">SEMINOLE</x:t>
        </x:is>
      </x:c>
      <x:c r="B301" s="20" t="inlineStr">
        <x:is>
          <x:t xml:space="preserve">SEMINOLE</x:t>
        </x:is>
      </x:c>
      <x:c r="C301" s="20" t="inlineStr">
        <x:is>
          <x:t xml:space="preserve">590561</x:t>
        </x:is>
      </x:c>
      <x:c r="D301" s="20" t="inlineStr">
        <x:is>
          <x:t xml:space="preserve"/>
        </x:is>
      </x:c>
      <x:c r="E301" s="20" t="inlineStr">
        <x:is>
          <x:t xml:space="preserve">ALTAMONTE ELEMENTARY SCHOOL</x:t>
        </x:is>
      </x:c>
      <x:c r="F301" s="20" t="inlineStr">
        <x:is>
          <x:t xml:space="preserve">Elementary</x:t>
        </x:is>
      </x:c>
      <x:c r="G301" s="20" t="inlineStr">
        <x:is>
          <x:t xml:space="preserve">YES</x:t>
        </x:is>
      </x:c>
      <x:c r="H301" s="20" t="inlineStr">
        <x:is>
          <x:t xml:space="preserve">NO</x:t>
        </x:is>
      </x:c>
      <x:c r="I301" s="20" t="inlineStr">
        <x:is>
          <x:t xml:space="preserve"/>
        </x:is>
      </x:c>
      <x:c r="J301" s="20" t="inlineStr">
        <x:is>
          <x:t xml:space="preserve">NO</x:t>
        </x:is>
      </x:c>
      <x:c r="K301" s="20" t="inlineStr">
        <x:is>
          <x:t xml:space="preserve"/>
        </x:is>
      </x:c>
      <x:c r="L301" s="20" t="inlineStr">
        <x:is>
          <x:t xml:space="preserve"/>
        </x:is>
      </x:c>
      <x:c r="M301" s="20" t="inlineStr">
        <x:is>
          <x:t xml:space="preserve"/>
        </x:is>
      </x:c>
      <x:c r="N301" s="20" t="inlineStr">
        <x:is>
          <x:t xml:space="preserve"/>
        </x:is>
      </x:c>
      <x:c r="O301" s="20" t="inlineStr">
        <x:is>
          <x:t xml:space="preserve"/>
        </x:is>
      </x:c>
      <x:c r="P301" s="20" t="inlineStr">
        <x:is>
          <x:t xml:space="preserve"/>
        </x:is>
      </x:c>
      <x:c r="Q301" s="20" t="inlineStr">
        <x:is>
          <x:t xml:space="preserve">https://www.fldoe.org/file/18534/SchoolGrades25.xlsx</x:t>
        </x:is>
      </x:c>
      <x:c r="R301" s="20" t="inlineStr">
        <x:is>
          <x:t xml:space="preserve">School type code 01; Title I=YES; Alternative/ESE=N; coordinates pending NCES/district GIS pull.</x:t>
        </x:is>
      </x:c>
    </x:row>
    <x:row r="302">
      <x:c r="A302" s="20" t="inlineStr">
        <x:is>
          <x:t xml:space="preserve">SEMINOLE</x:t>
        </x:is>
      </x:c>
      <x:c r="B302" s="20" t="inlineStr">
        <x:is>
          <x:t xml:space="preserve">SEMINOLE</x:t>
        </x:is>
      </x:c>
      <x:c r="C302" s="20" t="inlineStr">
        <x:is>
          <x:t xml:space="preserve">590581</x:t>
        </x:is>
      </x:c>
      <x:c r="D302" s="20" t="inlineStr">
        <x:is>
          <x:t xml:space="preserve"/>
        </x:is>
      </x:c>
      <x:c r="E302" s="20" t="inlineStr">
        <x:is>
          <x:t xml:space="preserve">SABAL POINT ELEMENTARY SCHOOL</x:t>
        </x:is>
      </x:c>
      <x:c r="F302" s="20" t="inlineStr">
        <x:is>
          <x:t xml:space="preserve">Elementary</x:t>
        </x:is>
      </x:c>
      <x:c r="G302" s="20" t="inlineStr">
        <x:is>
          <x:t xml:space="preserve">YES</x:t>
        </x:is>
      </x:c>
      <x:c r="H302" s="20" t="inlineStr">
        <x:is>
          <x:t xml:space="preserve">NO</x:t>
        </x:is>
      </x:c>
      <x:c r="I302" s="20" t="inlineStr">
        <x:is>
          <x:t xml:space="preserve"/>
        </x:is>
      </x:c>
      <x:c r="J302" s="20" t="inlineStr">
        <x:is>
          <x:t xml:space="preserve">NO</x:t>
        </x:is>
      </x:c>
      <x:c r="K302" s="20" t="inlineStr">
        <x:is>
          <x:t xml:space="preserve"/>
        </x:is>
      </x:c>
      <x:c r="L302" s="20" t="inlineStr">
        <x:is>
          <x:t xml:space="preserve"/>
        </x:is>
      </x:c>
      <x:c r="M302" s="20" t="inlineStr">
        <x:is>
          <x:t xml:space="preserve"/>
        </x:is>
      </x:c>
      <x:c r="N302" s="20" t="inlineStr">
        <x:is>
          <x:t xml:space="preserve"/>
        </x:is>
      </x:c>
      <x:c r="O302" s="20" t="inlineStr">
        <x:is>
          <x:t xml:space="preserve"/>
        </x:is>
      </x:c>
      <x:c r="P302" s="20" t="inlineStr">
        <x:is>
          <x:t xml:space="preserve"/>
        </x:is>
      </x:c>
      <x:c r="Q302" s="20" t="inlineStr">
        <x:is>
          <x:t xml:space="preserve">https://www.fldoe.org/file/18534/SchoolGrades25.xlsx</x:t>
        </x:is>
      </x:c>
      <x:c r="R302" s="20" t="inlineStr">
        <x:is>
          <x:t xml:space="preserve">School type code 01; Title I=NO; Alternative/ESE=N; coordinates pending NCES/district GIS pull.</x:t>
        </x:is>
      </x:c>
    </x:row>
    <x:row r="303">
      <x:c r="A303" s="20" t="inlineStr">
        <x:is>
          <x:t xml:space="preserve">SEMINOLE</x:t>
        </x:is>
      </x:c>
      <x:c r="B303" s="20" t="inlineStr">
        <x:is>
          <x:t xml:space="preserve">SEMINOLE</x:t>
        </x:is>
      </x:c>
      <x:c r="C303" s="20" t="inlineStr">
        <x:is>
          <x:t xml:space="preserve">590591</x:t>
        </x:is>
      </x:c>
      <x:c r="D303" s="20" t="inlineStr">
        <x:is>
          <x:t xml:space="preserve"/>
        </x:is>
      </x:c>
      <x:c r="E303" s="20" t="inlineStr">
        <x:is>
          <x:t xml:space="preserve">WOODLANDS ELEMENTARY SCHOOL</x:t>
        </x:is>
      </x:c>
      <x:c r="F303" s="20" t="inlineStr">
        <x:is>
          <x:t xml:space="preserve">Elementary</x:t>
        </x:is>
      </x:c>
      <x:c r="G303" s="20" t="inlineStr">
        <x:is>
          <x:t xml:space="preserve">YES</x:t>
        </x:is>
      </x:c>
      <x:c r="H303" s="20" t="inlineStr">
        <x:is>
          <x:t xml:space="preserve">NO</x:t>
        </x:is>
      </x:c>
      <x:c r="I303" s="20" t="inlineStr">
        <x:is>
          <x:t xml:space="preserve"/>
        </x:is>
      </x:c>
      <x:c r="J303" s="20" t="inlineStr">
        <x:is>
          <x:t xml:space="preserve">NO</x:t>
        </x:is>
      </x:c>
      <x:c r="K303" s="20" t="inlineStr">
        <x:is>
          <x:t xml:space="preserve"/>
        </x:is>
      </x:c>
      <x:c r="L303" s="20" t="inlineStr">
        <x:is>
          <x:t xml:space="preserve"/>
        </x:is>
      </x:c>
      <x:c r="M303" s="20" t="inlineStr">
        <x:is>
          <x:t xml:space="preserve"/>
        </x:is>
      </x:c>
      <x:c r="N303" s="20" t="inlineStr">
        <x:is>
          <x:t xml:space="preserve"/>
        </x:is>
      </x:c>
      <x:c r="O303" s="20" t="inlineStr">
        <x:is>
          <x:t xml:space="preserve"/>
        </x:is>
      </x:c>
      <x:c r="P303" s="20" t="inlineStr">
        <x:is>
          <x:t xml:space="preserve"/>
        </x:is>
      </x:c>
      <x:c r="Q303" s="20" t="inlineStr">
        <x:is>
          <x:t xml:space="preserve">https://www.fldoe.org/file/18534/SchoolGrades25.xlsx</x:t>
        </x:is>
      </x:c>
      <x:c r="R303" s="20" t="inlineStr">
        <x:is>
          <x:t xml:space="preserve">School type code 01; Title I=NO; Alternative/ESE=N; coordinates pending NCES/district GIS pull.</x:t>
        </x:is>
      </x:c>
    </x:row>
    <x:row r="304">
      <x:c r="A304" s="20" t="inlineStr">
        <x:is>
          <x:t xml:space="preserve">SEMINOLE</x:t>
        </x:is>
      </x:c>
      <x:c r="B304" s="20" t="inlineStr">
        <x:is>
          <x:t xml:space="preserve">SEMINOLE</x:t>
        </x:is>
      </x:c>
      <x:c r="C304" s="20" t="inlineStr">
        <x:is>
          <x:t xml:space="preserve">590601</x:t>
        </x:is>
      </x:c>
      <x:c r="D304" s="20" t="inlineStr">
        <x:is>
          <x:t xml:space="preserve"/>
        </x:is>
      </x:c>
      <x:c r="E304" s="20" t="inlineStr">
        <x:is>
          <x:t xml:space="preserve">LAKE ORIENTA ELEMENTARY SCHOOL</x:t>
        </x:is>
      </x:c>
      <x:c r="F304" s="20" t="inlineStr">
        <x:is>
          <x:t xml:space="preserve">Elementary</x:t>
        </x:is>
      </x:c>
      <x:c r="G304" s="20" t="inlineStr">
        <x:is>
          <x:t xml:space="preserve">YES</x:t>
        </x:is>
      </x:c>
      <x:c r="H304" s="20" t="inlineStr">
        <x:is>
          <x:t xml:space="preserve">NO</x:t>
        </x:is>
      </x:c>
      <x:c r="I304" s="20" t="inlineStr">
        <x:is>
          <x:t xml:space="preserve"/>
        </x:is>
      </x:c>
      <x:c r="J304" s="20" t="inlineStr">
        <x:is>
          <x:t xml:space="preserve">NO</x:t>
        </x:is>
      </x:c>
      <x:c r="K304" s="20" t="inlineStr">
        <x:is>
          <x:t xml:space="preserve"/>
        </x:is>
      </x:c>
      <x:c r="L304" s="20" t="inlineStr">
        <x:is>
          <x:t xml:space="preserve"/>
        </x:is>
      </x:c>
      <x:c r="M304" s="20" t="inlineStr">
        <x:is>
          <x:t xml:space="preserve"/>
        </x:is>
      </x:c>
      <x:c r="N304" s="20" t="inlineStr">
        <x:is>
          <x:t xml:space="preserve"/>
        </x:is>
      </x:c>
      <x:c r="O304" s="20" t="inlineStr">
        <x:is>
          <x:t xml:space="preserve"/>
        </x:is>
      </x:c>
      <x:c r="P304" s="20" t="inlineStr">
        <x:is>
          <x:t xml:space="preserve"/>
        </x:is>
      </x:c>
      <x:c r="Q304" s="20" t="inlineStr">
        <x:is>
          <x:t xml:space="preserve">https://www.fldoe.org/file/18534/SchoolGrades25.xlsx</x:t>
        </x:is>
      </x:c>
      <x:c r="R304" s="20" t="inlineStr">
        <x:is>
          <x:t xml:space="preserve">School type code 01; Title I=YES; Alternative/ESE=N; coordinates pending NCES/district GIS pull.</x:t>
        </x:is>
      </x:c>
    </x:row>
    <x:row r="305">
      <x:c r="A305" s="20" t="inlineStr">
        <x:is>
          <x:t xml:space="preserve">SEMINOLE</x:t>
        </x:is>
      </x:c>
      <x:c r="B305" s="20" t="inlineStr">
        <x:is>
          <x:t xml:space="preserve">SEMINOLE</x:t>
        </x:is>
      </x:c>
      <x:c r="C305" s="20" t="inlineStr">
        <x:is>
          <x:t xml:space="preserve">590611</x:t>
        </x:is>
      </x:c>
      <x:c r="D305" s="20" t="inlineStr">
        <x:is>
          <x:t xml:space="preserve"/>
        </x:is>
      </x:c>
      <x:c r="E305" s="20" t="inlineStr">
        <x:is>
          <x:t xml:space="preserve">STERLING PARK ELEMENTARY SCHOOL</x:t>
        </x:is>
      </x:c>
      <x:c r="F305" s="20" t="inlineStr">
        <x:is>
          <x:t xml:space="preserve">Elementary</x:t>
        </x:is>
      </x:c>
      <x:c r="G305" s="20" t="inlineStr">
        <x:is>
          <x:t xml:space="preserve">YES</x:t>
        </x:is>
      </x:c>
      <x:c r="H305" s="20" t="inlineStr">
        <x:is>
          <x:t xml:space="preserve">NO</x:t>
        </x:is>
      </x:c>
      <x:c r="I305" s="20" t="inlineStr">
        <x:is>
          <x:t xml:space="preserve"/>
        </x:is>
      </x:c>
      <x:c r="J305" s="20" t="inlineStr">
        <x:is>
          <x:t xml:space="preserve">NO</x:t>
        </x:is>
      </x:c>
      <x:c r="K305" s="20" t="inlineStr">
        <x:is>
          <x:t xml:space="preserve"/>
        </x:is>
      </x:c>
      <x:c r="L305" s="20" t="inlineStr">
        <x:is>
          <x:t xml:space="preserve"/>
        </x:is>
      </x:c>
      <x:c r="M305" s="20" t="inlineStr">
        <x:is>
          <x:t xml:space="preserve"/>
        </x:is>
      </x:c>
      <x:c r="N305" s="20" t="inlineStr">
        <x:is>
          <x:t xml:space="preserve"/>
        </x:is>
      </x:c>
      <x:c r="O305" s="20" t="inlineStr">
        <x:is>
          <x:t xml:space="preserve"/>
        </x:is>
      </x:c>
      <x:c r="P305" s="20" t="inlineStr">
        <x:is>
          <x:t xml:space="preserve"/>
        </x:is>
      </x:c>
      <x:c r="Q305" s="20" t="inlineStr">
        <x:is>
          <x:t xml:space="preserve">https://www.fldoe.org/file/18534/SchoolGrades25.xlsx</x:t>
        </x:is>
      </x:c>
      <x:c r="R305" s="20" t="inlineStr">
        <x:is>
          <x:t xml:space="preserve">School type code 01; Title I=NO; Alternative/ESE=N; coordinates pending NCES/district GIS pull.</x:t>
        </x:is>
      </x:c>
    </x:row>
    <x:row r="306">
      <x:c r="A306" s="20" t="inlineStr">
        <x:is>
          <x:t xml:space="preserve">SEMINOLE</x:t>
        </x:is>
      </x:c>
      <x:c r="B306" s="20" t="inlineStr">
        <x:is>
          <x:t xml:space="preserve">SEMINOLE</x:t>
        </x:is>
      </x:c>
      <x:c r="C306" s="20" t="inlineStr">
        <x:is>
          <x:t xml:space="preserve">590621</x:t>
        </x:is>
      </x:c>
      <x:c r="D306" s="20" t="inlineStr">
        <x:is>
          <x:t xml:space="preserve"/>
        </x:is>
      </x:c>
      <x:c r="E306" s="20" t="inlineStr">
        <x:is>
          <x:t xml:space="preserve">ROCK LAKE MIDDLE SCHOOL</x:t>
        </x:is>
      </x:c>
      <x:c r="F306" s="20" t="inlineStr">
        <x:is>
          <x:t xml:space="preserve">Middle/Junior</x:t>
        </x:is>
      </x:c>
      <x:c r="G306" s="20" t="inlineStr">
        <x:is>
          <x:t xml:space="preserve">YES</x:t>
        </x:is>
      </x:c>
      <x:c r="H306" s="20" t="inlineStr">
        <x:is>
          <x:t xml:space="preserve">NO</x:t>
        </x:is>
      </x:c>
      <x:c r="I306" s="20" t="inlineStr">
        <x:is>
          <x:t xml:space="preserve"/>
        </x:is>
      </x:c>
      <x:c r="J306" s="20" t="inlineStr">
        <x:is>
          <x:t xml:space="preserve">NO</x:t>
        </x:is>
      </x:c>
      <x:c r="K306" s="20" t="inlineStr">
        <x:is>
          <x:t xml:space="preserve"/>
        </x:is>
      </x:c>
      <x:c r="L306" s="20" t="inlineStr">
        <x:is>
          <x:t xml:space="preserve"/>
        </x:is>
      </x:c>
      <x:c r="M306" s="20" t="inlineStr">
        <x:is>
          <x:t xml:space="preserve"/>
        </x:is>
      </x:c>
      <x:c r="N306" s="20" t="inlineStr">
        <x:is>
          <x:t xml:space="preserve"/>
        </x:is>
      </x:c>
      <x:c r="O306" s="20" t="inlineStr">
        <x:is>
          <x:t xml:space="preserve"/>
        </x:is>
      </x:c>
      <x:c r="P306" s="20" t="inlineStr">
        <x:is>
          <x:t xml:space="preserve"/>
        </x:is>
      </x:c>
      <x:c r="Q306" s="20" t="inlineStr">
        <x:is>
          <x:t xml:space="preserve">https://www.fldoe.org/file/18534/SchoolGrades25.xlsx</x:t>
        </x:is>
      </x:c>
      <x:c r="R306" s="20" t="inlineStr">
        <x:is>
          <x:t xml:space="preserve">School type code 02; Title I=NO; Alternative/ESE=N; coordinates pending NCES/district GIS pull.</x:t>
        </x:is>
      </x:c>
    </x:row>
    <x:row r="307">
      <x:c r="A307" s="20" t="inlineStr">
        <x:is>
          <x:t xml:space="preserve">SEMINOLE</x:t>
        </x:is>
      </x:c>
      <x:c r="B307" s="20" t="inlineStr">
        <x:is>
          <x:t xml:space="preserve">SEMINOLE</x:t>
        </x:is>
      </x:c>
      <x:c r="C307" s="20" t="inlineStr">
        <x:is>
          <x:t xml:space="preserve">590651</x:t>
        </x:is>
      </x:c>
      <x:c r="D307" s="20" t="inlineStr">
        <x:is>
          <x:t xml:space="preserve"/>
        </x:is>
      </x:c>
      <x:c r="E307" s="20" t="inlineStr">
        <x:is>
          <x:t xml:space="preserve">WEKIVA ELEMENTARY SCHOOL</x:t>
        </x:is>
      </x:c>
      <x:c r="F307" s="20" t="inlineStr">
        <x:is>
          <x:t xml:space="preserve">Elementary</x:t>
        </x:is>
      </x:c>
      <x:c r="G307" s="20" t="inlineStr">
        <x:is>
          <x:t xml:space="preserve">YES</x:t>
        </x:is>
      </x:c>
      <x:c r="H307" s="20" t="inlineStr">
        <x:is>
          <x:t xml:space="preserve">NO</x:t>
        </x:is>
      </x:c>
      <x:c r="I307" s="20" t="inlineStr">
        <x:is>
          <x:t xml:space="preserve"/>
        </x:is>
      </x:c>
      <x:c r="J307" s="20" t="inlineStr">
        <x:is>
          <x:t xml:space="preserve">NO</x:t>
        </x:is>
      </x:c>
      <x:c r="K307" s="20" t="inlineStr">
        <x:is>
          <x:t xml:space="preserve"/>
        </x:is>
      </x:c>
      <x:c r="L307" s="20" t="inlineStr">
        <x:is>
          <x:t xml:space="preserve"/>
        </x:is>
      </x:c>
      <x:c r="M307" s="20" t="inlineStr">
        <x:is>
          <x:t xml:space="preserve"/>
        </x:is>
      </x:c>
      <x:c r="N307" s="20" t="inlineStr">
        <x:is>
          <x:t xml:space="preserve"/>
        </x:is>
      </x:c>
      <x:c r="O307" s="20" t="inlineStr">
        <x:is>
          <x:t xml:space="preserve"/>
        </x:is>
      </x:c>
      <x:c r="P307" s="20" t="inlineStr">
        <x:is>
          <x:t xml:space="preserve"/>
        </x:is>
      </x:c>
      <x:c r="Q307" s="20" t="inlineStr">
        <x:is>
          <x:t xml:space="preserve">https://www.fldoe.org/file/18534/SchoolGrades25.xlsx</x:t>
        </x:is>
      </x:c>
      <x:c r="R307" s="20" t="inlineStr">
        <x:is>
          <x:t xml:space="preserve">School type code 01; Title I=NO; Alternative/ESE=N; coordinates pending NCES/district GIS pull.</x:t>
        </x:is>
      </x:c>
    </x:row>
    <x:row r="308">
      <x:c r="A308" s="20" t="inlineStr">
        <x:is>
          <x:t xml:space="preserve">SEMINOLE</x:t>
        </x:is>
      </x:c>
      <x:c r="B308" s="20" t="inlineStr">
        <x:is>
          <x:t xml:space="preserve">SEMINOLE</x:t>
        </x:is>
      </x:c>
      <x:c r="C308" s="20" t="inlineStr">
        <x:is>
          <x:t xml:space="preserve">590661</x:t>
        </x:is>
      </x:c>
      <x:c r="D308" s="20" t="inlineStr">
        <x:is>
          <x:t xml:space="preserve"/>
        </x:is>
      </x:c>
      <x:c r="E308" s="20" t="inlineStr">
        <x:is>
          <x:t xml:space="preserve">KEETH ELEMENTARY SCHOOL</x:t>
        </x:is>
      </x:c>
      <x:c r="F308" s="20" t="inlineStr">
        <x:is>
          <x:t xml:space="preserve">Elementary</x:t>
        </x:is>
      </x:c>
      <x:c r="G308" s="20" t="inlineStr">
        <x:is>
          <x:t xml:space="preserve">YES</x:t>
        </x:is>
      </x:c>
      <x:c r="H308" s="20" t="inlineStr">
        <x:is>
          <x:t xml:space="preserve">NO</x:t>
        </x:is>
      </x:c>
      <x:c r="I308" s="20" t="inlineStr">
        <x:is>
          <x:t xml:space="preserve"/>
        </x:is>
      </x:c>
      <x:c r="J308" s="20" t="inlineStr">
        <x:is>
          <x:t xml:space="preserve">NO</x:t>
        </x:is>
      </x:c>
      <x:c r="K308" s="20" t="inlineStr">
        <x:is>
          <x:t xml:space="preserve"/>
        </x:is>
      </x:c>
      <x:c r="L308" s="20" t="inlineStr">
        <x:is>
          <x:t xml:space="preserve"/>
        </x:is>
      </x:c>
      <x:c r="M308" s="20" t="inlineStr">
        <x:is>
          <x:t xml:space="preserve"/>
        </x:is>
      </x:c>
      <x:c r="N308" s="20" t="inlineStr">
        <x:is>
          <x:t xml:space="preserve"/>
        </x:is>
      </x:c>
      <x:c r="O308" s="20" t="inlineStr">
        <x:is>
          <x:t xml:space="preserve"/>
        </x:is>
      </x:c>
      <x:c r="P308" s="20" t="inlineStr">
        <x:is>
          <x:t xml:space="preserve"/>
        </x:is>
      </x:c>
      <x:c r="Q308" s="20" t="inlineStr">
        <x:is>
          <x:t xml:space="preserve">https://www.fldoe.org/file/18534/SchoolGrades25.xlsx</x:t>
        </x:is>
      </x:c>
      <x:c r="R308" s="20" t="inlineStr">
        <x:is>
          <x:t xml:space="preserve">School type code 01; Title I=NO; Alternative/ESE=N; coordinates pending NCES/district GIS pull.</x:t>
        </x:is>
      </x:c>
    </x:row>
    <x:row r="309">
      <x:c r="A309" s="20" t="inlineStr">
        <x:is>
          <x:t xml:space="preserve">SEMINOLE</x:t>
        </x:is>
      </x:c>
      <x:c r="B309" s="20" t="inlineStr">
        <x:is>
          <x:t xml:space="preserve">SEMINOLE</x:t>
        </x:is>
      </x:c>
      <x:c r="C309" s="20" t="inlineStr">
        <x:is>
          <x:t xml:space="preserve">590671</x:t>
        </x:is>
      </x:c>
      <x:c r="D309" s="20" t="inlineStr">
        <x:is>
          <x:t xml:space="preserve"/>
        </x:is>
      </x:c>
      <x:c r="E309" s="20" t="inlineStr">
        <x:is>
          <x:t xml:space="preserve">GREENWOOD LAKES MIDDLE SCHOOL</x:t>
        </x:is>
      </x:c>
      <x:c r="F309" s="20" t="inlineStr">
        <x:is>
          <x:t xml:space="preserve">Middle/Junior</x:t>
        </x:is>
      </x:c>
      <x:c r="G309" s="20" t="inlineStr">
        <x:is>
          <x:t xml:space="preserve">YES</x:t>
        </x:is>
      </x:c>
      <x:c r="H309" s="20" t="inlineStr">
        <x:is>
          <x:t xml:space="preserve">NO</x:t>
        </x:is>
      </x:c>
      <x:c r="I309" s="20" t="inlineStr">
        <x:is>
          <x:t xml:space="preserve"/>
        </x:is>
      </x:c>
      <x:c r="J309" s="20" t="inlineStr">
        <x:is>
          <x:t xml:space="preserve">NO</x:t>
        </x:is>
      </x:c>
      <x:c r="K309" s="20" t="inlineStr">
        <x:is>
          <x:t xml:space="preserve"/>
        </x:is>
      </x:c>
      <x:c r="L309" s="20" t="inlineStr">
        <x:is>
          <x:t xml:space="preserve"/>
        </x:is>
      </x:c>
      <x:c r="M309" s="20" t="inlineStr">
        <x:is>
          <x:t xml:space="preserve"/>
        </x:is>
      </x:c>
      <x:c r="N309" s="20" t="inlineStr">
        <x:is>
          <x:t xml:space="preserve"/>
        </x:is>
      </x:c>
      <x:c r="O309" s="20" t="inlineStr">
        <x:is>
          <x:t xml:space="preserve"/>
        </x:is>
      </x:c>
      <x:c r="P309" s="20" t="inlineStr">
        <x:is>
          <x:t xml:space="preserve"/>
        </x:is>
      </x:c>
      <x:c r="Q309" s="20" t="inlineStr">
        <x:is>
          <x:t xml:space="preserve">https://www.fldoe.org/file/18534/SchoolGrades25.xlsx</x:t>
        </x:is>
      </x:c>
      <x:c r="R309" s="20" t="inlineStr">
        <x:is>
          <x:t xml:space="preserve">School type code 02; Title I=YES; Alternative/ESE=N; coordinates pending NCES/district GIS pull.</x:t>
        </x:is>
      </x:c>
    </x:row>
    <x:row r="310">
      <x:c r="A310" s="20" t="inlineStr">
        <x:is>
          <x:t xml:space="preserve">SEMINOLE</x:t>
        </x:is>
      </x:c>
      <x:c r="B310" s="20" t="inlineStr">
        <x:is>
          <x:t xml:space="preserve">SEMINOLE</x:t>
        </x:is>
      </x:c>
      <x:c r="C310" s="20" t="inlineStr">
        <x:is>
          <x:t xml:space="preserve">590681</x:t>
        </x:is>
      </x:c>
      <x:c r="D310" s="20" t="inlineStr">
        <x:is>
          <x:t xml:space="preserve"/>
        </x:is>
      </x:c>
      <x:c r="E310" s="20" t="inlineStr">
        <x:is>
          <x:t xml:space="preserve">STENSTROM ELEMENTARY SCHOOL</x:t>
        </x:is>
      </x:c>
      <x:c r="F310" s="20" t="inlineStr">
        <x:is>
          <x:t xml:space="preserve">Elementary</x:t>
        </x:is>
      </x:c>
      <x:c r="G310" s="20" t="inlineStr">
        <x:is>
          <x:t xml:space="preserve">YES</x:t>
        </x:is>
      </x:c>
      <x:c r="H310" s="20" t="inlineStr">
        <x:is>
          <x:t xml:space="preserve">NO</x:t>
        </x:is>
      </x:c>
      <x:c r="I310" s="20" t="inlineStr">
        <x:is>
          <x:t xml:space="preserve"/>
        </x:is>
      </x:c>
      <x:c r="J310" s="20" t="inlineStr">
        <x:is>
          <x:t xml:space="preserve">NO</x:t>
        </x:is>
      </x:c>
      <x:c r="K310" s="20" t="inlineStr">
        <x:is>
          <x:t xml:space="preserve"/>
        </x:is>
      </x:c>
      <x:c r="L310" s="20" t="inlineStr">
        <x:is>
          <x:t xml:space="preserve"/>
        </x:is>
      </x:c>
      <x:c r="M310" s="20" t="inlineStr">
        <x:is>
          <x:t xml:space="preserve"/>
        </x:is>
      </x:c>
      <x:c r="N310" s="20" t="inlineStr">
        <x:is>
          <x:t xml:space="preserve"/>
        </x:is>
      </x:c>
      <x:c r="O310" s="20" t="inlineStr">
        <x:is>
          <x:t xml:space="preserve"/>
        </x:is>
      </x:c>
      <x:c r="P310" s="20" t="inlineStr">
        <x:is>
          <x:t xml:space="preserve"/>
        </x:is>
      </x:c>
      <x:c r="Q310" s="20" t="inlineStr">
        <x:is>
          <x:t xml:space="preserve">https://www.fldoe.org/file/18534/SchoolGrades25.xlsx</x:t>
        </x:is>
      </x:c>
      <x:c r="R310" s="20" t="inlineStr">
        <x:is>
          <x:t xml:space="preserve">School type code 01; Title I=NO; Alternative/ESE=N; coordinates pending NCES/district GIS pull.</x:t>
        </x:is>
      </x:c>
    </x:row>
    <x:row r="311">
      <x:c r="A311" s="20" t="inlineStr">
        <x:is>
          <x:t xml:space="preserve">SEMINOLE</x:t>
        </x:is>
      </x:c>
      <x:c r="B311" s="20" t="inlineStr">
        <x:is>
          <x:t xml:space="preserve">SEMINOLE</x:t>
        </x:is>
      </x:c>
      <x:c r="C311" s="20" t="inlineStr">
        <x:is>
          <x:t xml:space="preserve">590691</x:t>
        </x:is>
      </x:c>
      <x:c r="D311" s="20" t="inlineStr">
        <x:is>
          <x:t xml:space="preserve"/>
        </x:is>
      </x:c>
      <x:c r="E311" s="20" t="inlineStr">
        <x:is>
          <x:t xml:space="preserve">HEATHROW ELEMENTARY SCHOOL</x:t>
        </x:is>
      </x:c>
      <x:c r="F311" s="20" t="inlineStr">
        <x:is>
          <x:t xml:space="preserve">Elementary</x:t>
        </x:is>
      </x:c>
      <x:c r="G311" s="20" t="inlineStr">
        <x:is>
          <x:t xml:space="preserve">YES</x:t>
        </x:is>
      </x:c>
      <x:c r="H311" s="20" t="inlineStr">
        <x:is>
          <x:t xml:space="preserve">NO</x:t>
        </x:is>
      </x:c>
      <x:c r="I311" s="20" t="inlineStr">
        <x:is>
          <x:t xml:space="preserve"/>
        </x:is>
      </x:c>
      <x:c r="J311" s="20" t="inlineStr">
        <x:is>
          <x:t xml:space="preserve">NO</x:t>
        </x:is>
      </x:c>
      <x:c r="K311" s="20" t="inlineStr">
        <x:is>
          <x:t xml:space="preserve"/>
        </x:is>
      </x:c>
      <x:c r="L311" s="20" t="inlineStr">
        <x:is>
          <x:t xml:space="preserve"/>
        </x:is>
      </x:c>
      <x:c r="M311" s="20" t="inlineStr">
        <x:is>
          <x:t xml:space="preserve"/>
        </x:is>
      </x:c>
      <x:c r="N311" s="20" t="inlineStr">
        <x:is>
          <x:t xml:space="preserve"/>
        </x:is>
      </x:c>
      <x:c r="O311" s="20" t="inlineStr">
        <x:is>
          <x:t xml:space="preserve"/>
        </x:is>
      </x:c>
      <x:c r="P311" s="20" t="inlineStr">
        <x:is>
          <x:t xml:space="preserve"/>
        </x:is>
      </x:c>
      <x:c r="Q311" s="20" t="inlineStr">
        <x:is>
          <x:t xml:space="preserve">https://www.fldoe.org/file/18534/SchoolGrades25.xlsx</x:t>
        </x:is>
      </x:c>
      <x:c r="R311" s="20" t="inlineStr">
        <x:is>
          <x:t xml:space="preserve">School type code 01; Title I=NO; Alternative/ESE=N; coordinates pending NCES/district GIS pull.</x:t>
        </x:is>
      </x:c>
    </x:row>
    <x:row r="312">
      <x:c r="A312" s="20" t="inlineStr">
        <x:is>
          <x:t xml:space="preserve">SEMINOLE</x:t>
        </x:is>
      </x:c>
      <x:c r="B312" s="20" t="inlineStr">
        <x:is>
          <x:t xml:space="preserve">SEMINOLE</x:t>
        </x:is>
      </x:c>
      <x:c r="C312" s="20" t="inlineStr">
        <x:is>
          <x:t xml:space="preserve">590701</x:t>
        </x:is>
      </x:c>
      <x:c r="D312" s="20" t="inlineStr">
        <x:is>
          <x:t xml:space="preserve"/>
        </x:is>
      </x:c>
      <x:c r="E312" s="20" t="inlineStr">
        <x:is>
          <x:t xml:space="preserve">PARTIN ELEMENTARY SCHOOL</x:t>
        </x:is>
      </x:c>
      <x:c r="F312" s="20" t="inlineStr">
        <x:is>
          <x:t xml:space="preserve">Elementary</x:t>
        </x:is>
      </x:c>
      <x:c r="G312" s="20" t="inlineStr">
        <x:is>
          <x:t xml:space="preserve">YES</x:t>
        </x:is>
      </x:c>
      <x:c r="H312" s="20" t="inlineStr">
        <x:is>
          <x:t xml:space="preserve">NO</x:t>
        </x:is>
      </x:c>
      <x:c r="I312" s="20" t="inlineStr">
        <x:is>
          <x:t xml:space="preserve"/>
        </x:is>
      </x:c>
      <x:c r="J312" s="20" t="inlineStr">
        <x:is>
          <x:t xml:space="preserve">NO</x:t>
        </x:is>
      </x:c>
      <x:c r="K312" s="20" t="inlineStr">
        <x:is>
          <x:t xml:space="preserve"/>
        </x:is>
      </x:c>
      <x:c r="L312" s="20" t="inlineStr">
        <x:is>
          <x:t xml:space="preserve"/>
        </x:is>
      </x:c>
      <x:c r="M312" s="20" t="inlineStr">
        <x:is>
          <x:t xml:space="preserve"/>
        </x:is>
      </x:c>
      <x:c r="N312" s="20" t="inlineStr">
        <x:is>
          <x:t xml:space="preserve"/>
        </x:is>
      </x:c>
      <x:c r="O312" s="20" t="inlineStr">
        <x:is>
          <x:t xml:space="preserve"/>
        </x:is>
      </x:c>
      <x:c r="P312" s="20" t="inlineStr">
        <x:is>
          <x:t xml:space="preserve"/>
        </x:is>
      </x:c>
      <x:c r="Q312" s="20" t="inlineStr">
        <x:is>
          <x:t xml:space="preserve">https://www.fldoe.org/file/18534/SchoolGrades25.xlsx</x:t>
        </x:is>
      </x:c>
      <x:c r="R312" s="20" t="inlineStr">
        <x:is>
          <x:t xml:space="preserve">School type code 01; Title I=NO; Alternative/ESE=N; coordinates pending NCES/district GIS pull.</x:t>
        </x:is>
      </x:c>
    </x:row>
    <x:row r="313">
      <x:c r="A313" s="20" t="inlineStr">
        <x:is>
          <x:t xml:space="preserve">SEMINOLE</x:t>
        </x:is>
      </x:c>
      <x:c r="B313" s="20" t="inlineStr">
        <x:is>
          <x:t xml:space="preserve">SEMINOLE</x:t>
        </x:is>
      </x:c>
      <x:c r="C313" s="20" t="inlineStr">
        <x:is>
          <x:t xml:space="preserve">590711</x:t>
        </x:is>
      </x:c>
      <x:c r="D313" s="20" t="inlineStr">
        <x:is>
          <x:t xml:space="preserve"/>
        </x:is>
      </x:c>
      <x:c r="E313" s="20" t="inlineStr">
        <x:is>
          <x:t xml:space="preserve">INDIAN TRAILS MIDDLE SCHOOL</x:t>
        </x:is>
      </x:c>
      <x:c r="F313" s="20" t="inlineStr">
        <x:is>
          <x:t xml:space="preserve">Middle/Junior</x:t>
        </x:is>
      </x:c>
      <x:c r="G313" s="20" t="inlineStr">
        <x:is>
          <x:t xml:space="preserve">YES</x:t>
        </x:is>
      </x:c>
      <x:c r="H313" s="20" t="inlineStr">
        <x:is>
          <x:t xml:space="preserve">NO</x:t>
        </x:is>
      </x:c>
      <x:c r="I313" s="20" t="inlineStr">
        <x:is>
          <x:t xml:space="preserve"/>
        </x:is>
      </x:c>
      <x:c r="J313" s="20" t="inlineStr">
        <x:is>
          <x:t xml:space="preserve">NO</x:t>
        </x:is>
      </x:c>
      <x:c r="K313" s="20" t="inlineStr">
        <x:is>
          <x:t xml:space="preserve"/>
        </x:is>
      </x:c>
      <x:c r="L313" s="20" t="inlineStr">
        <x:is>
          <x:t xml:space="preserve"/>
        </x:is>
      </x:c>
      <x:c r="M313" s="20" t="inlineStr">
        <x:is>
          <x:t xml:space="preserve"/>
        </x:is>
      </x:c>
      <x:c r="N313" s="20" t="inlineStr">
        <x:is>
          <x:t xml:space="preserve"/>
        </x:is>
      </x:c>
      <x:c r="O313" s="20" t="inlineStr">
        <x:is>
          <x:t xml:space="preserve"/>
        </x:is>
      </x:c>
      <x:c r="P313" s="20" t="inlineStr">
        <x:is>
          <x:t xml:space="preserve"/>
        </x:is>
      </x:c>
      <x:c r="Q313" s="20" t="inlineStr">
        <x:is>
          <x:t xml:space="preserve">https://www.fldoe.org/file/18534/SchoolGrades25.xlsx</x:t>
        </x:is>
      </x:c>
      <x:c r="R313" s="20" t="inlineStr">
        <x:is>
          <x:t xml:space="preserve">School type code 02; Title I=NO; Alternative/ESE=N; coordinates pending NCES/district GIS pull.</x:t>
        </x:is>
      </x:c>
    </x:row>
    <x:row r="314">
      <x:c r="A314" s="20" t="inlineStr">
        <x:is>
          <x:t xml:space="preserve">SEMINOLE</x:t>
        </x:is>
      </x:c>
      <x:c r="B314" s="20" t="inlineStr">
        <x:is>
          <x:t xml:space="preserve">SEMINOLE</x:t>
        </x:is>
      </x:c>
      <x:c r="C314" s="20" t="inlineStr">
        <x:is>
          <x:t xml:space="preserve">590721</x:t>
        </x:is>
      </x:c>
      <x:c r="D314" s="20" t="inlineStr">
        <x:is>
          <x:t xml:space="preserve"/>
        </x:is>
      </x:c>
      <x:c r="E314" s="20" t="inlineStr">
        <x:is>
          <x:t xml:space="preserve">CHILES MIDDLE SCHOOL</x:t>
        </x:is>
      </x:c>
      <x:c r="F314" s="20" t="inlineStr">
        <x:is>
          <x:t xml:space="preserve">Middle/Junior</x:t>
        </x:is>
      </x:c>
      <x:c r="G314" s="20" t="inlineStr">
        <x:is>
          <x:t xml:space="preserve">YES</x:t>
        </x:is>
      </x:c>
      <x:c r="H314" s="20" t="inlineStr">
        <x:is>
          <x:t xml:space="preserve">NO</x:t>
        </x:is>
      </x:c>
      <x:c r="I314" s="20" t="inlineStr">
        <x:is>
          <x:t xml:space="preserve"/>
        </x:is>
      </x:c>
      <x:c r="J314" s="20" t="inlineStr">
        <x:is>
          <x:t xml:space="preserve">NO</x:t>
        </x:is>
      </x:c>
      <x:c r="K314" s="20" t="inlineStr">
        <x:is>
          <x:t xml:space="preserve"/>
        </x:is>
      </x:c>
      <x:c r="L314" s="20" t="inlineStr">
        <x:is>
          <x:t xml:space="preserve"/>
        </x:is>
      </x:c>
      <x:c r="M314" s="20" t="inlineStr">
        <x:is>
          <x:t xml:space="preserve"/>
        </x:is>
      </x:c>
      <x:c r="N314" s="20" t="inlineStr">
        <x:is>
          <x:t xml:space="preserve"/>
        </x:is>
      </x:c>
      <x:c r="O314" s="20" t="inlineStr">
        <x:is>
          <x:t xml:space="preserve"/>
        </x:is>
      </x:c>
      <x:c r="P314" s="20" t="inlineStr">
        <x:is>
          <x:t xml:space="preserve"/>
        </x:is>
      </x:c>
      <x:c r="Q314" s="20" t="inlineStr">
        <x:is>
          <x:t xml:space="preserve">https://www.fldoe.org/file/18534/SchoolGrades25.xlsx</x:t>
        </x:is>
      </x:c>
      <x:c r="R314" s="20" t="inlineStr">
        <x:is>
          <x:t xml:space="preserve">School type code 02; Title I=NO; Alternative/ESE=N; coordinates pending NCES/district GIS pull.</x:t>
        </x:is>
      </x:c>
    </x:row>
    <x:row r="315">
      <x:c r="A315" s="20" t="inlineStr">
        <x:is>
          <x:t xml:space="preserve">SEMINOLE</x:t>
        </x:is>
      </x:c>
      <x:c r="B315" s="20" t="inlineStr">
        <x:is>
          <x:t xml:space="preserve">SEMINOLE</x:t>
        </x:is>
      </x:c>
      <x:c r="C315" s="20" t="inlineStr">
        <x:is>
          <x:t xml:space="preserve">590731</x:t>
        </x:is>
      </x:c>
      <x:c r="D315" s="20" t="inlineStr">
        <x:is>
          <x:t xml:space="preserve"/>
        </x:is>
      </x:c>
      <x:c r="E315" s="20" t="inlineStr">
        <x:is>
          <x:t xml:space="preserve">MARKHAM WOODS MIDDLE SCHOOL</x:t>
        </x:is>
      </x:c>
      <x:c r="F315" s="20" t="inlineStr">
        <x:is>
          <x:t xml:space="preserve">Middle/Junior</x:t>
        </x:is>
      </x:c>
      <x:c r="G315" s="20" t="inlineStr">
        <x:is>
          <x:t xml:space="preserve">YES</x:t>
        </x:is>
      </x:c>
      <x:c r="H315" s="20" t="inlineStr">
        <x:is>
          <x:t xml:space="preserve">NO</x:t>
        </x:is>
      </x:c>
      <x:c r="I315" s="20" t="inlineStr">
        <x:is>
          <x:t xml:space="preserve"/>
        </x:is>
      </x:c>
      <x:c r="J315" s="20" t="inlineStr">
        <x:is>
          <x:t xml:space="preserve">NO</x:t>
        </x:is>
      </x:c>
      <x:c r="K315" s="20" t="inlineStr">
        <x:is>
          <x:t xml:space="preserve"/>
        </x:is>
      </x:c>
      <x:c r="L315" s="20" t="inlineStr">
        <x:is>
          <x:t xml:space="preserve"/>
        </x:is>
      </x:c>
      <x:c r="M315" s="20" t="inlineStr">
        <x:is>
          <x:t xml:space="preserve"/>
        </x:is>
      </x:c>
      <x:c r="N315" s="20" t="inlineStr">
        <x:is>
          <x:t xml:space="preserve"/>
        </x:is>
      </x:c>
      <x:c r="O315" s="20" t="inlineStr">
        <x:is>
          <x:t xml:space="preserve"/>
        </x:is>
      </x:c>
      <x:c r="P315" s="20" t="inlineStr">
        <x:is>
          <x:t xml:space="preserve"/>
        </x:is>
      </x:c>
      <x:c r="Q315" s="20" t="inlineStr">
        <x:is>
          <x:t xml:space="preserve">https://www.fldoe.org/file/18534/SchoolGrades25.xlsx</x:t>
        </x:is>
      </x:c>
      <x:c r="R315" s="20" t="inlineStr">
        <x:is>
          <x:t xml:space="preserve">School type code 02; Title I=NO; Alternative/ESE=N; coordinates pending NCES/district GIS pull.</x:t>
        </x:is>
      </x:c>
    </x:row>
    <x:row r="316">
      <x:c r="A316" s="20" t="inlineStr">
        <x:is>
          <x:t xml:space="preserve">SEMINOLE</x:t>
        </x:is>
      </x:c>
      <x:c r="B316" s="20" t="inlineStr">
        <x:is>
          <x:t xml:space="preserve">SEMINOLE</x:t>
        </x:is>
      </x:c>
      <x:c r="C316" s="20" t="inlineStr">
        <x:is>
          <x:t xml:space="preserve">590801</x:t>
        </x:is>
      </x:c>
      <x:c r="D316" s="20" t="inlineStr">
        <x:is>
          <x:t xml:space="preserve"/>
        </x:is>
      </x:c>
      <x:c r="E316" s="20" t="inlineStr">
        <x:is>
          <x:t xml:space="preserve">BENTLEY ELEMENTARY SCHOOL</x:t>
        </x:is>
      </x:c>
      <x:c r="F316" s="20" t="inlineStr">
        <x:is>
          <x:t xml:space="preserve">Elementary</x:t>
        </x:is>
      </x:c>
      <x:c r="G316" s="20" t="inlineStr">
        <x:is>
          <x:t xml:space="preserve">YES</x:t>
        </x:is>
      </x:c>
      <x:c r="H316" s="20" t="inlineStr">
        <x:is>
          <x:t xml:space="preserve">NO</x:t>
        </x:is>
      </x:c>
      <x:c r="I316" s="20" t="inlineStr">
        <x:is>
          <x:t xml:space="preserve"/>
        </x:is>
      </x:c>
      <x:c r="J316" s="20" t="inlineStr">
        <x:is>
          <x:t xml:space="preserve">NO</x:t>
        </x:is>
      </x:c>
      <x:c r="K316" s="20" t="inlineStr">
        <x:is>
          <x:t xml:space="preserve"/>
        </x:is>
      </x:c>
      <x:c r="L316" s="20" t="inlineStr">
        <x:is>
          <x:t xml:space="preserve"/>
        </x:is>
      </x:c>
      <x:c r="M316" s="20" t="inlineStr">
        <x:is>
          <x:t xml:space="preserve"/>
        </x:is>
      </x:c>
      <x:c r="N316" s="20" t="inlineStr">
        <x:is>
          <x:t xml:space="preserve"/>
        </x:is>
      </x:c>
      <x:c r="O316" s="20" t="inlineStr">
        <x:is>
          <x:t xml:space="preserve"/>
        </x:is>
      </x:c>
      <x:c r="P316" s="20" t="inlineStr">
        <x:is>
          <x:t xml:space="preserve"/>
        </x:is>
      </x:c>
      <x:c r="Q316" s="20" t="inlineStr">
        <x:is>
          <x:t xml:space="preserve">https://www.fldoe.org/file/18534/SchoolGrades25.xlsx</x:t>
        </x:is>
      </x:c>
      <x:c r="R316" s="20" t="inlineStr">
        <x:is>
          <x:t xml:space="preserve">School type code 01; Title I=YES; Alternative/ESE=N; coordinates pending NCES/district GIS pull.</x:t>
        </x:is>
      </x:c>
    </x:row>
    <x:row r="317">
      <x:c r="A317" s="20" t="inlineStr">
        <x:is>
          <x:t xml:space="preserve">SEMINOLE</x:t>
        </x:is>
      </x:c>
      <x:c r="B317" s="20" t="inlineStr">
        <x:is>
          <x:t xml:space="preserve">SEMINOLE</x:t>
        </x:is>
      </x:c>
      <x:c r="C317" s="20" t="inlineStr">
        <x:is>
          <x:t xml:space="preserve">590811</x:t>
        </x:is>
      </x:c>
      <x:c r="D317" s="20" t="inlineStr">
        <x:is>
          <x:t xml:space="preserve"/>
        </x:is>
      </x:c>
      <x:c r="E317" s="20" t="inlineStr">
        <x:is>
          <x:t xml:space="preserve">WICKLOW ELEMENTARY SCHOOL</x:t>
        </x:is>
      </x:c>
      <x:c r="F317" s="20" t="inlineStr">
        <x:is>
          <x:t xml:space="preserve">Elementary</x:t>
        </x:is>
      </x:c>
      <x:c r="G317" s="20" t="inlineStr">
        <x:is>
          <x:t xml:space="preserve">YES</x:t>
        </x:is>
      </x:c>
      <x:c r="H317" s="20" t="inlineStr">
        <x:is>
          <x:t xml:space="preserve">NO</x:t>
        </x:is>
      </x:c>
      <x:c r="I317" s="20" t="inlineStr">
        <x:is>
          <x:t xml:space="preserve"/>
        </x:is>
      </x:c>
      <x:c r="J317" s="20" t="inlineStr">
        <x:is>
          <x:t xml:space="preserve">NO</x:t>
        </x:is>
      </x:c>
      <x:c r="K317" s="20" t="inlineStr">
        <x:is>
          <x:t xml:space="preserve"/>
        </x:is>
      </x:c>
      <x:c r="L317" s="20" t="inlineStr">
        <x:is>
          <x:t xml:space="preserve"/>
        </x:is>
      </x:c>
      <x:c r="M317" s="20" t="inlineStr">
        <x:is>
          <x:t xml:space="preserve"/>
        </x:is>
      </x:c>
      <x:c r="N317" s="20" t="inlineStr">
        <x:is>
          <x:t xml:space="preserve"/>
        </x:is>
      </x:c>
      <x:c r="O317" s="20" t="inlineStr">
        <x:is>
          <x:t xml:space="preserve"/>
        </x:is>
      </x:c>
      <x:c r="P317" s="20" t="inlineStr">
        <x:is>
          <x:t xml:space="preserve"/>
        </x:is>
      </x:c>
      <x:c r="Q317" s="20" t="inlineStr">
        <x:is>
          <x:t xml:space="preserve">https://www.fldoe.org/file/18534/SchoolGrades25.xlsx</x:t>
        </x:is>
      </x:c>
      <x:c r="R317" s="20" t="inlineStr">
        <x:is>
          <x:t xml:space="preserve">School type code 01; Title I=YES; Alternative/ESE=N; coordinates pending NCES/district GIS pull.</x:t>
        </x:is>
      </x:c>
    </x:row>
    <x:row r="318">
      <x:c r="A318" s="20" t="inlineStr">
        <x:is>
          <x:t xml:space="preserve">SEMINOLE</x:t>
        </x:is>
      </x:c>
      <x:c r="B318" s="20" t="inlineStr">
        <x:is>
          <x:t xml:space="preserve">SEMINOLE</x:t>
        </x:is>
      </x:c>
      <x:c r="C318" s="20" t="inlineStr">
        <x:is>
          <x:t xml:space="preserve">590821</x:t>
        </x:is>
      </x:c>
      <x:c r="D318" s="20" t="inlineStr">
        <x:is>
          <x:t xml:space="preserve"/>
        </x:is>
      </x:c>
      <x:c r="E318" s="20" t="inlineStr">
        <x:is>
          <x:t xml:space="preserve">CRYSTAL LAKE ELEMENTARY SCHOOL</x:t>
        </x:is>
      </x:c>
      <x:c r="F318" s="20" t="inlineStr">
        <x:is>
          <x:t xml:space="preserve">Elementary</x:t>
        </x:is>
      </x:c>
      <x:c r="G318" s="20" t="inlineStr">
        <x:is>
          <x:t xml:space="preserve">YES</x:t>
        </x:is>
      </x:c>
      <x:c r="H318" s="20" t="inlineStr">
        <x:is>
          <x:t xml:space="preserve">NO</x:t>
        </x:is>
      </x:c>
      <x:c r="I318" s="20" t="inlineStr">
        <x:is>
          <x:t xml:space="preserve"/>
        </x:is>
      </x:c>
      <x:c r="J318" s="20" t="inlineStr">
        <x:is>
          <x:t xml:space="preserve">NO</x:t>
        </x:is>
      </x:c>
      <x:c r="K318" s="20" t="inlineStr">
        <x:is>
          <x:t xml:space="preserve"/>
        </x:is>
      </x:c>
      <x:c r="L318" s="20" t="inlineStr">
        <x:is>
          <x:t xml:space="preserve"/>
        </x:is>
      </x:c>
      <x:c r="M318" s="20" t="inlineStr">
        <x:is>
          <x:t xml:space="preserve"/>
        </x:is>
      </x:c>
      <x:c r="N318" s="20" t="inlineStr">
        <x:is>
          <x:t xml:space="preserve"/>
        </x:is>
      </x:c>
      <x:c r="O318" s="20" t="inlineStr">
        <x:is>
          <x:t xml:space="preserve"/>
        </x:is>
      </x:c>
      <x:c r="P318" s="20" t="inlineStr">
        <x:is>
          <x:t xml:space="preserve"/>
        </x:is>
      </x:c>
      <x:c r="Q318" s="20" t="inlineStr">
        <x:is>
          <x:t xml:space="preserve">https://www.fldoe.org/file/18534/SchoolGrades25.xlsx</x:t>
        </x:is>
      </x:c>
      <x:c r="R318" s="20" t="inlineStr">
        <x:is>
          <x:t xml:space="preserve">School type code 01; Title I=NO; Alternative/ESE=N; coordinates pending NCES/district GIS pull.</x:t>
        </x:is>
      </x:c>
    </x:row>
    <x:row r="319">
      <x:c r="A319" s="20" t="inlineStr">
        <x:is>
          <x:t xml:space="preserve">SEMINOLE</x:t>
        </x:is>
      </x:c>
      <x:c r="B319" s="20" t="inlineStr">
        <x:is>
          <x:t xml:space="preserve">SEMINOLE</x:t>
        </x:is>
      </x:c>
      <x:c r="C319" s="20" t="inlineStr">
        <x:is>
          <x:t xml:space="preserve">590911</x:t>
        </x:is>
      </x:c>
      <x:c r="D319" s="20" t="inlineStr">
        <x:is>
          <x:t xml:space="preserve"/>
        </x:is>
      </x:c>
      <x:c r="E319" s="20" t="inlineStr">
        <x:is>
          <x:t xml:space="preserve">WINTER SPRINGS HIGH SCHOOL</x:t>
        </x:is>
      </x:c>
      <x:c r="F319" s="20" t="inlineStr">
        <x:is>
          <x:t xml:space="preserve">Senior High</x:t>
        </x:is>
      </x:c>
      <x:c r="G319" s="20" t="inlineStr">
        <x:is>
          <x:t xml:space="preserve">YES</x:t>
        </x:is>
      </x:c>
      <x:c r="H319" s="20" t="inlineStr">
        <x:is>
          <x:t xml:space="preserve">NO</x:t>
        </x:is>
      </x:c>
      <x:c r="I319" s="20" t="inlineStr">
        <x:is>
          <x:t xml:space="preserve"/>
        </x:is>
      </x:c>
      <x:c r="J319" s="20" t="inlineStr">
        <x:is>
          <x:t xml:space="preserve">NO</x:t>
        </x:is>
      </x:c>
      <x:c r="K319" s="20" t="inlineStr">
        <x:is>
          <x:t xml:space="preserve"/>
        </x:is>
      </x:c>
      <x:c r="L319" s="20" t="inlineStr">
        <x:is>
          <x:t xml:space="preserve"/>
        </x:is>
      </x:c>
      <x:c r="M319" s="20" t="inlineStr">
        <x:is>
          <x:t xml:space="preserve"/>
        </x:is>
      </x:c>
      <x:c r="N319" s="20" t="inlineStr">
        <x:is>
          <x:t xml:space="preserve"/>
        </x:is>
      </x:c>
      <x:c r="O319" s="20" t="inlineStr">
        <x:is>
          <x:t xml:space="preserve"/>
        </x:is>
      </x:c>
      <x:c r="P319" s="20" t="inlineStr">
        <x:is>
          <x:t xml:space="preserve"/>
        </x:is>
      </x:c>
      <x:c r="Q319" s="20" t="inlineStr">
        <x:is>
          <x:t xml:space="preserve">https://www.fldoe.org/file/18534/SchoolGrades25.xlsx</x:t>
        </x:is>
      </x:c>
      <x:c r="R319" s="20" t="inlineStr">
        <x:is>
          <x:t xml:space="preserve">School type code 03; Title I=NO; Alternative/ESE=N; coordinates pending NCES/district GIS pull.</x:t>
        </x:is>
      </x:c>
    </x:row>
    <x:row r="320">
      <x:c r="A320" s="20" t="inlineStr">
        <x:is>
          <x:t xml:space="preserve">SEMINOLE</x:t>
        </x:is>
      </x:c>
      <x:c r="B320" s="20" t="inlineStr">
        <x:is>
          <x:t xml:space="preserve">SEMINOLE</x:t>
        </x:is>
      </x:c>
      <x:c r="C320" s="20" t="inlineStr">
        <x:is>
          <x:t xml:space="preserve">590931</x:t>
        </x:is>
      </x:c>
      <x:c r="D320" s="20" t="inlineStr">
        <x:is>
          <x:t xml:space="preserve"/>
        </x:is>
      </x:c>
      <x:c r="E320" s="20" t="inlineStr">
        <x:is>
          <x:t xml:space="preserve">HAGERTY HIGH SCHOOL</x:t>
        </x:is>
      </x:c>
      <x:c r="F320" s="20" t="inlineStr">
        <x:is>
          <x:t xml:space="preserve">Senior High</x:t>
        </x:is>
      </x:c>
      <x:c r="G320" s="20" t="inlineStr">
        <x:is>
          <x:t xml:space="preserve">YES</x:t>
        </x:is>
      </x:c>
      <x:c r="H320" s="20" t="inlineStr">
        <x:is>
          <x:t xml:space="preserve">NO</x:t>
        </x:is>
      </x:c>
      <x:c r="I320" s="20" t="inlineStr">
        <x:is>
          <x:t xml:space="preserve"/>
        </x:is>
      </x:c>
      <x:c r="J320" s="20" t="inlineStr">
        <x:is>
          <x:t xml:space="preserve">NO</x:t>
        </x:is>
      </x:c>
      <x:c r="K320" s="20" t="inlineStr">
        <x:is>
          <x:t xml:space="preserve"/>
        </x:is>
      </x:c>
      <x:c r="L320" s="20" t="inlineStr">
        <x:is>
          <x:t xml:space="preserve"/>
        </x:is>
      </x:c>
      <x:c r="M320" s="20" t="inlineStr">
        <x:is>
          <x:t xml:space="preserve"/>
        </x:is>
      </x:c>
      <x:c r="N320" s="20" t="inlineStr">
        <x:is>
          <x:t xml:space="preserve"/>
        </x:is>
      </x:c>
      <x:c r="O320" s="20" t="inlineStr">
        <x:is>
          <x:t xml:space="preserve"/>
        </x:is>
      </x:c>
      <x:c r="P320" s="20" t="inlineStr">
        <x:is>
          <x:t xml:space="preserve"/>
        </x:is>
      </x:c>
      <x:c r="Q320" s="20" t="inlineStr">
        <x:is>
          <x:t xml:space="preserve">https://www.fldoe.org/file/18534/SchoolGrades25.xlsx</x:t>
        </x:is>
      </x:c>
      <x:c r="R320" s="20" t="inlineStr">
        <x:is>
          <x:t xml:space="preserve">School type code 03; Title I=NO; Alternative/ESE=N; coordinates pending NCES/district GIS pull.</x:t>
        </x:is>
      </x:c>
    </x:row>
    <x:row r="321">
      <x:c r="A321" s="20" t="inlineStr">
        <x:is>
          <x:t xml:space="preserve">SEMINOLE</x:t>
        </x:is>
      </x:c>
      <x:c r="B321" s="20" t="inlineStr">
        <x:is>
          <x:t xml:space="preserve">SEMINOLE</x:t>
        </x:is>
      </x:c>
      <x:c r="C321" s="20" t="inlineStr">
        <x:is>
          <x:t xml:space="preserve">597004</x:t>
        </x:is>
      </x:c>
      <x:c r="D321" s="20" t="inlineStr">
        <x:is>
          <x:t xml:space="preserve"/>
        </x:is>
      </x:c>
      <x:c r="E321" s="20" t="inlineStr">
        <x:is>
          <x:t xml:space="preserve">A SEMINOLE COUNTY VIRTUAL SCHOOL</x:t>
        </x:is>
      </x:c>
      <x:c r="F321" s="20" t="inlineStr">
        <x:is>
          <x:t xml:space="preserve">Combination</x:t>
        </x:is>
      </x:c>
      <x:c r="G321" s="20" t="inlineStr">
        <x:is>
          <x:t xml:space="preserve">YES</x:t>
        </x:is>
      </x:c>
      <x:c r="H321" s="20" t="inlineStr">
        <x:is>
          <x:t xml:space="preserve">NO</x:t>
        </x:is>
      </x:c>
      <x:c r="I321" s="20" t="inlineStr">
        <x:is>
          <x:t xml:space="preserve"/>
        </x:is>
      </x:c>
      <x:c r="J321" s="20" t="inlineStr">
        <x:is>
          <x:t xml:space="preserve">NO</x:t>
        </x:is>
      </x:c>
      <x:c r="K321" s="20" t="inlineStr">
        <x:is>
          <x:t xml:space="preserve"/>
        </x:is>
      </x:c>
      <x:c r="L321" s="20" t="inlineStr">
        <x:is>
          <x:t xml:space="preserve"/>
        </x:is>
      </x:c>
      <x:c r="M321" s="20" t="inlineStr">
        <x:is>
          <x:t xml:space="preserve"/>
        </x:is>
      </x:c>
      <x:c r="N321" s="20" t="inlineStr">
        <x:is>
          <x:t xml:space="preserve"/>
        </x:is>
      </x:c>
      <x:c r="O321" s="20" t="inlineStr">
        <x:is>
          <x:t xml:space="preserve"/>
        </x:is>
      </x:c>
      <x:c r="P321" s="20" t="inlineStr">
        <x:is>
          <x:t xml:space="preserve"/>
        </x:is>
      </x:c>
      <x:c r="Q321" s="20" t="inlineStr">
        <x:is>
          <x:t xml:space="preserve">https://www.fldoe.org/file/18534/SchoolGrades25.xlsx</x:t>
        </x:is>
      </x:c>
      <x:c r="R321" s="20" t="inlineStr">
        <x:is>
          <x:t xml:space="preserve">School type code 04; Title I=NO; Alternative/ESE=N; coordinates pending NCES/district GIS pull.</x:t>
        </x:is>
      </x:c>
    </x:row>
    <x:row r="322">
      <x:c r="A322" s="20" t="inlineStr">
        <x:is>
          <x:t xml:space="preserve">SEMINOLE</x:t>
        </x:is>
      </x:c>
      <x:c r="B322" s="20" t="inlineStr">
        <x:is>
          <x:t xml:space="preserve">SEMINOLE</x:t>
        </x:is>
      </x:c>
      <x:c r="C322" s="20" t="inlineStr">
        <x:is>
          <x:t xml:space="preserve">599229</x:t>
        </x:is>
      </x:c>
      <x:c r="D322" s="20" t="inlineStr">
        <x:is>
          <x:t xml:space="preserve"/>
        </x:is>
      </x:c>
      <x:c r="E322" s="20" t="inlineStr">
        <x:is>
          <x:t xml:space="preserve">CHOICES IN LEARNING CHARTER</x:t>
        </x:is>
      </x:c>
      <x:c r="F322" s="20" t="inlineStr">
        <x:is>
          <x:t xml:space="preserve">Elementary</x:t>
        </x:is>
      </x:c>
      <x:c r="G322" s="20" t="inlineStr">
        <x:is>
          <x:t xml:space="preserve">NO</x:t>
        </x:is>
      </x:c>
      <x:c r="H322" s="20" t="inlineStr">
        <x:is>
          <x:t xml:space="preserve">YES</x:t>
        </x:is>
      </x:c>
      <x:c r="I322" s="20" t="inlineStr">
        <x:is>
          <x:t xml:space="preserve"/>
        </x:is>
      </x:c>
      <x:c r="J322" s="20" t="inlineStr">
        <x:is>
          <x:t xml:space="preserve">NO</x:t>
        </x:is>
      </x:c>
      <x:c r="K322" s="20" t="inlineStr">
        <x:is>
          <x:t xml:space="preserve"/>
        </x:is>
      </x:c>
      <x:c r="L322" s="20" t="inlineStr">
        <x:is>
          <x:t xml:space="preserve"/>
        </x:is>
      </x:c>
      <x:c r="M322" s="20" t="inlineStr">
        <x:is>
          <x:t xml:space="preserve"/>
        </x:is>
      </x:c>
      <x:c r="N322" s="20" t="inlineStr">
        <x:is>
          <x:t xml:space="preserve"/>
        </x:is>
      </x:c>
      <x:c r="O322" s="20" t="inlineStr">
        <x:is>
          <x:t xml:space="preserve"/>
        </x:is>
      </x:c>
      <x:c r="P322" s="20" t="inlineStr">
        <x:is>
          <x:t xml:space="preserve"/>
        </x:is>
      </x:c>
      <x:c r="Q322" s="20" t="inlineStr">
        <x:is>
          <x:t xml:space="preserve">https://www.fldoe.org/file/18534/SchoolGrades25.xlsx</x:t>
        </x:is>
      </x:c>
      <x:c r="R322" s="20" t="inlineStr">
        <x:is>
          <x:t xml:space="preserve">School type code 01; Title I=NO; Alternative/ESE=N; coordinates pending NCES/district GIS pull.</x:t>
        </x:is>
      </x:c>
    </x:row>
    <x:row r="323">
      <x:c r="A323" s="20" t="inlineStr">
        <x:is>
          <x:t xml:space="preserve">SEMINOLE</x:t>
        </x:is>
      </x:c>
      <x:c r="B323" s="20" t="inlineStr">
        <x:is>
          <x:t xml:space="preserve">SEMINOLE</x:t>
        </x:is>
      </x:c>
      <x:c r="C323" s="20" t="inlineStr">
        <x:is>
          <x:t xml:space="preserve">599233</x:t>
        </x:is>
      </x:c>
      <x:c r="D323" s="20" t="inlineStr">
        <x:is>
          <x:t xml:space="preserve"/>
        </x:is>
      </x:c>
      <x:c r="E323" s="20" t="inlineStr">
        <x:is>
          <x:t xml:space="preserve">GALILEO SCHOOL FOR GIFTED LEARNING</x:t>
        </x:is>
      </x:c>
      <x:c r="F323" s="20" t="inlineStr">
        <x:is>
          <x:t xml:space="preserve">Combination</x:t>
        </x:is>
      </x:c>
      <x:c r="G323" s="20" t="inlineStr">
        <x:is>
          <x:t xml:space="preserve">NO</x:t>
        </x:is>
      </x:c>
      <x:c r="H323" s="20" t="inlineStr">
        <x:is>
          <x:t xml:space="preserve">YES</x:t>
        </x:is>
      </x:c>
      <x:c r="I323" s="20" t="inlineStr">
        <x:is>
          <x:t xml:space="preserve"/>
        </x:is>
      </x:c>
      <x:c r="J323" s="20" t="inlineStr">
        <x:is>
          <x:t xml:space="preserve">NO</x:t>
        </x:is>
      </x:c>
      <x:c r="K323" s="20" t="inlineStr">
        <x:is>
          <x:t xml:space="preserve"/>
        </x:is>
      </x:c>
      <x:c r="L323" s="20" t="inlineStr">
        <x:is>
          <x:t xml:space="preserve"/>
        </x:is>
      </x:c>
      <x:c r="M323" s="20" t="inlineStr">
        <x:is>
          <x:t xml:space="preserve"/>
        </x:is>
      </x:c>
      <x:c r="N323" s="20" t="inlineStr">
        <x:is>
          <x:t xml:space="preserve"/>
        </x:is>
      </x:c>
      <x:c r="O323" s="20" t="inlineStr">
        <x:is>
          <x:t xml:space="preserve"/>
        </x:is>
      </x:c>
      <x:c r="P323" s="20" t="inlineStr">
        <x:is>
          <x:t xml:space="preserve"/>
        </x:is>
      </x:c>
      <x:c r="Q323" s="20" t="inlineStr">
        <x:is>
          <x:t xml:space="preserve">https://www.fldoe.org/file/18534/SchoolGrades25.xlsx</x:t>
        </x:is>
      </x:c>
      <x:c r="R323" s="20" t="inlineStr">
        <x:is>
          <x:t xml:space="preserve">School type code 04; Title I=NO; Alternative/ESE=N; coordinates pending NCES/district GIS pull.</x:t>
        </x:is>
      </x:c>
    </x:row>
    <x:row r="324">
      <x:c r="A324" s="20" t="inlineStr">
        <x:is>
          <x:t xml:space="preserve">SEMINOLE</x:t>
        </x:is>
      </x:c>
      <x:c r="B324" s="20" t="inlineStr">
        <x:is>
          <x:t xml:space="preserve">SEMINOLE</x:t>
        </x:is>
      </x:c>
      <x:c r="C324" s="20" t="inlineStr">
        <x:is>
          <x:t xml:space="preserve">599236</x:t>
        </x:is>
      </x:c>
      <x:c r="D324" s="20" t="inlineStr">
        <x:is>
          <x:t xml:space="preserve"/>
        </x:is>
      </x:c>
      <x:c r="E324" s="20" t="inlineStr">
        <x:is>
          <x:t xml:space="preserve">SEMINOLE SCIENCE CHARTER SCHOOL</x:t>
        </x:is>
      </x:c>
      <x:c r="F324" s="20" t="inlineStr">
        <x:is>
          <x:t xml:space="preserve">Combination</x:t>
        </x:is>
      </x:c>
      <x:c r="G324" s="20" t="inlineStr">
        <x:is>
          <x:t xml:space="preserve">NO</x:t>
        </x:is>
      </x:c>
      <x:c r="H324" s="20" t="inlineStr">
        <x:is>
          <x:t xml:space="preserve">YES</x:t>
        </x:is>
      </x:c>
      <x:c r="I324" s="20" t="inlineStr">
        <x:is>
          <x:t xml:space="preserve"/>
        </x:is>
      </x:c>
      <x:c r="J324" s="20" t="inlineStr">
        <x:is>
          <x:t xml:space="preserve">NO</x:t>
        </x:is>
      </x:c>
      <x:c r="K324" s="20" t="inlineStr">
        <x:is>
          <x:t xml:space="preserve"/>
        </x:is>
      </x:c>
      <x:c r="L324" s="20" t="inlineStr">
        <x:is>
          <x:t xml:space="preserve"/>
        </x:is>
      </x:c>
      <x:c r="M324" s="20" t="inlineStr">
        <x:is>
          <x:t xml:space="preserve"/>
        </x:is>
      </x:c>
      <x:c r="N324" s="20" t="inlineStr">
        <x:is>
          <x:t xml:space="preserve"/>
        </x:is>
      </x:c>
      <x:c r="O324" s="20" t="inlineStr">
        <x:is>
          <x:t xml:space="preserve"/>
        </x:is>
      </x:c>
      <x:c r="P324" s="20" t="inlineStr">
        <x:is>
          <x:t xml:space="preserve"/>
        </x:is>
      </x:c>
      <x:c r="Q324" s="20" t="inlineStr">
        <x:is>
          <x:t xml:space="preserve">https://www.fldoe.org/file/18534/SchoolGrades25.xlsx</x:t>
        </x:is>
      </x:c>
      <x:c r="R324" s="20" t="inlineStr">
        <x:is>
          <x:t xml:space="preserve">School type code 04; Title I=NO; Alternative/ESE=N; coordinates pending NCES/district GIS pull.</x:t>
        </x:is>
      </x:c>
    </x:row>
    <x:row r="325">
      <x:c r="A325" s="20" t="inlineStr">
        <x:is>
          <x:t xml:space="preserve">SEMINOLE</x:t>
        </x:is>
      </x:c>
      <x:c r="B325" s="20" t="inlineStr">
        <x:is>
          <x:t xml:space="preserve">SEMINOLE</x:t>
        </x:is>
      </x:c>
      <x:c r="C325" s="20" t="inlineStr">
        <x:is>
          <x:t xml:space="preserve">599255</x:t>
        </x:is>
      </x:c>
      <x:c r="D325" s="20" t="inlineStr">
        <x:is>
          <x:t xml:space="preserve"/>
        </x:is>
      </x:c>
      <x:c r="E325" s="20" t="inlineStr">
        <x:is>
          <x:t xml:space="preserve">GALILEO SCHOOL FOR GIFTED LEARNING SKYWAY</x:t>
        </x:is>
      </x:c>
      <x:c r="F325" s="20" t="inlineStr">
        <x:is>
          <x:t xml:space="preserve">Combination</x:t>
        </x:is>
      </x:c>
      <x:c r="G325" s="20" t="inlineStr">
        <x:is>
          <x:t xml:space="preserve">NO</x:t>
        </x:is>
      </x:c>
      <x:c r="H325" s="20" t="inlineStr">
        <x:is>
          <x:t xml:space="preserve">YES</x:t>
        </x:is>
      </x:c>
      <x:c r="I325" s="20" t="inlineStr">
        <x:is>
          <x:t xml:space="preserve"/>
        </x:is>
      </x:c>
      <x:c r="J325" s="20" t="inlineStr">
        <x:is>
          <x:t xml:space="preserve">NO</x:t>
        </x:is>
      </x:c>
      <x:c r="K325" s="20" t="inlineStr">
        <x:is>
          <x:t xml:space="preserve"/>
        </x:is>
      </x:c>
      <x:c r="L325" s="20" t="inlineStr">
        <x:is>
          <x:t xml:space="preserve"/>
        </x:is>
      </x:c>
      <x:c r="M325" s="20" t="inlineStr">
        <x:is>
          <x:t xml:space="preserve"/>
        </x:is>
      </x:c>
      <x:c r="N325" s="20" t="inlineStr">
        <x:is>
          <x:t xml:space="preserve"/>
        </x:is>
      </x:c>
      <x:c r="O325" s="20" t="inlineStr">
        <x:is>
          <x:t xml:space="preserve"/>
        </x:is>
      </x:c>
      <x:c r="P325" s="20" t="inlineStr">
        <x:is>
          <x:t xml:space="preserve"/>
        </x:is>
      </x:c>
      <x:c r="Q325" s="20" t="inlineStr">
        <x:is>
          <x:t xml:space="preserve">https://www.fldoe.org/file/18534/SchoolGrades25.xlsx</x:t>
        </x:is>
      </x:c>
      <x:c r="R325" s="20" t="inlineStr">
        <x:is>
          <x:t xml:space="preserve">School type code 04; Title I=NO; Alternative/ESE=N; coordinates pending NCES/district GIS pull.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0b3c48e422d4aa8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0" customWidth="1"/>
    <x:col min="3" max="3" width="14" customWidth="1"/>
    <x:col min="4" max="4" width="10" customWidth="1"/>
    <x:col min="5" max="5" width="38" customWidth="1"/>
    <x:col min="6" max="6" width="10" customWidth="1"/>
    <x:col min="7" max="7" width="18" customWidth="1"/>
    <x:col min="8" max="8" width="10" customWidth="1"/>
    <x:col min="9" max="9" width="8" customWidth="1"/>
    <x:col min="10" max="10" width="10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0" customWidth="1"/>
    <x:col min="16" max="16" width="12" customWidth="1"/>
    <x:col min="17" max="17" width="11" customWidth="1"/>
    <x:col min="18" max="18" width="12" customWidth="1"/>
    <x:col min="19" max="19" width="10" customWidth="1"/>
    <x:col min="20" max="20" width="10" customWidth="1"/>
    <x:col min="21" max="21" width="12" customWidth="1"/>
    <x:col min="22" max="22" width="10" customWidth="1"/>
    <x:col min="23" max="23" width="10" customWidth="1"/>
    <x:col min="24" max="24" width="10" customWidth="1"/>
    <x:col min="25" max="25" width="10" customWidth="1"/>
    <x:col min="26" max="26" width="40" customWidth="1"/>
  </x:cols>
  <x:sheetData>
    <x:row r="1">
      <x:c r="A1" s="24" t="inlineStr">
        <x:is>
          <x:t xml:space="preserve">state_school_id</x:t>
        </x:is>
      </x:c>
      <x:c r="B1" s="24" t="inlineStr">
        <x:is>
          <x:t xml:space="preserve">district_number</x:t>
        </x:is>
      </x:c>
      <x:c r="C1" s="24" t="inlineStr">
        <x:is>
          <x:t xml:space="preserve">district_name</x:t>
        </x:is>
      </x:c>
      <x:c r="D1" s="24" t="inlineStr">
        <x:is>
          <x:t xml:space="preserve">school_number</x:t>
        </x:is>
      </x:c>
      <x:c r="E1" s="24" t="inlineStr">
        <x:is>
          <x:t xml:space="preserve">school_name</x:t>
        </x:is>
      </x:c>
      <x:c r="F1" s="24" t="inlineStr">
        <x:is>
          <x:t xml:space="preserve">school_type_code</x:t>
        </x:is>
      </x:c>
      <x:c r="G1" s="24" t="inlineStr">
        <x:is>
          <x:t xml:space="preserve">school_type_desc</x:t>
        </x:is>
      </x:c>
      <x:c r="H1" s="24" t="inlineStr">
        <x:is>
          <x:t xml:space="preserve">charter_school</x:t>
        </x:is>
      </x:c>
      <x:c r="I1" s="24" t="inlineStr">
        <x:is>
          <x:t xml:space="preserve">title_i</x:t>
        </x:is>
      </x:c>
      <x:c r="J1" s="24" t="inlineStr">
        <x:is>
          <x:t xml:space="preserve">alternative_ese_center</x:t>
        </x:is>
      </x:c>
      <x:c r="K1" s="24" t="inlineStr">
        <x:is>
          <x:t xml:space="preserve">ela_achievement</x:t>
        </x:is>
      </x:c>
      <x:c r="L1" s="24" t="inlineStr">
        <x:is>
          <x:t xml:space="preserve">ela_learning_gains</x:t>
        </x:is>
      </x:c>
      <x:c r="M1" s="24" t="inlineStr">
        <x:is>
          <x:t xml:space="preserve">math_achievement</x:t>
        </x:is>
      </x:c>
      <x:c r="N1" s="24" t="inlineStr">
        <x:is>
          <x:t xml:space="preserve">math_learning_gains</x:t>
        </x:is>
      </x:c>
      <x:c r="O1" s="24" t="inlineStr">
        <x:is>
          <x:t xml:space="preserve">science_achievement</x:t>
        </x:is>
      </x:c>
      <x:c r="P1" s="24" t="inlineStr">
        <x:is>
          <x:t xml:space="preserve">social_studies_achievement</x:t>
        </x:is>
      </x:c>
      <x:c r="Q1" s="24" t="inlineStr">
        <x:is>
          <x:t xml:space="preserve">graduation_rate</x:t>
        </x:is>
      </x:c>
      <x:c r="R1" s="24" t="inlineStr">
        <x:is>
          <x:t xml:space="preserve">career_college_acceleration</x:t>
        </x:is>
      </x:c>
      <x:c r="S1" s="24" t="inlineStr">
        <x:is>
          <x:t xml:space="preserve">total_points</x:t>
        </x:is>
      </x:c>
      <x:c r="T1" s="24" t="inlineStr">
        <x:is>
          <x:t xml:space="preserve">total_components</x:t>
        </x:is>
      </x:c>
      <x:c r="U1" s="24" t="inlineStr">
        <x:is>
          <x:t xml:space="preserve">percent_total_points</x:t>
        </x:is>
      </x:c>
      <x:c r="V1" s="24" t="inlineStr">
        <x:is>
          <x:t xml:space="preserve">percent_tested</x:t>
        </x:is>
      </x:c>
      <x:c r="W1" s="24" t="inlineStr">
        <x:is>
          <x:t xml:space="preserve">grade_2025</x:t>
        </x:is>
      </x:c>
      <x:c r="X1" s="24" t="inlineStr">
        <x:is>
          <x:t xml:space="preserve">grade_2024</x:t>
        </x:is>
      </x:c>
      <x:c r="Y1" s="24" t="inlineStr">
        <x:is>
          <x:t xml:space="preserve">econ_disadv_pct</x:t>
        </x:is>
      </x:c>
      <x:c r="Z1" s="24" t="inlineStr">
        <x:is>
          <x:t xml:space="preserve">source_url</x:t>
        </x:is>
      </x:c>
    </x:row>
    <x:row r="2">
      <x:c r="A2" s="20" t="inlineStr">
        <x:is>
          <x:t xml:space="preserve">350031</x:t>
        </x:is>
      </x:c>
      <x:c r="B2" s="20" t="inlineStr">
        <x:is>
          <x:t xml:space="preserve">35</x:t>
        </x:is>
      </x:c>
      <x:c r="C2" s="20" t="inlineStr">
        <x:is>
          <x:t xml:space="preserve">LAKE</x:t>
        </x:is>
      </x:c>
      <x:c r="D2" s="20" t="inlineStr">
        <x:is>
          <x:t xml:space="preserve">0031</x:t>
        </x:is>
      </x:c>
      <x:c r="E2" s="20" t="inlineStr">
        <x:is>
          <x:t xml:space="preserve">BEVERLY SHORES ELEMENTARY SCHOOL</x:t>
        </x:is>
      </x:c>
      <x:c r="F2" s="20" t="inlineStr">
        <x:is>
          <x:t xml:space="preserve">01</x:t>
        </x:is>
      </x:c>
      <x:c r="G2" s="20" t="inlineStr">
        <x:is>
          <x:t xml:space="preserve">Elementary</x:t>
        </x:is>
      </x:c>
      <x:c r="H2" s="20" t="inlineStr">
        <x:is>
          <x:t xml:space="preserve">NO</x:t>
        </x:is>
      </x:c>
      <x:c r="I2" s="20" t="inlineStr">
        <x:is>
          <x:t xml:space="preserve">YES</x:t>
        </x:is>
      </x:c>
      <x:c r="J2" s="20" t="inlineStr">
        <x:is>
          <x:t xml:space="preserve">N</x:t>
        </x:is>
      </x:c>
      <x:c r="K2" s="25" t="n">
        <x:v>41</x:v>
      </x:c>
      <x:c r="L2" s="25" t="n">
        <x:v>62</x:v>
      </x:c>
      <x:c r="M2" s="25" t="n">
        <x:v>53</x:v>
      </x:c>
      <x:c r="N2" s="25" t="n">
        <x:v>76</x:v>
      </x:c>
      <x:c r="O2" s="25" t="n">
        <x:v>56</x:v>
      </x:c>
      <x:c r="P2" s="25" t="n"/>
      <x:c r="Q2" s="25" t="n"/>
      <x:c r="R2" s="25" t="n"/>
      <x:c r="S2" s="20" t="n">
        <x:v>479</x:v>
      </x:c>
      <x:c r="T2" s="20" t="n">
        <x:v>8</x:v>
      </x:c>
      <x:c r="U2" s="25" t="n">
        <x:v>60</x:v>
      </x:c>
      <x:c r="V2" s="25" t="n">
        <x:v>99</x:v>
      </x:c>
      <x:c r="W2" s="20" t="inlineStr">
        <x:is>
          <x:t xml:space="preserve">B</x:t>
        </x:is>
      </x:c>
      <x:c r="X2" s="20" t="inlineStr">
        <x:is>
          <x:t xml:space="preserve">C</x:t>
        </x:is>
      </x:c>
      <x:c r="Y2" s="25" t="n">
        <x:v>100</x:v>
      </x:c>
      <x:c r="Z2" s="20" t="inlineStr">
        <x:is>
          <x:t xml:space="preserve">https://www.fldoe.org/file/18534/SchoolGrades25.xlsx</x:t>
        </x:is>
      </x:c>
    </x:row>
    <x:row r="3">
      <x:c r="A3" s="20" t="inlineStr">
        <x:is>
          <x:t xml:space="preserve">350035</x:t>
        </x:is>
      </x:c>
      <x:c r="B3" s="20" t="inlineStr">
        <x:is>
          <x:t xml:space="preserve">35</x:t>
        </x:is>
      </x:c>
      <x:c r="C3" s="20" t="inlineStr">
        <x:is>
          <x:t xml:space="preserve">LAKE</x:t>
        </x:is>
      </x:c>
      <x:c r="D3" s="20" t="inlineStr">
        <x:is>
          <x:t xml:space="preserve">0035</x:t>
        </x:is>
      </x:c>
      <x:c r="E3" s="20" t="inlineStr">
        <x:is>
          <x:t xml:space="preserve">LAKE SUCCESS ELEMENTARY SCHOOL</x:t>
        </x:is>
      </x:c>
      <x:c r="F3" s="20" t="inlineStr">
        <x:is>
          <x:t xml:space="preserve">01</x:t>
        </x:is>
      </x:c>
      <x:c r="G3" s="20" t="inlineStr">
        <x:is>
          <x:t xml:space="preserve">Elementary</x:t>
        </x:is>
      </x:c>
      <x:c r="H3" s="20" t="inlineStr">
        <x:is>
          <x:t xml:space="preserve">NO</x:t>
        </x:is>
      </x:c>
      <x:c r="I3" s="20" t="inlineStr">
        <x:is>
          <x:t xml:space="preserve">NO</x:t>
        </x:is>
      </x:c>
      <x:c r="J3" s="20" t="inlineStr">
        <x:is>
          <x:t xml:space="preserve">A</x:t>
        </x:is>
      </x:c>
      <x:c r="K3" s="25" t="n">
        <x:v>34</x:v>
      </x:c>
      <x:c r="L3" s="25" t="n">
        <x:v>40</x:v>
      </x:c>
      <x:c r="M3" s="25" t="n">
        <x:v>40</x:v>
      </x:c>
      <x:c r="N3" s="25" t="n">
        <x:v>43</x:v>
      </x:c>
      <x:c r="O3" s="25" t="n">
        <x:v>38</x:v>
      </x:c>
      <x:c r="P3" s="25" t="n"/>
      <x:c r="Q3" s="25" t="n"/>
      <x:c r="R3" s="25" t="n"/>
      <x:c r="S3" s="20" t="n">
        <x:v>311</x:v>
      </x:c>
      <x:c r="T3" s="20" t="n">
        <x:v>8</x:v>
      </x:c>
      <x:c r="U3" s="25" t="n">
        <x:v>39</x:v>
      </x:c>
      <x:c r="V3" s="25" t="n">
        <x:v>98</x:v>
      </x:c>
      <x:c r="W3" s="20" t="inlineStr">
        <x:is>
          <x:t xml:space="preserve">D</x:t>
        </x:is>
      </x:c>
      <x:c r="X3" s="20" t="inlineStr">
        <x:is>
          <x:t xml:space="preserve">C</x:t>
        </x:is>
      </x:c>
      <x:c r="Y3" s="25" t="n"/>
      <x:c r="Z3" s="20" t="inlineStr">
        <x:is>
          <x:t xml:space="preserve">https://www.fldoe.org/file/18534/SchoolGrades25.xlsx</x:t>
        </x:is>
      </x:c>
    </x:row>
    <x:row r="4">
      <x:c r="A4" s="20" t="inlineStr">
        <x:is>
          <x:t xml:space="preserve">350061</x:t>
        </x:is>
      </x:c>
      <x:c r="B4" s="20" t="inlineStr">
        <x:is>
          <x:t xml:space="preserve">35</x:t>
        </x:is>
      </x:c>
      <x:c r="C4" s="20" t="inlineStr">
        <x:is>
          <x:t xml:space="preserve">LAKE</x:t>
        </x:is>
      </x:c>
      <x:c r="D4" s="20" t="inlineStr">
        <x:is>
          <x:t xml:space="preserve">0061</x:t>
        </x:is>
      </x:c>
      <x:c r="E4" s="20" t="inlineStr">
        <x:is>
          <x:t xml:space="preserve">EUSTIS ELEMENTARY SCHOOL</x:t>
        </x:is>
      </x:c>
      <x:c r="F4" s="20" t="inlineStr">
        <x:is>
          <x:t xml:space="preserve">01</x:t>
        </x:is>
      </x:c>
      <x:c r="G4" s="20" t="inlineStr">
        <x:is>
          <x:t xml:space="preserve">Elementary</x:t>
        </x:is>
      </x:c>
      <x:c r="H4" s="20" t="inlineStr">
        <x:is>
          <x:t xml:space="preserve">NO</x:t>
        </x:is>
      </x:c>
      <x:c r="I4" s="20" t="inlineStr">
        <x:is>
          <x:t xml:space="preserve">YES</x:t>
        </x:is>
      </x:c>
      <x:c r="J4" s="20" t="inlineStr">
        <x:is>
          <x:t xml:space="preserve">N</x:t>
        </x:is>
      </x:c>
      <x:c r="K4" s="25" t="n">
        <x:v>40</x:v>
      </x:c>
      <x:c r="L4" s="25" t="n">
        <x:v>55</x:v>
      </x:c>
      <x:c r="M4" s="25" t="n">
        <x:v>49</x:v>
      </x:c>
      <x:c r="N4" s="25" t="n">
        <x:v>60</x:v>
      </x:c>
      <x:c r="O4" s="25" t="n">
        <x:v>44</x:v>
      </x:c>
      <x:c r="P4" s="25" t="n"/>
      <x:c r="Q4" s="25" t="n"/>
      <x:c r="R4" s="25" t="n"/>
      <x:c r="S4" s="20" t="n">
        <x:v>386</x:v>
      </x:c>
      <x:c r="T4" s="20" t="n">
        <x:v>8</x:v>
      </x:c>
      <x:c r="U4" s="25" t="n">
        <x:v>48</x:v>
      </x:c>
      <x:c r="V4" s="25" t="n">
        <x:v>95</x:v>
      </x:c>
      <x:c r="W4" s="20" t="inlineStr">
        <x:is>
          <x:t xml:space="preserve">C</x:t>
        </x:is>
      </x:c>
      <x:c r="X4" s="20" t="inlineStr">
        <x:is>
          <x:t xml:space="preserve">C</x:t>
        </x:is>
      </x:c>
      <x:c r="Y4" s="25" t="n">
        <x:v>100</x:v>
      </x:c>
      <x:c r="Z4" s="20" t="inlineStr">
        <x:is>
          <x:t xml:space="preserve">https://www.fldoe.org/file/18534/SchoolGrades25.xlsx</x:t>
        </x:is>
      </x:c>
    </x:row>
    <x:row r="5">
      <x:c r="A5" s="20" t="inlineStr">
        <x:is>
          <x:t xml:space="preserve">350067</x:t>
        </x:is>
      </x:c>
      <x:c r="B5" s="20" t="inlineStr">
        <x:is>
          <x:t xml:space="preserve">35</x:t>
        </x:is>
      </x:c>
      <x:c r="C5" s="20" t="inlineStr">
        <x:is>
          <x:t xml:space="preserve">LAKE</x:t>
        </x:is>
      </x:c>
      <x:c r="D5" s="20" t="inlineStr">
        <x:is>
          <x:t xml:space="preserve">0067</x:t>
        </x:is>
      </x:c>
      <x:c r="E5" s="20" t="inlineStr">
        <x:is>
          <x:t xml:space="preserve">SAWGRASS BAY ELEMENTARY SCHOOL</x:t>
        </x:is>
      </x:c>
      <x:c r="F5" s="20" t="inlineStr">
        <x:is>
          <x:t xml:space="preserve">01</x:t>
        </x:is>
      </x:c>
      <x:c r="G5" s="20" t="inlineStr">
        <x:is>
          <x:t xml:space="preserve">Elementary</x:t>
        </x:is>
      </x:c>
      <x:c r="H5" s="20" t="inlineStr">
        <x:is>
          <x:t xml:space="preserve">NO</x:t>
        </x:is>
      </x:c>
      <x:c r="I5" s="20" t="inlineStr">
        <x:is>
          <x:t xml:space="preserve">NO</x:t>
        </x:is>
      </x:c>
      <x:c r="J5" s="20" t="inlineStr">
        <x:is>
          <x:t xml:space="preserve">N</x:t>
        </x:is>
      </x:c>
      <x:c r="K5" s="25" t="n">
        <x:v>49</x:v>
      </x:c>
      <x:c r="L5" s="25" t="n">
        <x:v>50</x:v>
      </x:c>
      <x:c r="M5" s="25" t="n">
        <x:v>53</x:v>
      </x:c>
      <x:c r="N5" s="25" t="n">
        <x:v>44</x:v>
      </x:c>
      <x:c r="O5" s="25" t="n">
        <x:v>51</x:v>
      </x:c>
      <x:c r="P5" s="25" t="n"/>
      <x:c r="Q5" s="25" t="n"/>
      <x:c r="R5" s="25" t="n"/>
      <x:c r="S5" s="20" t="n">
        <x:v>388</x:v>
      </x:c>
      <x:c r="T5" s="20" t="n">
        <x:v>8</x:v>
      </x:c>
      <x:c r="U5" s="25" t="n">
        <x:v>49</x:v>
      </x:c>
      <x:c r="V5" s="25" t="n">
        <x:v>99</x:v>
      </x:c>
      <x:c r="W5" s="20" t="inlineStr">
        <x:is>
          <x:t xml:space="preserve">C</x:t>
        </x:is>
      </x:c>
      <x:c r="X5" s="20" t="inlineStr">
        <x:is>
          <x:t xml:space="preserve">B</x:t>
        </x:is>
      </x:c>
      <x:c r="Y5" s="25" t="n">
        <x:v>64.8</x:v>
      </x:c>
      <x:c r="Z5" s="20" t="inlineStr">
        <x:is>
          <x:t xml:space="preserve">https://www.fldoe.org/file/18534/SchoolGrades25.xlsx</x:t>
        </x:is>
      </x:c>
    </x:row>
    <x:row r="6">
      <x:c r="A6" s="20" t="inlineStr">
        <x:is>
          <x:t xml:space="preserve">350068</x:t>
        </x:is>
      </x:c>
      <x:c r="B6" s="20" t="inlineStr">
        <x:is>
          <x:t xml:space="preserve">35</x:t>
        </x:is>
      </x:c>
      <x:c r="C6" s="20" t="inlineStr">
        <x:is>
          <x:t xml:space="preserve">LAKE</x:t>
        </x:is>
      </x:c>
      <x:c r="D6" s="20" t="inlineStr">
        <x:is>
          <x:t xml:space="preserve">0068</x:t>
        </x:is>
      </x:c>
      <x:c r="E6" s="20" t="inlineStr">
        <x:is>
          <x:t xml:space="preserve">GRASSY LAKE ELEMENTARY SCHOOL</x:t>
        </x:is>
      </x:c>
      <x:c r="F6" s="20" t="inlineStr">
        <x:is>
          <x:t xml:space="preserve">01</x:t>
        </x:is>
      </x:c>
      <x:c r="G6" s="20" t="inlineStr">
        <x:is>
          <x:t xml:space="preserve">Elementary</x:t>
        </x:is>
      </x:c>
      <x:c r="H6" s="20" t="inlineStr">
        <x:is>
          <x:t xml:space="preserve">NO</x:t>
        </x:is>
      </x:c>
      <x:c r="I6" s="20" t="inlineStr">
        <x:is>
          <x:t xml:space="preserve">NO</x:t>
        </x:is>
      </x:c>
      <x:c r="J6" s="20" t="inlineStr">
        <x:is>
          <x:t xml:space="preserve">N</x:t>
        </x:is>
      </x:c>
      <x:c r="K6" s="25" t="n">
        <x:v>64</x:v>
      </x:c>
      <x:c r="L6" s="25" t="n">
        <x:v>53</x:v>
      </x:c>
      <x:c r="M6" s="25" t="n">
        <x:v>75</x:v>
      </x:c>
      <x:c r="N6" s="25" t="n">
        <x:v>60</x:v>
      </x:c>
      <x:c r="O6" s="25" t="n">
        <x:v>60</x:v>
      </x:c>
      <x:c r="P6" s="25" t="n"/>
      <x:c r="Q6" s="25" t="n"/>
      <x:c r="R6" s="25" t="n"/>
      <x:c r="S6" s="20" t="n">
        <x:v>466</x:v>
      </x:c>
      <x:c r="T6" s="20" t="n">
        <x:v>8</x:v>
      </x:c>
      <x:c r="U6" s="25" t="n">
        <x:v>58</x:v>
      </x:c>
      <x:c r="V6" s="25" t="n">
        <x:v>100</x:v>
      </x:c>
      <x:c r="W6" s="20" t="inlineStr">
        <x:is>
          <x:t xml:space="preserve">B</x:t>
        </x:is>
      </x:c>
      <x:c r="X6" s="20" t="inlineStr">
        <x:is>
          <x:t xml:space="preserve">B</x:t>
        </x:is>
      </x:c>
      <x:c r="Y6" s="25" t="n">
        <x:v>51.6</x:v>
      </x:c>
      <x:c r="Z6" s="20" t="inlineStr">
        <x:is>
          <x:t xml:space="preserve">https://www.fldoe.org/file/18534/SchoolGrades25.xlsx</x:t>
        </x:is>
      </x:c>
    </x:row>
    <x:row r="7">
      <x:c r="A7" s="20" t="inlineStr">
        <x:is>
          <x:t xml:space="preserve">350069</x:t>
        </x:is>
      </x:c>
      <x:c r="B7" s="20" t="inlineStr">
        <x:is>
          <x:t xml:space="preserve">35</x:t>
        </x:is>
      </x:c>
      <x:c r="C7" s="20" t="inlineStr">
        <x:is>
          <x:t xml:space="preserve">LAKE</x:t>
        </x:is>
      </x:c>
      <x:c r="D7" s="20" t="inlineStr">
        <x:is>
          <x:t xml:space="preserve">0069</x:t>
        </x:is>
      </x:c>
      <x:c r="E7" s="20" t="inlineStr">
        <x:is>
          <x:t xml:space="preserve">SORRENTO ELEMENTARY</x:t>
        </x:is>
      </x:c>
      <x:c r="F7" s="20" t="inlineStr">
        <x:is>
          <x:t xml:space="preserve">01</x:t>
        </x:is>
      </x:c>
      <x:c r="G7" s="20" t="inlineStr">
        <x:is>
          <x:t xml:space="preserve">Elementary</x:t>
        </x:is>
      </x:c>
      <x:c r="H7" s="20" t="inlineStr">
        <x:is>
          <x:t xml:space="preserve">NO</x:t>
        </x:is>
      </x:c>
      <x:c r="I7" s="20" t="inlineStr">
        <x:is>
          <x:t xml:space="preserve">NO</x:t>
        </x:is>
      </x:c>
      <x:c r="J7" s="20" t="inlineStr">
        <x:is>
          <x:t xml:space="preserve">N</x:t>
        </x:is>
      </x:c>
      <x:c r="K7" s="25" t="n">
        <x:v>62</x:v>
      </x:c>
      <x:c r="L7" s="25" t="n">
        <x:v>65</x:v>
      </x:c>
      <x:c r="M7" s="25" t="n">
        <x:v>69</x:v>
      </x:c>
      <x:c r="N7" s="25" t="n">
        <x:v>60</x:v>
      </x:c>
      <x:c r="O7" s="25" t="n">
        <x:v>50</x:v>
      </x:c>
      <x:c r="P7" s="25" t="n"/>
      <x:c r="Q7" s="25" t="n"/>
      <x:c r="R7" s="25" t="n"/>
      <x:c r="S7" s="20" t="n">
        <x:v>485</x:v>
      </x:c>
      <x:c r="T7" s="20" t="n">
        <x:v>8</x:v>
      </x:c>
      <x:c r="U7" s="25" t="n">
        <x:v>61</x:v>
      </x:c>
      <x:c r="V7" s="25" t="n">
        <x:v>97</x:v>
      </x:c>
      <x:c r="W7" s="20" t="inlineStr">
        <x:is>
          <x:t xml:space="preserve">B</x:t>
        </x:is>
      </x:c>
      <x:c r="X7" s="20" t="inlineStr">
        <x:is>
          <x:t xml:space="preserve">C</x:t>
        </x:is>
      </x:c>
      <x:c r="Y7" s="25" t="n">
        <x:v>78.2</x:v>
      </x:c>
      <x:c r="Z7" s="20" t="inlineStr">
        <x:is>
          <x:t xml:space="preserve">https://www.fldoe.org/file/18534/SchoolGrades25.xlsx</x:t>
        </x:is>
      </x:c>
    </x:row>
    <x:row r="8">
      <x:c r="A8" s="20" t="inlineStr">
        <x:is>
          <x:t xml:space="preserve">350071</x:t>
        </x:is>
      </x:c>
      <x:c r="B8" s="20" t="inlineStr">
        <x:is>
          <x:t xml:space="preserve">35</x:t>
        </x:is>
      </x:c>
      <x:c r="C8" s="20" t="inlineStr">
        <x:is>
          <x:t xml:space="preserve">LAKE</x:t>
        </x:is>
      </x:c>
      <x:c r="D8" s="20" t="inlineStr">
        <x:is>
          <x:t xml:space="preserve">0071</x:t>
        </x:is>
      </x:c>
      <x:c r="E8" s="20" t="inlineStr">
        <x:is>
          <x:t xml:space="preserve">EUSTIS HEIGHTS ELEMENTARY SCHOOL</x:t>
        </x:is>
      </x:c>
      <x:c r="F8" s="20" t="inlineStr">
        <x:is>
          <x:t xml:space="preserve">01</x:t>
        </x:is>
      </x:c>
      <x:c r="G8" s="20" t="inlineStr">
        <x:is>
          <x:t xml:space="preserve">Elementary</x:t>
        </x:is>
      </x:c>
      <x:c r="H8" s="20" t="inlineStr">
        <x:is>
          <x:t xml:space="preserve">NO</x:t>
        </x:is>
      </x:c>
      <x:c r="I8" s="20" t="inlineStr">
        <x:is>
          <x:t xml:space="preserve">YES</x:t>
        </x:is>
      </x:c>
      <x:c r="J8" s="20" t="inlineStr">
        <x:is>
          <x:t xml:space="preserve">N</x:t>
        </x:is>
      </x:c>
      <x:c r="K8" s="25" t="n">
        <x:v>34</x:v>
      </x:c>
      <x:c r="L8" s="25" t="n">
        <x:v>40</x:v>
      </x:c>
      <x:c r="M8" s="25" t="n">
        <x:v>40</x:v>
      </x:c>
      <x:c r="N8" s="25" t="n">
        <x:v>43</x:v>
      </x:c>
      <x:c r="O8" s="25" t="n">
        <x:v>38</x:v>
      </x:c>
      <x:c r="P8" s="25" t="n"/>
      <x:c r="Q8" s="25" t="n"/>
      <x:c r="R8" s="25" t="n"/>
      <x:c r="S8" s="20" t="n">
        <x:v>311</x:v>
      </x:c>
      <x:c r="T8" s="20" t="n">
        <x:v>8</x:v>
      </x:c>
      <x:c r="U8" s="25" t="n">
        <x:v>39</x:v>
      </x:c>
      <x:c r="V8" s="25" t="n">
        <x:v>98</x:v>
      </x:c>
      <x:c r="W8" s="20" t="inlineStr">
        <x:is>
          <x:t xml:space="preserve">D</x:t>
        </x:is>
      </x:c>
      <x:c r="X8" s="20" t="inlineStr">
        <x:is>
          <x:t xml:space="preserve">C</x:t>
        </x:is>
      </x:c>
      <x:c r="Y8" s="25" t="n">
        <x:v>100</x:v>
      </x:c>
      <x:c r="Z8" s="20" t="inlineStr">
        <x:is>
          <x:t xml:space="preserve">https://www.fldoe.org/file/18534/SchoolGrades25.xlsx</x:t>
        </x:is>
      </x:c>
    </x:row>
    <x:row r="9">
      <x:c r="A9" s="20" t="inlineStr">
        <x:is>
          <x:t xml:space="preserve">350080</x:t>
        </x:is>
      </x:c>
      <x:c r="B9" s="20" t="inlineStr">
        <x:is>
          <x:t xml:space="preserve">35</x:t>
        </x:is>
      </x:c>
      <x:c r="C9" s="20" t="inlineStr">
        <x:is>
          <x:t xml:space="preserve">LAKE</x:t>
        </x:is>
      </x:c>
      <x:c r="D9" s="20" t="inlineStr">
        <x:is>
          <x:t xml:space="preserve">0080</x:t>
        </x:is>
      </x:c>
      <x:c r="E9" s="20" t="inlineStr">
        <x:is>
          <x:t xml:space="preserve">EAST RIDGE MIDDLE SCHOOL</x:t>
        </x:is>
      </x:c>
      <x:c r="F9" s="20" t="inlineStr">
        <x:is>
          <x:t xml:space="preserve">02</x:t>
        </x:is>
      </x:c>
      <x:c r="G9" s="20" t="inlineStr">
        <x:is>
          <x:t xml:space="preserve">Middle/Junior</x:t>
        </x:is>
      </x:c>
      <x:c r="H9" s="20" t="inlineStr">
        <x:is>
          <x:t xml:space="preserve">NO</x:t>
        </x:is>
      </x:c>
      <x:c r="I9" s="20" t="inlineStr">
        <x:is>
          <x:t xml:space="preserve">NO</x:t>
        </x:is>
      </x:c>
      <x:c r="J9" s="20" t="inlineStr">
        <x:is>
          <x:t xml:space="preserve">N</x:t>
        </x:is>
      </x:c>
      <x:c r="K9" s="25" t="n">
        <x:v>71</x:v>
      </x:c>
      <x:c r="L9" s="25" t="n">
        <x:v>67</x:v>
      </x:c>
      <x:c r="M9" s="25" t="n">
        <x:v>74</x:v>
      </x:c>
      <x:c r="N9" s="25" t="n">
        <x:v>67</x:v>
      </x:c>
      <x:c r="O9" s="25" t="n">
        <x:v>68</x:v>
      </x:c>
      <x:c r="P9" s="25" t="n">
        <x:v>83</x:v>
      </x:c>
      <x:c r="Q9" s="25" t="n"/>
      <x:c r="R9" s="25" t="n"/>
      <x:c r="S9" s="20" t="n">
        <x:v>637</x:v>
      </x:c>
      <x:c r="T9" s="20" t="n">
        <x:v>9</x:v>
      </x:c>
      <x:c r="U9" s="25" t="n">
        <x:v>71</x:v>
      </x:c>
      <x:c r="V9" s="25" t="n">
        <x:v>99</x:v>
      </x:c>
      <x:c r="W9" s="20" t="inlineStr">
        <x:is>
          <x:t xml:space="preserve">A</x:t>
        </x:is>
      </x:c>
      <x:c r="X9" s="20" t="inlineStr">
        <x:is>
          <x:t xml:space="preserve">A</x:t>
        </x:is>
      </x:c>
      <x:c r="Y9" s="25" t="n">
        <x:v>48.4</x:v>
      </x:c>
      <x:c r="Z9" s="20" t="inlineStr">
        <x:is>
          <x:t xml:space="preserve">https://www.fldoe.org/file/18534/SchoolGrades25.xlsx</x:t>
        </x:is>
      </x:c>
    </x:row>
    <x:row r="10">
      <x:c r="A10" s="20" t="inlineStr">
        <x:is>
          <x:t xml:space="preserve">350081</x:t>
        </x:is>
      </x:c>
      <x:c r="B10" s="20" t="inlineStr">
        <x:is>
          <x:t xml:space="preserve">35</x:t>
        </x:is>
      </x:c>
      <x:c r="C10" s="20" t="inlineStr">
        <x:is>
          <x:t xml:space="preserve">LAKE</x:t>
        </x:is>
      </x:c>
      <x:c r="D10" s="20" t="inlineStr">
        <x:is>
          <x:t xml:space="preserve">0081</x:t>
        </x:is>
      </x:c>
      <x:c r="E10" s="20" t="inlineStr">
        <x:is>
          <x:t xml:space="preserve">EUSTIS HIGH SCHOOL</x:t>
        </x:is>
      </x:c>
      <x:c r="F10" s="20" t="inlineStr">
        <x:is>
          <x:t xml:space="preserve">03</x:t>
        </x:is>
      </x:c>
      <x:c r="G10" s="20" t="inlineStr">
        <x:is>
          <x:t xml:space="preserve">Senior High</x:t>
        </x:is>
      </x:c>
      <x:c r="H10" s="20" t="inlineStr">
        <x:is>
          <x:t xml:space="preserve">NO</x:t>
        </x:is>
      </x:c>
      <x:c r="I10" s="20" t="inlineStr">
        <x:is>
          <x:t xml:space="preserve">NO</x:t>
        </x:is>
      </x:c>
      <x:c r="J10" s="20" t="inlineStr">
        <x:is>
          <x:t xml:space="preserve">N</x:t>
        </x:is>
      </x:c>
      <x:c r="K10" s="25" t="n">
        <x:v>48</x:v>
      </x:c>
      <x:c r="L10" s="25" t="n">
        <x:v>51</x:v>
      </x:c>
      <x:c r="M10" s="25" t="n">
        <x:v>33</x:v>
      </x:c>
      <x:c r="N10" s="25" t="n">
        <x:v>43</x:v>
      </x:c>
      <x:c r="O10" s="25" t="n">
        <x:v>66</x:v>
      </x:c>
      <x:c r="P10" s="25" t="n">
        <x:v>74</x:v>
      </x:c>
      <x:c r="Q10" s="25" t="n">
        <x:v>86</x:v>
      </x:c>
      <x:c r="R10" s="25" t="n">
        <x:v>53</x:v>
      </x:c>
      <x:c r="S10" s="20" t="n">
        <x:v>560</x:v>
      </x:c>
      <x:c r="T10" s="20" t="n">
        <x:v>10</x:v>
      </x:c>
      <x:c r="U10" s="25" t="n">
        <x:v>56</x:v>
      </x:c>
      <x:c r="V10" s="25" t="n">
        <x:v>96</x:v>
      </x:c>
      <x:c r="W10" s="20" t="inlineStr">
        <x:is>
          <x:t xml:space="preserve">C</x:t>
        </x:is>
      </x:c>
      <x:c r="X10" s="20" t="inlineStr">
        <x:is>
          <x:t xml:space="preserve">C</x:t>
        </x:is>
      </x:c>
      <x:c r="Y10" s="25" t="n">
        <x:v>87.40000000000001</x:v>
      </x:c>
      <x:c r="Z10" s="20" t="inlineStr">
        <x:is>
          <x:t xml:space="preserve">https://www.fldoe.org/file/18534/SchoolGrades25.xlsx</x:t>
        </x:is>
      </x:c>
    </x:row>
    <x:row r="11">
      <x:c r="A11" s="20" t="inlineStr">
        <x:is>
          <x:t xml:space="preserve">350101</x:t>
        </x:is>
      </x:c>
      <x:c r="B11" s="20" t="inlineStr">
        <x:is>
          <x:t xml:space="preserve">35</x:t>
        </x:is>
      </x:c>
      <x:c r="C11" s="20" t="inlineStr">
        <x:is>
          <x:t xml:space="preserve">LAKE</x:t>
        </x:is>
      </x:c>
      <x:c r="D11" s="20" t="inlineStr">
        <x:is>
          <x:t xml:space="preserve">0101</x:t>
        </x:is>
      </x:c>
      <x:c r="E11" s="20" t="inlineStr">
        <x:is>
          <x:t xml:space="preserve">FRUITLAND PARK ELEMENTARY SCHOOL</x:t>
        </x:is>
      </x:c>
      <x:c r="F11" s="20" t="inlineStr">
        <x:is>
          <x:t xml:space="preserve">01</x:t>
        </x:is>
      </x:c>
      <x:c r="G11" s="20" t="inlineStr">
        <x:is>
          <x:t xml:space="preserve">Elementary</x:t>
        </x:is>
      </x:c>
      <x:c r="H11" s="20" t="inlineStr">
        <x:is>
          <x:t xml:space="preserve">NO</x:t>
        </x:is>
      </x:c>
      <x:c r="I11" s="20" t="inlineStr">
        <x:is>
          <x:t xml:space="preserve">YES</x:t>
        </x:is>
      </x:c>
      <x:c r="J11" s="20" t="inlineStr">
        <x:is>
          <x:t xml:space="preserve">N</x:t>
        </x:is>
      </x:c>
      <x:c r="K11" s="25" t="n">
        <x:v>36</x:v>
      </x:c>
      <x:c r="L11" s="25" t="n">
        <x:v>56</x:v>
      </x:c>
      <x:c r="M11" s="25" t="n">
        <x:v>46</x:v>
      </x:c>
      <x:c r="N11" s="25" t="n">
        <x:v>48</x:v>
      </x:c>
      <x:c r="O11" s="25" t="n">
        <x:v>51</x:v>
      </x:c>
      <x:c r="P11" s="25" t="n"/>
      <x:c r="Q11" s="25" t="n"/>
      <x:c r="R11" s="25" t="n"/>
      <x:c r="S11" s="20" t="n">
        <x:v>373</x:v>
      </x:c>
      <x:c r="T11" s="20" t="n">
        <x:v>8</x:v>
      </x:c>
      <x:c r="U11" s="25" t="n">
        <x:v>47</x:v>
      </x:c>
      <x:c r="V11" s="25" t="n">
        <x:v>98</x:v>
      </x:c>
      <x:c r="W11" s="20" t="inlineStr">
        <x:is>
          <x:t xml:space="preserve">C</x:t>
        </x:is>
      </x:c>
      <x:c r="X11" s="20" t="inlineStr">
        <x:is>
          <x:t xml:space="preserve">C</x:t>
        </x:is>
      </x:c>
      <x:c r="Y11" s="25" t="n">
        <x:v>100</x:v>
      </x:c>
      <x:c r="Z11" s="20" t="inlineStr">
        <x:is>
          <x:t xml:space="preserve">https://www.fldoe.org/file/18534/SchoolGrades25.xlsx</x:t>
        </x:is>
      </x:c>
    </x:row>
    <x:row r="12">
      <x:c r="A12" s="20" t="inlineStr">
        <x:is>
          <x:t xml:space="preserve">350113</x:t>
        </x:is>
      </x:c>
      <x:c r="B12" s="20" t="inlineStr">
        <x:is>
          <x:t xml:space="preserve">35</x:t>
        </x:is>
      </x:c>
      <x:c r="C12" s="20" t="inlineStr">
        <x:is>
          <x:t xml:space="preserve">LAKE</x:t>
        </x:is>
      </x:c>
      <x:c r="D12" s="20" t="inlineStr">
        <x:is>
          <x:t xml:space="preserve">0113</x:t>
        </x:is>
      </x:c>
      <x:c r="E12" s="20" t="inlineStr">
        <x:is>
          <x:t xml:space="preserve">GRAY MIDDLE SCHOOL</x:t>
        </x:is>
      </x:c>
      <x:c r="F12" s="20" t="inlineStr">
        <x:is>
          <x:t xml:space="preserve">02</x:t>
        </x:is>
      </x:c>
      <x:c r="G12" s="20" t="inlineStr">
        <x:is>
          <x:t xml:space="preserve">Middle/Junior</x:t>
        </x:is>
      </x:c>
      <x:c r="H12" s="20" t="inlineStr">
        <x:is>
          <x:t xml:space="preserve">NO</x:t>
        </x:is>
      </x:c>
      <x:c r="I12" s="20" t="inlineStr">
        <x:is>
          <x:t xml:space="preserve">NO</x:t>
        </x:is>
      </x:c>
      <x:c r="J12" s="20" t="inlineStr">
        <x:is>
          <x:t xml:space="preserve">N</x:t>
        </x:is>
      </x:c>
      <x:c r="K12" s="25" t="n">
        <x:v>45</x:v>
      </x:c>
      <x:c r="L12" s="25" t="n">
        <x:v>52</x:v>
      </x:c>
      <x:c r="M12" s="25" t="n">
        <x:v>52</x:v>
      </x:c>
      <x:c r="N12" s="25" t="n">
        <x:v>58</x:v>
      </x:c>
      <x:c r="O12" s="25" t="n">
        <x:v>40</x:v>
      </x:c>
      <x:c r="P12" s="25" t="n">
        <x:v>64</x:v>
      </x:c>
      <x:c r="Q12" s="25" t="n"/>
      <x:c r="R12" s="25" t="n"/>
      <x:c r="S12" s="20" t="n">
        <x:v>487</x:v>
      </x:c>
      <x:c r="T12" s="20" t="n">
        <x:v>9</x:v>
      </x:c>
      <x:c r="U12" s="25" t="n">
        <x:v>54</x:v>
      </x:c>
      <x:c r="V12" s="25" t="n">
        <x:v>98</x:v>
      </x:c>
      <x:c r="W12" s="20" t="inlineStr">
        <x:is>
          <x:t xml:space="preserve">C</x:t>
        </x:is>
      </x:c>
      <x:c r="X12" s="20" t="inlineStr">
        <x:is>
          <x:t xml:space="preserve">C</x:t>
        </x:is>
      </x:c>
      <x:c r="Y12" s="25" t="n">
        <x:v>88.2</x:v>
      </x:c>
      <x:c r="Z12" s="20" t="inlineStr">
        <x:is>
          <x:t xml:space="preserve">https://www.fldoe.org/file/18534/SchoolGrades25.xlsx</x:t>
        </x:is>
      </x:c>
    </x:row>
    <x:row r="13">
      <x:c r="A13" s="20" t="inlineStr">
        <x:is>
          <x:t xml:space="preserve">350119</x:t>
        </x:is>
      </x:c>
      <x:c r="B13" s="20" t="inlineStr">
        <x:is>
          <x:t xml:space="preserve">35</x:t>
        </x:is>
      </x:c>
      <x:c r="C13" s="20" t="inlineStr">
        <x:is>
          <x:t xml:space="preserve">LAKE</x:t>
        </x:is>
      </x:c>
      <x:c r="D13" s="20" t="inlineStr">
        <x:is>
          <x:t xml:space="preserve">0119</x:t>
        </x:is>
      </x:c>
      <x:c r="E13" s="20" t="inlineStr">
        <x:is>
          <x:t xml:space="preserve">THE VILLAGES ELEMENTARY OF LADY LAKE SCHOOL</x:t>
        </x:is>
      </x:c>
      <x:c r="F13" s="20" t="inlineStr">
        <x:is>
          <x:t xml:space="preserve">01</x:t>
        </x:is>
      </x:c>
      <x:c r="G13" s="20" t="inlineStr">
        <x:is>
          <x:t xml:space="preserve">Elementary</x:t>
        </x:is>
      </x:c>
      <x:c r="H13" s="20" t="inlineStr">
        <x:is>
          <x:t xml:space="preserve">NO</x:t>
        </x:is>
      </x:c>
      <x:c r="I13" s="20" t="inlineStr">
        <x:is>
          <x:t xml:space="preserve">YES</x:t>
        </x:is>
      </x:c>
      <x:c r="J13" s="20" t="inlineStr">
        <x:is>
          <x:t xml:space="preserve">N</x:t>
        </x:is>
      </x:c>
      <x:c r="K13" s="25" t="n">
        <x:v>67</x:v>
      </x:c>
      <x:c r="L13" s="25" t="n">
        <x:v>59</x:v>
      </x:c>
      <x:c r="M13" s="25" t="n">
        <x:v>75</x:v>
      </x:c>
      <x:c r="N13" s="25" t="n">
        <x:v>72</x:v>
      </x:c>
      <x:c r="O13" s="25" t="n">
        <x:v>54</x:v>
      </x:c>
      <x:c r="P13" s="25" t="n"/>
      <x:c r="Q13" s="25" t="n"/>
      <x:c r="R13" s="25" t="n"/>
      <x:c r="S13" s="20" t="n">
        <x:v>531</x:v>
      </x:c>
      <x:c r="T13" s="20" t="n">
        <x:v>8</x:v>
      </x:c>
      <x:c r="U13" s="25" t="n">
        <x:v>66</x:v>
      </x:c>
      <x:c r="V13" s="25" t="n">
        <x:v>99</x:v>
      </x:c>
      <x:c r="W13" s="20" t="inlineStr">
        <x:is>
          <x:t xml:space="preserve">A</x:t>
        </x:is>
      </x:c>
      <x:c r="X13" s="20" t="inlineStr">
        <x:is>
          <x:t xml:space="preserve">B</x:t>
        </x:is>
      </x:c>
      <x:c r="Y13" s="25" t="n">
        <x:v>100</x:v>
      </x:c>
      <x:c r="Z13" s="20" t="inlineStr">
        <x:is>
          <x:t xml:space="preserve">https://www.fldoe.org/file/18534/SchoolGrades25.xlsx</x:t>
        </x:is>
      </x:c>
    </x:row>
    <x:row r="14">
      <x:c r="A14" s="20" t="inlineStr">
        <x:is>
          <x:t xml:space="preserve">350141</x:t>
        </x:is>
      </x:c>
      <x:c r="B14" s="20" t="inlineStr">
        <x:is>
          <x:t xml:space="preserve">35</x:t>
        </x:is>
      </x:c>
      <x:c r="C14" s="20" t="inlineStr">
        <x:is>
          <x:t xml:space="preserve">LAKE</x:t>
        </x:is>
      </x:c>
      <x:c r="D14" s="20" t="inlineStr">
        <x:is>
          <x:t xml:space="preserve">0141</x:t>
        </x:is>
      </x:c>
      <x:c r="E14" s="20" t="inlineStr">
        <x:is>
          <x:t xml:space="preserve">SEMINOLE SPRINGS ELEMENTARY SCHOOL</x:t>
        </x:is>
      </x:c>
      <x:c r="F14" s="20" t="inlineStr">
        <x:is>
          <x:t xml:space="preserve">01</x:t>
        </x:is>
      </x:c>
      <x:c r="G14" s="20" t="inlineStr">
        <x:is>
          <x:t xml:space="preserve">Elementary</x:t>
        </x:is>
      </x:c>
      <x:c r="H14" s="20" t="inlineStr">
        <x:is>
          <x:t xml:space="preserve">NO</x:t>
        </x:is>
      </x:c>
      <x:c r="I14" s="20" t="inlineStr">
        <x:is>
          <x:t xml:space="preserve">NO</x:t>
        </x:is>
      </x:c>
      <x:c r="J14" s="20" t="inlineStr">
        <x:is>
          <x:t xml:space="preserve">N</x:t>
        </x:is>
      </x:c>
      <x:c r="K14" s="25" t="n">
        <x:v>52</x:v>
      </x:c>
      <x:c r="L14" s="25" t="n">
        <x:v>57</x:v>
      </x:c>
      <x:c r="M14" s="25" t="n">
        <x:v>57</x:v>
      </x:c>
      <x:c r="N14" s="25" t="n">
        <x:v>61</x:v>
      </x:c>
      <x:c r="O14" s="25" t="n">
        <x:v>62</x:v>
      </x:c>
      <x:c r="P14" s="25" t="n"/>
      <x:c r="Q14" s="25" t="n"/>
      <x:c r="R14" s="25" t="n"/>
      <x:c r="S14" s="20" t="n">
        <x:v>427</x:v>
      </x:c>
      <x:c r="T14" s="20" t="n">
        <x:v>8</x:v>
      </x:c>
      <x:c r="U14" s="25" t="n">
        <x:v>53</x:v>
      </x:c>
      <x:c r="V14" s="25" t="n">
        <x:v>98</x:v>
      </x:c>
      <x:c r="W14" s="20" t="inlineStr">
        <x:is>
          <x:t xml:space="preserve">C</x:t>
        </x:is>
      </x:c>
      <x:c r="X14" s="20" t="inlineStr">
        <x:is>
          <x:t xml:space="preserve">B</x:t>
        </x:is>
      </x:c>
      <x:c r="Y14" s="25" t="n">
        <x:v>96.59999999999999</x:v>
      </x:c>
      <x:c r="Z14" s="20" t="inlineStr">
        <x:is>
          <x:t xml:space="preserve">https://www.fldoe.org/file/18534/SchoolGrades25.xlsx</x:t>
        </x:is>
      </x:c>
    </x:row>
    <x:row r="15">
      <x:c r="A15" s="20" t="inlineStr">
        <x:is>
          <x:t xml:space="preserve">350149</x:t>
        </x:is>
      </x:c>
      <x:c r="B15" s="20" t="inlineStr">
        <x:is>
          <x:t xml:space="preserve">35</x:t>
        </x:is>
      </x:c>
      <x:c r="C15" s="20" t="inlineStr">
        <x:is>
          <x:t xml:space="preserve">LAKE</x:t>
        </x:is>
      </x:c>
      <x:c r="D15" s="20" t="inlineStr">
        <x:is>
          <x:t xml:space="preserve">0149</x:t>
        </x:is>
      </x:c>
      <x:c r="E15" s="20" t="inlineStr">
        <x:is>
          <x:t xml:space="preserve">ROUND LAKE CHARTER SCHOOL</x:t>
        </x:is>
      </x:c>
      <x:c r="F15" s="20" t="inlineStr">
        <x:is>
          <x:t xml:space="preserve">04</x:t>
        </x:is>
      </x:c>
      <x:c r="G15" s="20" t="inlineStr">
        <x:is>
          <x:t xml:space="preserve">Combination</x:t>
        </x:is>
      </x:c>
      <x:c r="H15" s="20" t="inlineStr">
        <x:is>
          <x:t xml:space="preserve">YES</x:t>
        </x:is>
      </x:c>
      <x:c r="I15" s="20" t="inlineStr">
        <x:is>
          <x:t xml:space="preserve">NO</x:t>
        </x:is>
      </x:c>
      <x:c r="J15" s="20" t="inlineStr">
        <x:is>
          <x:t xml:space="preserve">N</x:t>
        </x:is>
      </x:c>
      <x:c r="K15" s="25" t="n">
        <x:v>81</x:v>
      </x:c>
      <x:c r="L15" s="25" t="n">
        <x:v>69</x:v>
      </x:c>
      <x:c r="M15" s="25" t="n">
        <x:v>92</x:v>
      </x:c>
      <x:c r="N15" s="25" t="n">
        <x:v>82</x:v>
      </x:c>
      <x:c r="O15" s="25" t="n">
        <x:v>66</x:v>
      </x:c>
      <x:c r="P15" s="25" t="n">
        <x:v>98</x:v>
      </x:c>
      <x:c r="Q15" s="25" t="n"/>
      <x:c r="R15" s="25" t="n"/>
      <x:c r="S15" s="20" t="n">
        <x:v>778</x:v>
      </x:c>
      <x:c r="T15" s="20" t="n">
        <x:v>10</x:v>
      </x:c>
      <x:c r="U15" s="25" t="n">
        <x:v>78</x:v>
      </x:c>
      <x:c r="V15" s="25" t="n">
        <x:v>99</x:v>
      </x:c>
      <x:c r="W15" s="20" t="inlineStr">
        <x:is>
          <x:t xml:space="preserve">A</x:t>
        </x:is>
      </x:c>
      <x:c r="X15" s="20" t="inlineStr">
        <x:is>
          <x:t xml:space="preserve">A</x:t>
        </x:is>
      </x:c>
      <x:c r="Y15" s="25" t="n">
        <x:v>27.6</x:v>
      </x:c>
      <x:c r="Z15" s="20" t="inlineStr">
        <x:is>
          <x:t xml:space="preserve">https://www.fldoe.org/file/18534/SchoolGrades25.xlsx</x:t>
        </x:is>
      </x:c>
    </x:row>
    <x:row r="16">
      <x:c r="A16" s="20" t="inlineStr">
        <x:is>
          <x:t xml:space="preserve">350161</x:t>
        </x:is>
      </x:c>
      <x:c r="B16" s="20" t="inlineStr">
        <x:is>
          <x:t xml:space="preserve">35</x:t>
        </x:is>
      </x:c>
      <x:c r="C16" s="20" t="inlineStr">
        <x:is>
          <x:t xml:space="preserve">LAKE</x:t>
        </x:is>
      </x:c>
      <x:c r="D16" s="20" t="inlineStr">
        <x:is>
          <x:t xml:space="preserve">0161</x:t>
        </x:is>
      </x:c>
      <x:c r="E16" s="20" t="inlineStr">
        <x:is>
          <x:t xml:space="preserve">LEESBURG HIGH SCHOOL</x:t>
        </x:is>
      </x:c>
      <x:c r="F16" s="20" t="inlineStr">
        <x:is>
          <x:t xml:space="preserve">03</x:t>
        </x:is>
      </x:c>
      <x:c r="G16" s="20" t="inlineStr">
        <x:is>
          <x:t xml:space="preserve">Senior High</x:t>
        </x:is>
      </x:c>
      <x:c r="H16" s="20" t="inlineStr">
        <x:is>
          <x:t xml:space="preserve">NO</x:t>
        </x:is>
      </x:c>
      <x:c r="I16" s="20" t="inlineStr">
        <x:is>
          <x:t xml:space="preserve">YES</x:t>
        </x:is>
      </x:c>
      <x:c r="J16" s="20" t="inlineStr">
        <x:is>
          <x:t xml:space="preserve">N</x:t>
        </x:is>
      </x:c>
      <x:c r="K16" s="25" t="n">
        <x:v>41</x:v>
      </x:c>
      <x:c r="L16" s="25" t="n">
        <x:v>55</x:v>
      </x:c>
      <x:c r="M16" s="25" t="n">
        <x:v>27</x:v>
      </x:c>
      <x:c r="N16" s="25" t="n">
        <x:v>34</x:v>
      </x:c>
      <x:c r="O16" s="25" t="n">
        <x:v>55</x:v>
      </x:c>
      <x:c r="P16" s="25" t="n">
        <x:v>49</x:v>
      </x:c>
      <x:c r="Q16" s="25" t="n">
        <x:v>91</x:v>
      </x:c>
      <x:c r="R16" s="25" t="n">
        <x:v>53</x:v>
      </x:c>
      <x:c r="S16" s="20" t="n">
        <x:v>502</x:v>
      </x:c>
      <x:c r="T16" s="20" t="n">
        <x:v>10</x:v>
      </x:c>
      <x:c r="U16" s="25" t="n">
        <x:v>50</x:v>
      </x:c>
      <x:c r="V16" s="25" t="n">
        <x:v>96</x:v>
      </x:c>
      <x:c r="W16" s="20" t="inlineStr">
        <x:is>
          <x:t xml:space="preserve">C</x:t>
        </x:is>
      </x:c>
      <x:c r="X16" s="20" t="inlineStr">
        <x:is>
          <x:t xml:space="preserve">C</x:t>
        </x:is>
      </x:c>
      <x:c r="Y16" s="25" t="n">
        <x:v>100</x:v>
      </x:c>
      <x:c r="Z16" s="20" t="inlineStr">
        <x:is>
          <x:t xml:space="preserve">https://www.fldoe.org/file/18534/SchoolGrades25.xlsx</x:t>
        </x:is>
      </x:c>
    </x:row>
    <x:row r="17">
      <x:c r="A17" s="20" t="inlineStr">
        <x:is>
          <x:t xml:space="preserve">350181</x:t>
        </x:is>
      </x:c>
      <x:c r="B17" s="20" t="inlineStr">
        <x:is>
          <x:t xml:space="preserve">35</x:t>
        </x:is>
      </x:c>
      <x:c r="C17" s="20" t="inlineStr">
        <x:is>
          <x:t xml:space="preserve">LAKE</x:t>
        </x:is>
      </x:c>
      <x:c r="D17" s="20" t="inlineStr">
        <x:is>
          <x:t xml:space="preserve">0181</x:t>
        </x:is>
      </x:c>
      <x:c r="E17" s="20" t="inlineStr">
        <x:is>
          <x:t xml:space="preserve">MT. DORA HIGH SCHOOL</x:t>
        </x:is>
      </x:c>
      <x:c r="F17" s="20" t="inlineStr">
        <x:is>
          <x:t xml:space="preserve">03</x:t>
        </x:is>
      </x:c>
      <x:c r="G17" s="20" t="inlineStr">
        <x:is>
          <x:t xml:space="preserve">Senior High</x:t>
        </x:is>
      </x:c>
      <x:c r="H17" s="20" t="inlineStr">
        <x:is>
          <x:t xml:space="preserve">NO</x:t>
        </x:is>
      </x:c>
      <x:c r="I17" s="20" t="inlineStr">
        <x:is>
          <x:t xml:space="preserve">NO</x:t>
        </x:is>
      </x:c>
      <x:c r="J17" s="20" t="inlineStr">
        <x:is>
          <x:t xml:space="preserve">N</x:t>
        </x:is>
      </x:c>
      <x:c r="K17" s="25" t="n">
        <x:v>62</x:v>
      </x:c>
      <x:c r="L17" s="25" t="n">
        <x:v>58</x:v>
      </x:c>
      <x:c r="M17" s="25" t="n">
        <x:v>57</x:v>
      </x:c>
      <x:c r="N17" s="25" t="n">
        <x:v>52</x:v>
      </x:c>
      <x:c r="O17" s="25" t="n">
        <x:v>68</x:v>
      </x:c>
      <x:c r="P17" s="25" t="n">
        <x:v>77</x:v>
      </x:c>
      <x:c r="Q17" s="25" t="n">
        <x:v>99</x:v>
      </x:c>
      <x:c r="R17" s="25" t="n">
        <x:v>87</x:v>
      </x:c>
      <x:c r="S17" s="20" t="n">
        <x:v>659</x:v>
      </x:c>
      <x:c r="T17" s="20" t="n">
        <x:v>10</x:v>
      </x:c>
      <x:c r="U17" s="25" t="n">
        <x:v>66</x:v>
      </x:c>
      <x:c r="V17" s="25" t="n">
        <x:v>96</x:v>
      </x:c>
      <x:c r="W17" s="20" t="inlineStr">
        <x:is>
          <x:t xml:space="preserve">A</x:t>
        </x:is>
      </x:c>
      <x:c r="X17" s="20" t="inlineStr">
        <x:is>
          <x:t xml:space="preserve">A</x:t>
        </x:is>
      </x:c>
      <x:c r="Y17" s="25" t="n">
        <x:v>67.90000000000001</x:v>
      </x:c>
      <x:c r="Z17" s="20" t="inlineStr">
        <x:is>
          <x:t xml:space="preserve">https://www.fldoe.org/file/18534/SchoolGrades25.xlsx</x:t>
        </x:is>
      </x:c>
    </x:row>
    <x:row r="18">
      <x:c r="A18" s="20" t="inlineStr">
        <x:is>
          <x:t xml:space="preserve">350211</x:t>
        </x:is>
      </x:c>
      <x:c r="B18" s="20" t="inlineStr">
        <x:is>
          <x:t xml:space="preserve">35</x:t>
        </x:is>
      </x:c>
      <x:c r="C18" s="20" t="inlineStr">
        <x:is>
          <x:t xml:space="preserve">LAKE</x:t>
        </x:is>
      </x:c>
      <x:c r="D18" s="20" t="inlineStr">
        <x:is>
          <x:t xml:space="preserve">0211</x:t>
        </x:is>
      </x:c>
      <x:c r="E18" s="20" t="inlineStr">
        <x:is>
          <x:t xml:space="preserve">TAVARES HIGH SCHOOL</x:t>
        </x:is>
      </x:c>
      <x:c r="F18" s="20" t="inlineStr">
        <x:is>
          <x:t xml:space="preserve">03</x:t>
        </x:is>
      </x:c>
      <x:c r="G18" s="20" t="inlineStr">
        <x:is>
          <x:t xml:space="preserve">Senior High</x:t>
        </x:is>
      </x:c>
      <x:c r="H18" s="20" t="inlineStr">
        <x:is>
          <x:t xml:space="preserve">NO</x:t>
        </x:is>
      </x:c>
      <x:c r="I18" s="20" t="inlineStr">
        <x:is>
          <x:t xml:space="preserve">NO</x:t>
        </x:is>
      </x:c>
      <x:c r="J18" s="20" t="inlineStr">
        <x:is>
          <x:t xml:space="preserve">N</x:t>
        </x:is>
      </x:c>
      <x:c r="K18" s="25" t="n">
        <x:v>49</x:v>
      </x:c>
      <x:c r="L18" s="25" t="n">
        <x:v>58</x:v>
      </x:c>
      <x:c r="M18" s="25" t="n">
        <x:v>41</x:v>
      </x:c>
      <x:c r="N18" s="25" t="n">
        <x:v>40</x:v>
      </x:c>
      <x:c r="O18" s="25" t="n">
        <x:v>55</x:v>
      </x:c>
      <x:c r="P18" s="25" t="n">
        <x:v>75</x:v>
      </x:c>
      <x:c r="Q18" s="25" t="n">
        <x:v>92</x:v>
      </x:c>
      <x:c r="R18" s="25" t="n">
        <x:v>86</x:v>
      </x:c>
      <x:c r="S18" s="20" t="n">
        <x:v>601</x:v>
      </x:c>
      <x:c r="T18" s="20" t="n">
        <x:v>10</x:v>
      </x:c>
      <x:c r="U18" s="25" t="n">
        <x:v>60</x:v>
      </x:c>
      <x:c r="V18" s="25" t="n">
        <x:v>98</x:v>
      </x:c>
      <x:c r="W18" s="20" t="inlineStr">
        <x:is>
          <x:t xml:space="preserve">B</x:t>
        </x:is>
      </x:c>
      <x:c r="X18" s="20" t="inlineStr">
        <x:is>
          <x:t xml:space="preserve">B</x:t>
        </x:is>
      </x:c>
      <x:c r="Y18" s="25" t="n">
        <x:v>84.3</x:v>
      </x:c>
      <x:c r="Z18" s="20" t="inlineStr">
        <x:is>
          <x:t xml:space="preserve">https://www.fldoe.org/file/18534/SchoolGrades25.xlsx</x:t>
        </x:is>
      </x:c>
    </x:row>
    <x:row r="19">
      <x:c r="A19" s="20" t="inlineStr">
        <x:is>
          <x:t xml:space="preserve">350213</x:t>
        </x:is>
      </x:c>
      <x:c r="B19" s="20" t="inlineStr">
        <x:is>
          <x:t xml:space="preserve">35</x:t>
        </x:is>
      </x:c>
      <x:c r="C19" s="20" t="inlineStr">
        <x:is>
          <x:t xml:space="preserve">LAKE</x:t>
        </x:is>
      </x:c>
      <x:c r="D19" s="20" t="inlineStr">
        <x:is>
          <x:t xml:space="preserve">0213</x:t>
        </x:is>
      </x:c>
      <x:c r="E19" s="20" t="inlineStr">
        <x:is>
          <x:t xml:space="preserve">TAVARES MIDDLE SCHOOL</x:t>
        </x:is>
      </x:c>
      <x:c r="F19" s="20" t="inlineStr">
        <x:is>
          <x:t xml:space="preserve">02</x:t>
        </x:is>
      </x:c>
      <x:c r="G19" s="20" t="inlineStr">
        <x:is>
          <x:t xml:space="preserve">Middle/Junior</x:t>
        </x:is>
      </x:c>
      <x:c r="H19" s="20" t="inlineStr">
        <x:is>
          <x:t xml:space="preserve">NO</x:t>
        </x:is>
      </x:c>
      <x:c r="I19" s="20" t="inlineStr">
        <x:is>
          <x:t xml:space="preserve">YES</x:t>
        </x:is>
      </x:c>
      <x:c r="J19" s="20" t="inlineStr">
        <x:is>
          <x:t xml:space="preserve">N</x:t>
        </x:is>
      </x:c>
      <x:c r="K19" s="25" t="n">
        <x:v>50</x:v>
      </x:c>
      <x:c r="L19" s="25" t="n">
        <x:v>56</x:v>
      </x:c>
      <x:c r="M19" s="25" t="n">
        <x:v>55</x:v>
      </x:c>
      <x:c r="N19" s="25" t="n">
        <x:v>60</x:v>
      </x:c>
      <x:c r="O19" s="25" t="n">
        <x:v>57</x:v>
      </x:c>
      <x:c r="P19" s="25" t="n">
        <x:v>67</x:v>
      </x:c>
      <x:c r="Q19" s="25" t="n"/>
      <x:c r="R19" s="25" t="n"/>
      <x:c r="S19" s="20" t="n">
        <x:v>546</x:v>
      </x:c>
      <x:c r="T19" s="20" t="n">
        <x:v>9</x:v>
      </x:c>
      <x:c r="U19" s="25" t="n">
        <x:v>61</x:v>
      </x:c>
      <x:c r="V19" s="25" t="n">
        <x:v>99</x:v>
      </x:c>
      <x:c r="W19" s="20" t="inlineStr">
        <x:is>
          <x:t xml:space="preserve">B</x:t>
        </x:is>
      </x:c>
      <x:c r="X19" s="20" t="inlineStr">
        <x:is>
          <x:t xml:space="preserve">C</x:t>
        </x:is>
      </x:c>
      <x:c r="Y19" s="25" t="n">
        <x:v>97.8</x:v>
      </x:c>
      <x:c r="Z19" s="20" t="inlineStr">
        <x:is>
          <x:t xml:space="preserve">https://www.fldoe.org/file/18534/SchoolGrades25.xlsx</x:t>
        </x:is>
      </x:c>
    </x:row>
    <x:row r="20">
      <x:c r="A20" s="20" t="inlineStr">
        <x:is>
          <x:t xml:space="preserve">350231</x:t>
        </x:is>
      </x:c>
      <x:c r="B20" s="20" t="inlineStr">
        <x:is>
          <x:t xml:space="preserve">35</x:t>
        </x:is>
      </x:c>
      <x:c r="C20" s="20" t="inlineStr">
        <x:is>
          <x:t xml:space="preserve">LAKE</x:t>
        </x:is>
      </x:c>
      <x:c r="D20" s="20" t="inlineStr">
        <x:is>
          <x:t xml:space="preserve">0231</x:t>
        </x:is>
      </x:c>
      <x:c r="E20" s="20" t="inlineStr">
        <x:is>
          <x:t xml:space="preserve">UMATILLA HIGH SCHOOL</x:t>
        </x:is>
      </x:c>
      <x:c r="F20" s="20" t="inlineStr">
        <x:is>
          <x:t xml:space="preserve">03</x:t>
        </x:is>
      </x:c>
      <x:c r="G20" s="20" t="inlineStr">
        <x:is>
          <x:t xml:space="preserve">Senior High</x:t>
        </x:is>
      </x:c>
      <x:c r="H20" s="20" t="inlineStr">
        <x:is>
          <x:t xml:space="preserve">NO</x:t>
        </x:is>
      </x:c>
      <x:c r="I20" s="20" t="inlineStr">
        <x:is>
          <x:t xml:space="preserve">YES</x:t>
        </x:is>
      </x:c>
      <x:c r="J20" s="20" t="inlineStr">
        <x:is>
          <x:t xml:space="preserve">N</x:t>
        </x:is>
      </x:c>
      <x:c r="K20" s="25" t="n">
        <x:v>48</x:v>
      </x:c>
      <x:c r="L20" s="25" t="n">
        <x:v>50</x:v>
      </x:c>
      <x:c r="M20" s="25" t="n">
        <x:v>44</x:v>
      </x:c>
      <x:c r="N20" s="25" t="n">
        <x:v>41</x:v>
      </x:c>
      <x:c r="O20" s="25" t="n">
        <x:v>68</x:v>
      </x:c>
      <x:c r="P20" s="25" t="n">
        <x:v>65</x:v>
      </x:c>
      <x:c r="Q20" s="25" t="n">
        <x:v>97</x:v>
      </x:c>
      <x:c r="R20" s="25" t="n">
        <x:v>77</x:v>
      </x:c>
      <x:c r="S20" s="20" t="n">
        <x:v>579</x:v>
      </x:c>
      <x:c r="T20" s="20" t="n">
        <x:v>10</x:v>
      </x:c>
      <x:c r="U20" s="25" t="n">
        <x:v>58</x:v>
      </x:c>
      <x:c r="V20" s="25" t="n">
        <x:v>97</x:v>
      </x:c>
      <x:c r="W20" s="20" t="inlineStr">
        <x:is>
          <x:t xml:space="preserve">B</x:t>
        </x:is>
      </x:c>
      <x:c r="X20" s="20" t="inlineStr">
        <x:is>
          <x:t xml:space="preserve">C</x:t>
        </x:is>
      </x:c>
      <x:c r="Y20" s="25" t="n">
        <x:v>84.2</x:v>
      </x:c>
      <x:c r="Z20" s="20" t="inlineStr">
        <x:is>
          <x:t xml:space="preserve">https://www.fldoe.org/file/18534/SchoolGrades25.xlsx</x:t>
        </x:is>
      </x:c>
    </x:row>
    <x:row r="21">
      <x:c r="A21" s="20" t="inlineStr">
        <x:is>
          <x:t xml:space="preserve">350241</x:t>
        </x:is>
      </x:c>
      <x:c r="B21" s="20" t="inlineStr">
        <x:is>
          <x:t xml:space="preserve">35</x:t>
        </x:is>
      </x:c>
      <x:c r="C21" s="20" t="inlineStr">
        <x:is>
          <x:t xml:space="preserve">LAKE</x:t>
        </x:is>
      </x:c>
      <x:c r="D21" s="20" t="inlineStr">
        <x:is>
          <x:t xml:space="preserve">0241</x:t>
        </x:is>
      </x:c>
      <x:c r="E21" s="20" t="inlineStr">
        <x:is>
          <x:t xml:space="preserve">TREADWAY ELEMENTARY SCHOOL</x:t>
        </x:is>
      </x:c>
      <x:c r="F21" s="20" t="inlineStr">
        <x:is>
          <x:t xml:space="preserve">01</x:t>
        </x:is>
      </x:c>
      <x:c r="G21" s="20" t="inlineStr">
        <x:is>
          <x:t xml:space="preserve">Elementary</x:t>
        </x:is>
      </x:c>
      <x:c r="H21" s="20" t="inlineStr">
        <x:is>
          <x:t xml:space="preserve">NO</x:t>
        </x:is>
      </x:c>
      <x:c r="I21" s="20" t="inlineStr">
        <x:is>
          <x:t xml:space="preserve">YES</x:t>
        </x:is>
      </x:c>
      <x:c r="J21" s="20" t="inlineStr">
        <x:is>
          <x:t xml:space="preserve">N</x:t>
        </x:is>
      </x:c>
      <x:c r="K21" s="25" t="n">
        <x:v>58</x:v>
      </x:c>
      <x:c r="L21" s="25" t="n">
        <x:v>65</x:v>
      </x:c>
      <x:c r="M21" s="25" t="n">
        <x:v>66</x:v>
      </x:c>
      <x:c r="N21" s="25" t="n">
        <x:v>72</x:v>
      </x:c>
      <x:c r="O21" s="25" t="n">
        <x:v>53</x:v>
      </x:c>
      <x:c r="P21" s="25" t="n"/>
      <x:c r="Q21" s="25" t="n"/>
      <x:c r="R21" s="25" t="n"/>
      <x:c r="S21" s="20" t="n">
        <x:v>497</x:v>
      </x:c>
      <x:c r="T21" s="20" t="n">
        <x:v>8</x:v>
      </x:c>
      <x:c r="U21" s="25" t="n">
        <x:v>62</x:v>
      </x:c>
      <x:c r="V21" s="25" t="n">
        <x:v>95</x:v>
      </x:c>
      <x:c r="W21" s="20" t="inlineStr">
        <x:is>
          <x:t xml:space="preserve">A</x:t>
        </x:is>
      </x:c>
      <x:c r="X21" s="20" t="inlineStr">
        <x:is>
          <x:t xml:space="preserve">C</x:t>
        </x:is>
      </x:c>
      <x:c r="Y21" s="25" t="n">
        <x:v>100</x:v>
      </x:c>
      <x:c r="Z21" s="20" t="inlineStr">
        <x:is>
          <x:t xml:space="preserve">https://www.fldoe.org/file/18534/SchoolGrades25.xlsx</x:t>
        </x:is>
      </x:c>
    </x:row>
    <x:row r="22">
      <x:c r="A22" s="20" t="inlineStr">
        <x:is>
          <x:t xml:space="preserve">350251</x:t>
        </x:is>
      </x:c>
      <x:c r="B22" s="20" t="inlineStr">
        <x:is>
          <x:t xml:space="preserve">35</x:t>
        </x:is>
      </x:c>
      <x:c r="C22" s="20" t="inlineStr">
        <x:is>
          <x:t xml:space="preserve">LAKE</x:t>
        </x:is>
      </x:c>
      <x:c r="D22" s="20" t="inlineStr">
        <x:is>
          <x:t xml:space="preserve">0251</x:t>
        </x:is>
      </x:c>
      <x:c r="E22" s="20" t="inlineStr">
        <x:is>
          <x:t xml:space="preserve">OAK PARK MIDDLE SCHOOL</x:t>
        </x:is>
      </x:c>
      <x:c r="F22" s="20" t="inlineStr">
        <x:is>
          <x:t xml:space="preserve">02</x:t>
        </x:is>
      </x:c>
      <x:c r="G22" s="20" t="inlineStr">
        <x:is>
          <x:t xml:space="preserve">Middle/Junior</x:t>
        </x:is>
      </x:c>
      <x:c r="H22" s="20" t="inlineStr">
        <x:is>
          <x:t xml:space="preserve">NO</x:t>
        </x:is>
      </x:c>
      <x:c r="I22" s="20" t="inlineStr">
        <x:is>
          <x:t xml:space="preserve">YES</x:t>
        </x:is>
      </x:c>
      <x:c r="J22" s="20" t="inlineStr">
        <x:is>
          <x:t xml:space="preserve">N</x:t>
        </x:is>
      </x:c>
      <x:c r="K22" s="25" t="n">
        <x:v>38</x:v>
      </x:c>
      <x:c r="L22" s="25" t="n">
        <x:v>50</x:v>
      </x:c>
      <x:c r="M22" s="25" t="n">
        <x:v>46</x:v>
      </x:c>
      <x:c r="N22" s="25" t="n">
        <x:v>52</x:v>
      </x:c>
      <x:c r="O22" s="25" t="n">
        <x:v>30</x:v>
      </x:c>
      <x:c r="P22" s="25" t="n">
        <x:v>60</x:v>
      </x:c>
      <x:c r="Q22" s="25" t="n"/>
      <x:c r="R22" s="25" t="n"/>
      <x:c r="S22" s="20" t="n">
        <x:v>451</x:v>
      </x:c>
      <x:c r="T22" s="20" t="n">
        <x:v>9</x:v>
      </x:c>
      <x:c r="U22" s="25" t="n">
        <x:v>50</x:v>
      </x:c>
      <x:c r="V22" s="25" t="n">
        <x:v>97</x:v>
      </x:c>
      <x:c r="W22" s="20" t="inlineStr">
        <x:is>
          <x:t xml:space="preserve">C</x:t>
        </x:is>
      </x:c>
      <x:c r="X22" s="20" t="inlineStr">
        <x:is>
          <x:t xml:space="preserve">C</x:t>
        </x:is>
      </x:c>
      <x:c r="Y22" s="25" t="n">
        <x:v>100</x:v>
      </x:c>
      <x:c r="Z22" s="20" t="inlineStr">
        <x:is>
          <x:t xml:space="preserve">https://www.fldoe.org/file/18534/SchoolGrades25.xlsx</x:t>
        </x:is>
      </x:c>
    </x:row>
    <x:row r="23">
      <x:c r="A23" s="20" t="inlineStr">
        <x:is>
          <x:t xml:space="preserve">350261</x:t>
        </x:is>
      </x:c>
      <x:c r="B23" s="20" t="inlineStr">
        <x:is>
          <x:t xml:space="preserve">35</x:t>
        </x:is>
      </x:c>
      <x:c r="C23" s="20" t="inlineStr">
        <x:is>
          <x:t xml:space="preserve">LAKE</x:t>
        </x:is>
      </x:c>
      <x:c r="D23" s="20" t="inlineStr">
        <x:is>
          <x:t xml:space="preserve">0261</x:t>
        </x:is>
      </x:c>
      <x:c r="E23" s="20" t="inlineStr">
        <x:is>
          <x:t xml:space="preserve">MINNEOLA CHARTER SCHOOL</x:t>
        </x:is>
      </x:c>
      <x:c r="F23" s="20" t="inlineStr">
        <x:is>
          <x:t xml:space="preserve">04</x:t>
        </x:is>
      </x:c>
      <x:c r="G23" s="20" t="inlineStr">
        <x:is>
          <x:t xml:space="preserve">Combination</x:t>
        </x:is>
      </x:c>
      <x:c r="H23" s="20" t="inlineStr">
        <x:is>
          <x:t xml:space="preserve">YES</x:t>
        </x:is>
      </x:c>
      <x:c r="I23" s="20" t="inlineStr">
        <x:is>
          <x:t xml:space="preserve">NO</x:t>
        </x:is>
      </x:c>
      <x:c r="J23" s="20" t="inlineStr">
        <x:is>
          <x:t xml:space="preserve">N</x:t>
        </x:is>
      </x:c>
      <x:c r="K23" s="25" t="n">
        <x:v>70</x:v>
      </x:c>
      <x:c r="L23" s="25" t="n">
        <x:v>61</x:v>
      </x:c>
      <x:c r="M23" s="25" t="n">
        <x:v>81</x:v>
      </x:c>
      <x:c r="N23" s="25" t="n">
        <x:v>73</x:v>
      </x:c>
      <x:c r="O23" s="25" t="n">
        <x:v>69</x:v>
      </x:c>
      <x:c r="P23" s="25" t="n">
        <x:v>89</x:v>
      </x:c>
      <x:c r="Q23" s="25" t="n"/>
      <x:c r="R23" s="25" t="n"/>
      <x:c r="S23" s="20" t="n">
        <x:v>706</x:v>
      </x:c>
      <x:c r="T23" s="20" t="n">
        <x:v>10</x:v>
      </x:c>
      <x:c r="U23" s="25" t="n">
        <x:v>71</x:v>
      </x:c>
      <x:c r="V23" s="25" t="n">
        <x:v>100</x:v>
      </x:c>
      <x:c r="W23" s="20" t="inlineStr">
        <x:is>
          <x:t xml:space="preserve">A</x:t>
        </x:is>
      </x:c>
      <x:c r="X23" s="20" t="inlineStr">
        <x:is>
          <x:t xml:space="preserve">A</x:t>
        </x:is>
      </x:c>
      <x:c r="Y23" s="25" t="n">
        <x:v>50.7</x:v>
      </x:c>
      <x:c r="Z23" s="20" t="inlineStr">
        <x:is>
          <x:t xml:space="preserve">https://www.fldoe.org/file/18534/SchoolGrades25.xlsx</x:t>
        </x:is>
      </x:c>
    </x:row>
    <x:row r="24">
      <x:c r="A24" s="20" t="inlineStr">
        <x:is>
          <x:t xml:space="preserve">350271</x:t>
        </x:is>
      </x:c>
      <x:c r="B24" s="20" t="inlineStr">
        <x:is>
          <x:t xml:space="preserve">35</x:t>
        </x:is>
      </x:c>
      <x:c r="C24" s="20" t="inlineStr">
        <x:is>
          <x:t xml:space="preserve">LAKE</x:t>
        </x:is>
      </x:c>
      <x:c r="D24" s="20" t="inlineStr">
        <x:is>
          <x:t xml:space="preserve">0271</x:t>
        </x:is>
      </x:c>
      <x:c r="E24" s="20" t="inlineStr">
        <x:is>
          <x:t xml:space="preserve">ASTATULA ELEMENTARY SCHOOL</x:t>
        </x:is>
      </x:c>
      <x:c r="F24" s="20" t="inlineStr">
        <x:is>
          <x:t xml:space="preserve">01</x:t>
        </x:is>
      </x:c>
      <x:c r="G24" s="20" t="inlineStr">
        <x:is>
          <x:t xml:space="preserve">Elementary</x:t>
        </x:is>
      </x:c>
      <x:c r="H24" s="20" t="inlineStr">
        <x:is>
          <x:t xml:space="preserve">NO</x:t>
        </x:is>
      </x:c>
      <x:c r="I24" s="20" t="inlineStr">
        <x:is>
          <x:t xml:space="preserve">NO</x:t>
        </x:is>
      </x:c>
      <x:c r="J24" s="20" t="inlineStr">
        <x:is>
          <x:t xml:space="preserve">N</x:t>
        </x:is>
      </x:c>
      <x:c r="K24" s="25" t="n">
        <x:v>47</x:v>
      </x:c>
      <x:c r="L24" s="25" t="n">
        <x:v>55</x:v>
      </x:c>
      <x:c r="M24" s="25" t="n">
        <x:v>51</x:v>
      </x:c>
      <x:c r="N24" s="25" t="n">
        <x:v>60</x:v>
      </x:c>
      <x:c r="O24" s="25" t="n">
        <x:v>59</x:v>
      </x:c>
      <x:c r="P24" s="25" t="n"/>
      <x:c r="Q24" s="25" t="n"/>
      <x:c r="R24" s="25" t="n"/>
      <x:c r="S24" s="20" t="n">
        <x:v>433</x:v>
      </x:c>
      <x:c r="T24" s="20" t="n">
        <x:v>8</x:v>
      </x:c>
      <x:c r="U24" s="25" t="n">
        <x:v>54</x:v>
      </x:c>
      <x:c r="V24" s="25" t="n">
        <x:v>100</x:v>
      </x:c>
      <x:c r="W24" s="20" t="inlineStr">
        <x:is>
          <x:t xml:space="preserve">B</x:t>
        </x:is>
      </x:c>
      <x:c r="X24" s="20" t="inlineStr">
        <x:is>
          <x:t xml:space="preserve">B</x:t>
        </x:is>
      </x:c>
      <x:c r="Y24" s="25" t="n">
        <x:v>95.3</x:v>
      </x:c>
      <x:c r="Z24" s="20" t="inlineStr">
        <x:is>
          <x:t xml:space="preserve">https://www.fldoe.org/file/18534/SchoolGrades25.xlsx</x:t>
        </x:is>
      </x:c>
    </x:row>
    <x:row r="25">
      <x:c r="A25" s="20" t="inlineStr">
        <x:is>
          <x:t xml:space="preserve">350281</x:t>
        </x:is>
      </x:c>
      <x:c r="B25" s="20" t="inlineStr">
        <x:is>
          <x:t xml:space="preserve">35</x:t>
        </x:is>
      </x:c>
      <x:c r="C25" s="20" t="inlineStr">
        <x:is>
          <x:t xml:space="preserve">LAKE</x:t>
        </x:is>
      </x:c>
      <x:c r="D25" s="20" t="inlineStr">
        <x:is>
          <x:t xml:space="preserve">0281</x:t>
        </x:is>
      </x:c>
      <x:c r="E25" s="20" t="inlineStr">
        <x:is>
          <x:t xml:space="preserve">LOST LAKE ELEMENTARY SCHOOL</x:t>
        </x:is>
      </x:c>
      <x:c r="F25" s="20" t="inlineStr">
        <x:is>
          <x:t xml:space="preserve">01</x:t>
        </x:is>
      </x:c>
      <x:c r="G25" s="20" t="inlineStr">
        <x:is>
          <x:t xml:space="preserve">Elementary</x:t>
        </x:is>
      </x:c>
      <x:c r="H25" s="20" t="inlineStr">
        <x:is>
          <x:t xml:space="preserve">NO</x:t>
        </x:is>
      </x:c>
      <x:c r="I25" s="20" t="inlineStr">
        <x:is>
          <x:t xml:space="preserve">NO</x:t>
        </x:is>
      </x:c>
      <x:c r="J25" s="20" t="inlineStr">
        <x:is>
          <x:t xml:space="preserve">N</x:t>
        </x:is>
      </x:c>
      <x:c r="K25" s="25" t="n">
        <x:v>64</x:v>
      </x:c>
      <x:c r="L25" s="25" t="n">
        <x:v>59</x:v>
      </x:c>
      <x:c r="M25" s="25" t="n">
        <x:v>70</x:v>
      </x:c>
      <x:c r="N25" s="25" t="n">
        <x:v>63</x:v>
      </x:c>
      <x:c r="O25" s="25" t="n">
        <x:v>68</x:v>
      </x:c>
      <x:c r="P25" s="25" t="n"/>
      <x:c r="Q25" s="25" t="n"/>
      <x:c r="R25" s="25" t="n"/>
      <x:c r="S25" s="20" t="n">
        <x:v>486</x:v>
      </x:c>
      <x:c r="T25" s="20" t="n">
        <x:v>8</x:v>
      </x:c>
      <x:c r="U25" s="25" t="n">
        <x:v>61</x:v>
      </x:c>
      <x:c r="V25" s="25" t="n">
        <x:v>99</x:v>
      </x:c>
      <x:c r="W25" s="20" t="inlineStr">
        <x:is>
          <x:t xml:space="preserve">B</x:t>
        </x:is>
      </x:c>
      <x:c r="X25" s="20" t="inlineStr">
        <x:is>
          <x:t xml:space="preserve">B</x:t>
        </x:is>
      </x:c>
      <x:c r="Y25" s="25" t="n">
        <x:v>55.5</x:v>
      </x:c>
      <x:c r="Z25" s="20" t="inlineStr">
        <x:is>
          <x:t xml:space="preserve">https://www.fldoe.org/file/18534/SchoolGrades25.xlsx</x:t>
        </x:is>
      </x:c>
    </x:row>
    <x:row r="26">
      <x:c r="A26" s="20" t="inlineStr">
        <x:is>
          <x:t xml:space="preserve">350291</x:t>
        </x:is>
      </x:c>
      <x:c r="B26" s="20" t="inlineStr">
        <x:is>
          <x:t xml:space="preserve">35</x:t>
        </x:is>
      </x:c>
      <x:c r="C26" s="20" t="inlineStr">
        <x:is>
          <x:t xml:space="preserve">LAKE</x:t>
        </x:is>
      </x:c>
      <x:c r="D26" s="20" t="inlineStr">
        <x:is>
          <x:t xml:space="preserve">0291</x:t>
        </x:is>
      </x:c>
      <x:c r="E26" s="20" t="inlineStr">
        <x:is>
          <x:t xml:space="preserve">LEESBURG ELEMENTARY SCHOOL</x:t>
        </x:is>
      </x:c>
      <x:c r="F26" s="20" t="inlineStr">
        <x:is>
          <x:t xml:space="preserve">01</x:t>
        </x:is>
      </x:c>
      <x:c r="G26" s="20" t="inlineStr">
        <x:is>
          <x:t xml:space="preserve">Elementary</x:t>
        </x:is>
      </x:c>
      <x:c r="H26" s="20" t="inlineStr">
        <x:is>
          <x:t xml:space="preserve">NO</x:t>
        </x:is>
      </x:c>
      <x:c r="I26" s="20" t="inlineStr">
        <x:is>
          <x:t xml:space="preserve">YES</x:t>
        </x:is>
      </x:c>
      <x:c r="J26" s="20" t="inlineStr">
        <x:is>
          <x:t xml:space="preserve">N</x:t>
        </x:is>
      </x:c>
      <x:c r="K26" s="25" t="n">
        <x:v>34</x:v>
      </x:c>
      <x:c r="L26" s="25" t="n">
        <x:v>45</x:v>
      </x:c>
      <x:c r="M26" s="25" t="n">
        <x:v>39</x:v>
      </x:c>
      <x:c r="N26" s="25" t="n">
        <x:v>46</x:v>
      </x:c>
      <x:c r="O26" s="25" t="n">
        <x:v>41</x:v>
      </x:c>
      <x:c r="P26" s="25" t="n"/>
      <x:c r="Q26" s="25" t="n"/>
      <x:c r="R26" s="25" t="n"/>
      <x:c r="S26" s="20" t="n">
        <x:v>334</x:v>
      </x:c>
      <x:c r="T26" s="20" t="n">
        <x:v>8</x:v>
      </x:c>
      <x:c r="U26" s="25" t="n">
        <x:v>42</x:v>
      </x:c>
      <x:c r="V26" s="25" t="n">
        <x:v>99</x:v>
      </x:c>
      <x:c r="W26" s="20" t="inlineStr">
        <x:is>
          <x:t xml:space="preserve">C</x:t>
        </x:is>
      </x:c>
      <x:c r="X26" s="20" t="inlineStr">
        <x:is>
          <x:t xml:space="preserve">C</x:t>
        </x:is>
      </x:c>
      <x:c r="Y26" s="25" t="n">
        <x:v>100</x:v>
      </x:c>
      <x:c r="Z26" s="20" t="inlineStr">
        <x:is>
          <x:t xml:space="preserve">https://www.fldoe.org/file/18534/SchoolGrades25.xlsx</x:t>
        </x:is>
      </x:c>
    </x:row>
    <x:row r="27">
      <x:c r="A27" s="20" t="inlineStr">
        <x:is>
          <x:t xml:space="preserve">350351</x:t>
        </x:is>
      </x:c>
      <x:c r="B27" s="20" t="inlineStr">
        <x:is>
          <x:t xml:space="preserve">35</x:t>
        </x:is>
      </x:c>
      <x:c r="C27" s="20" t="inlineStr">
        <x:is>
          <x:t xml:space="preserve">LAKE</x:t>
        </x:is>
      </x:c>
      <x:c r="D27" s="20" t="inlineStr">
        <x:is>
          <x:t xml:space="preserve">0351</x:t>
        </x:is>
      </x:c>
      <x:c r="E27" s="20" t="inlineStr">
        <x:is>
          <x:t xml:space="preserve">CARVER MIDDLE SCHOOL</x:t>
        </x:is>
      </x:c>
      <x:c r="F27" s="20" t="inlineStr">
        <x:is>
          <x:t xml:space="preserve">02</x:t>
        </x:is>
      </x:c>
      <x:c r="G27" s="20" t="inlineStr">
        <x:is>
          <x:t xml:space="preserve">Middle/Junior</x:t>
        </x:is>
      </x:c>
      <x:c r="H27" s="20" t="inlineStr">
        <x:is>
          <x:t xml:space="preserve">NO</x:t>
        </x:is>
      </x:c>
      <x:c r="I27" s="20" t="inlineStr">
        <x:is>
          <x:t xml:space="preserve">YES</x:t>
        </x:is>
      </x:c>
      <x:c r="J27" s="20" t="inlineStr">
        <x:is>
          <x:t xml:space="preserve">N</x:t>
        </x:is>
      </x:c>
      <x:c r="K27" s="25" t="n">
        <x:v>45</x:v>
      </x:c>
      <x:c r="L27" s="25" t="n">
        <x:v>53</x:v>
      </x:c>
      <x:c r="M27" s="25" t="n">
        <x:v>46</x:v>
      </x:c>
      <x:c r="N27" s="25" t="n">
        <x:v>49</x:v>
      </x:c>
      <x:c r="O27" s="25" t="n">
        <x:v>34</x:v>
      </x:c>
      <x:c r="P27" s="25" t="n">
        <x:v>58</x:v>
      </x:c>
      <x:c r="Q27" s="25" t="n"/>
      <x:c r="R27" s="25" t="n"/>
      <x:c r="S27" s="20" t="n">
        <x:v>452</x:v>
      </x:c>
      <x:c r="T27" s="20" t="n">
        <x:v>9</x:v>
      </x:c>
      <x:c r="U27" s="25" t="n">
        <x:v>50</x:v>
      </x:c>
      <x:c r="V27" s="25" t="n">
        <x:v>98</x:v>
      </x:c>
      <x:c r="W27" s="20" t="inlineStr">
        <x:is>
          <x:t xml:space="preserve">C</x:t>
        </x:is>
      </x:c>
      <x:c r="X27" s="20" t="inlineStr">
        <x:is>
          <x:t xml:space="preserve">C</x:t>
        </x:is>
      </x:c>
      <x:c r="Y27" s="25" t="n">
        <x:v>100</x:v>
      </x:c>
      <x:c r="Z27" s="20" t="inlineStr">
        <x:is>
          <x:t xml:space="preserve">https://www.fldoe.org/file/18534/SchoolGrades25.xlsx</x:t>
        </x:is>
      </x:c>
    </x:row>
    <x:row r="28">
      <x:c r="A28" s="20" t="inlineStr">
        <x:is>
          <x:t xml:space="preserve">350382</x:t>
        </x:is>
      </x:c>
      <x:c r="B28" s="20" t="inlineStr">
        <x:is>
          <x:t xml:space="preserve">35</x:t>
        </x:is>
      </x:c>
      <x:c r="C28" s="20" t="inlineStr">
        <x:is>
          <x:t xml:space="preserve">LAKE</x:t>
        </x:is>
      </x:c>
      <x:c r="D28" s="20" t="inlineStr">
        <x:is>
          <x:t xml:space="preserve">0382</x:t>
        </x:is>
      </x:c>
      <x:c r="E28" s="20" t="inlineStr">
        <x:is>
          <x:t xml:space="preserve">GROVELAND ELEMENTARY SCHOOL</x:t>
        </x:is>
      </x:c>
      <x:c r="F28" s="20" t="inlineStr">
        <x:is>
          <x:t xml:space="preserve">01</x:t>
        </x:is>
      </x:c>
      <x:c r="G28" s="20" t="inlineStr">
        <x:is>
          <x:t xml:space="preserve">Elementary</x:t>
        </x:is>
      </x:c>
      <x:c r="H28" s="20" t="inlineStr">
        <x:is>
          <x:t xml:space="preserve">NO</x:t>
        </x:is>
      </x:c>
      <x:c r="I28" s="20" t="inlineStr">
        <x:is>
          <x:t xml:space="preserve">YES</x:t>
        </x:is>
      </x:c>
      <x:c r="J28" s="20" t="inlineStr">
        <x:is>
          <x:t xml:space="preserve">N</x:t>
        </x:is>
      </x:c>
      <x:c r="K28" s="25" t="n">
        <x:v>37</x:v>
      </x:c>
      <x:c r="L28" s="25" t="n">
        <x:v>48</x:v>
      </x:c>
      <x:c r="M28" s="25" t="n">
        <x:v>40</x:v>
      </x:c>
      <x:c r="N28" s="25" t="n">
        <x:v>47</x:v>
      </x:c>
      <x:c r="O28" s="25" t="n">
        <x:v>50</x:v>
      </x:c>
      <x:c r="P28" s="25" t="n"/>
      <x:c r="Q28" s="25" t="n"/>
      <x:c r="R28" s="25" t="n"/>
      <x:c r="S28" s="20" t="n">
        <x:v>359</x:v>
      </x:c>
      <x:c r="T28" s="20" t="n">
        <x:v>8</x:v>
      </x:c>
      <x:c r="U28" s="25" t="n">
        <x:v>45</x:v>
      </x:c>
      <x:c r="V28" s="25" t="n">
        <x:v>99</x:v>
      </x:c>
      <x:c r="W28" s="20" t="inlineStr">
        <x:is>
          <x:t xml:space="preserve">C</x:t>
        </x:is>
      </x:c>
      <x:c r="X28" s="20" t="inlineStr">
        <x:is>
          <x:t xml:space="preserve">C</x:t>
        </x:is>
      </x:c>
      <x:c r="Y28" s="25" t="n">
        <x:v>100</x:v>
      </x:c>
      <x:c r="Z28" s="20" t="inlineStr">
        <x:is>
          <x:t xml:space="preserve">https://www.fldoe.org/file/18534/SchoolGrades25.xlsx</x:t>
        </x:is>
      </x:c>
    </x:row>
    <x:row r="29">
      <x:c r="A29" s="20" t="inlineStr">
        <x:is>
          <x:t xml:space="preserve">350411</x:t>
        </x:is>
      </x:c>
      <x:c r="B29" s="20" t="inlineStr">
        <x:is>
          <x:t xml:space="preserve">35</x:t>
        </x:is>
      </x:c>
      <x:c r="C29" s="20" t="inlineStr">
        <x:is>
          <x:t xml:space="preserve">LAKE</x:t>
        </x:is>
      </x:c>
      <x:c r="D29" s="20" t="inlineStr">
        <x:is>
          <x:t xml:space="preserve">0411</x:t>
        </x:is>
      </x:c>
      <x:c r="E29" s="20" t="inlineStr">
        <x:is>
          <x:t xml:space="preserve">MT. DORA MIDDLE SCHOOL</x:t>
        </x:is>
      </x:c>
      <x:c r="F29" s="20" t="inlineStr">
        <x:is>
          <x:t xml:space="preserve">02</x:t>
        </x:is>
      </x:c>
      <x:c r="G29" s="20" t="inlineStr">
        <x:is>
          <x:t xml:space="preserve">Middle/Junior</x:t>
        </x:is>
      </x:c>
      <x:c r="H29" s="20" t="inlineStr">
        <x:is>
          <x:t xml:space="preserve">NO</x:t>
        </x:is>
      </x:c>
      <x:c r="I29" s="20" t="inlineStr">
        <x:is>
          <x:t xml:space="preserve">NO</x:t>
        </x:is>
      </x:c>
      <x:c r="J29" s="20" t="inlineStr">
        <x:is>
          <x:t xml:space="preserve">N</x:t>
        </x:is>
      </x:c>
      <x:c r="K29" s="25" t="n">
        <x:v>47</x:v>
      </x:c>
      <x:c r="L29" s="25" t="n">
        <x:v>54</x:v>
      </x:c>
      <x:c r="M29" s="25" t="n">
        <x:v>56</x:v>
      </x:c>
      <x:c r="N29" s="25" t="n">
        <x:v>54</x:v>
      </x:c>
      <x:c r="O29" s="25" t="n">
        <x:v>48</x:v>
      </x:c>
      <x:c r="P29" s="25" t="n">
        <x:v>60</x:v>
      </x:c>
      <x:c r="Q29" s="25" t="n"/>
      <x:c r="R29" s="25" t="n"/>
      <x:c r="S29" s="20" t="n">
        <x:v>498</x:v>
      </x:c>
      <x:c r="T29" s="20" t="n">
        <x:v>9</x:v>
      </x:c>
      <x:c r="U29" s="25" t="n">
        <x:v>55</x:v>
      </x:c>
      <x:c r="V29" s="25" t="n">
        <x:v>96</x:v>
      </x:c>
      <x:c r="W29" s="20" t="inlineStr">
        <x:is>
          <x:t xml:space="preserve">C</x:t>
        </x:is>
      </x:c>
      <x:c r="X29" s="20" t="inlineStr">
        <x:is>
          <x:t xml:space="preserve">B</x:t>
        </x:is>
      </x:c>
      <x:c r="Y29" s="25" t="n">
        <x:v>86.59999999999999</x:v>
      </x:c>
      <x:c r="Z29" s="20" t="inlineStr">
        <x:is>
          <x:t xml:space="preserve">https://www.fldoe.org/file/18534/SchoolGrades25.xlsx</x:t>
        </x:is>
      </x:c>
    </x:row>
    <x:row r="30">
      <x:c r="A30" s="20" t="inlineStr">
        <x:is>
          <x:t xml:space="preserve">350431</x:t>
        </x:is>
      </x:c>
      <x:c r="B30" s="20" t="inlineStr">
        <x:is>
          <x:t xml:space="preserve">35</x:t>
        </x:is>
      </x:c>
      <x:c r="C30" s="20" t="inlineStr">
        <x:is>
          <x:t xml:space="preserve">LAKE</x:t>
        </x:is>
      </x:c>
      <x:c r="D30" s="20" t="inlineStr">
        <x:is>
          <x:t xml:space="preserve">0431</x:t>
        </x:is>
      </x:c>
      <x:c r="E30" s="20" t="inlineStr">
        <x:is>
          <x:t xml:space="preserve">LAKE POINTE ACADEMY</x:t>
        </x:is>
      </x:c>
      <x:c r="F30" s="20" t="inlineStr">
        <x:is>
          <x:t xml:space="preserve">04</x:t>
        </x:is>
      </x:c>
      <x:c r="G30" s="20" t="inlineStr">
        <x:is>
          <x:t xml:space="preserve">Combination</x:t>
        </x:is>
      </x:c>
      <x:c r="H30" s="20" t="inlineStr">
        <x:is>
          <x:t xml:space="preserve">NO</x:t>
        </x:is>
      </x:c>
      <x:c r="I30" s="20" t="inlineStr">
        <x:is>
          <x:t xml:space="preserve">NO</x:t>
        </x:is>
      </x:c>
      <x:c r="J30" s="20" t="inlineStr">
        <x:is>
          <x:t xml:space="preserve">N</x:t>
        </x:is>
      </x:c>
      <x:c r="K30" s="25" t="n">
        <x:v>44</x:v>
      </x:c>
      <x:c r="L30" s="25" t="n">
        <x:v>52</x:v>
      </x:c>
      <x:c r="M30" s="25" t="n">
        <x:v>54</x:v>
      </x:c>
      <x:c r="N30" s="25" t="n">
        <x:v>66</x:v>
      </x:c>
      <x:c r="O30" s="25" t="n">
        <x:v>38</x:v>
      </x:c>
      <x:c r="P30" s="25" t="n">
        <x:v>73</x:v>
      </x:c>
      <x:c r="Q30" s="25" t="n"/>
      <x:c r="R30" s="25" t="n"/>
      <x:c r="S30" s="20" t="n">
        <x:v>534</x:v>
      </x:c>
      <x:c r="T30" s="20" t="n">
        <x:v>10</x:v>
      </x:c>
      <x:c r="U30" s="25" t="n">
        <x:v>53</x:v>
      </x:c>
      <x:c r="V30" s="25" t="n">
        <x:v>96</x:v>
      </x:c>
      <x:c r="W30" s="20" t="inlineStr">
        <x:is>
          <x:t xml:space="preserve">C</x:t>
        </x:is>
      </x:c>
      <x:c r="X30" s="20" t="inlineStr">
        <x:is>
          <x:t xml:space="preserve">C</x:t>
        </x:is>
      </x:c>
      <x:c r="Y30" s="25" t="n">
        <x:v>81.09999999999999</x:v>
      </x:c>
      <x:c r="Z30" s="20" t="inlineStr">
        <x:is>
          <x:t xml:space="preserve">https://www.fldoe.org/file/18534/SchoolGrades25.xlsx</x:t>
        </x:is>
      </x:c>
    </x:row>
    <x:row r="31">
      <x:c r="A31" s="20" t="inlineStr">
        <x:is>
          <x:t xml:space="preserve">350471</x:t>
        </x:is>
      </x:c>
      <x:c r="B31" s="20" t="inlineStr">
        <x:is>
          <x:t xml:space="preserve">35</x:t>
        </x:is>
      </x:c>
      <x:c r="C31" s="20" t="inlineStr">
        <x:is>
          <x:t xml:space="preserve">LAKE</x:t>
        </x:is>
      </x:c>
      <x:c r="D31" s="20" t="inlineStr">
        <x:is>
          <x:t xml:space="preserve">0471</x:t>
        </x:is>
      </x:c>
      <x:c r="E31" s="20" t="inlineStr">
        <x:is>
          <x:t xml:space="preserve">AURELIA M. COLE ACADEMY</x:t>
        </x:is>
      </x:c>
      <x:c r="F31" s="20" t="inlineStr">
        <x:is>
          <x:t xml:space="preserve">04</x:t>
        </x:is>
      </x:c>
      <x:c r="G31" s="20" t="inlineStr">
        <x:is>
          <x:t xml:space="preserve">Combination</x:t>
        </x:is>
      </x:c>
      <x:c r="H31" s="20" t="inlineStr">
        <x:is>
          <x:t xml:space="preserve">NO</x:t>
        </x:is>
      </x:c>
      <x:c r="I31" s="20" t="inlineStr">
        <x:is>
          <x:t xml:space="preserve">NO</x:t>
        </x:is>
      </x:c>
      <x:c r="J31" s="20" t="inlineStr">
        <x:is>
          <x:t xml:space="preserve">N</x:t>
        </x:is>
      </x:c>
      <x:c r="K31" s="25" t="n">
        <x:v>56</x:v>
      </x:c>
      <x:c r="L31" s="25" t="n">
        <x:v>57</x:v>
      </x:c>
      <x:c r="M31" s="25" t="n">
        <x:v>62</x:v>
      </x:c>
      <x:c r="N31" s="25" t="n">
        <x:v>60</x:v>
      </x:c>
      <x:c r="O31" s="25" t="n">
        <x:v>53</x:v>
      </x:c>
      <x:c r="P31" s="25" t="n">
        <x:v>79</x:v>
      </x:c>
      <x:c r="Q31" s="25" t="n"/>
      <x:c r="R31" s="25" t="n"/>
      <x:c r="S31" s="20" t="n">
        <x:v>615</x:v>
      </x:c>
      <x:c r="T31" s="20" t="n">
        <x:v>10</x:v>
      </x:c>
      <x:c r="U31" s="25" t="n">
        <x:v>62</x:v>
      </x:c>
      <x:c r="V31" s="25" t="n">
        <x:v>96</x:v>
      </x:c>
      <x:c r="W31" s="20" t="inlineStr">
        <x:is>
          <x:t xml:space="preserve">B</x:t>
        </x:is>
      </x:c>
      <x:c r="X31" s="20" t="inlineStr">
        <x:is>
          <x:t xml:space="preserve">C</x:t>
        </x:is>
      </x:c>
      <x:c r="Y31" s="25" t="n">
        <x:v>83.59999999999999</x:v>
      </x:c>
      <x:c r="Z31" s="20" t="inlineStr">
        <x:is>
          <x:t xml:space="preserve">https://www.fldoe.org/file/18534/SchoolGrades25.xlsx</x:t>
        </x:is>
      </x:c>
    </x:row>
    <x:row r="32">
      <x:c r="A32" s="20" t="inlineStr">
        <x:is>
          <x:t xml:space="preserve">350481</x:t>
        </x:is>
      </x:c>
      <x:c r="B32" s="20" t="inlineStr">
        <x:is>
          <x:t xml:space="preserve">35</x:t>
        </x:is>
      </x:c>
      <x:c r="C32" s="20" t="inlineStr">
        <x:is>
          <x:t xml:space="preserve">LAKE</x:t>
        </x:is>
      </x:c>
      <x:c r="D32" s="20" t="inlineStr">
        <x:is>
          <x:t xml:space="preserve">0481</x:t>
        </x:is>
      </x:c>
      <x:c r="E32" s="20" t="inlineStr">
        <x:is>
          <x:t xml:space="preserve">WINDY HILL MIDDLE SCHOOL</x:t>
        </x:is>
      </x:c>
      <x:c r="F32" s="20" t="inlineStr">
        <x:is>
          <x:t xml:space="preserve">02</x:t>
        </x:is>
      </x:c>
      <x:c r="G32" s="20" t="inlineStr">
        <x:is>
          <x:t xml:space="preserve">Middle/Junior</x:t>
        </x:is>
      </x:c>
      <x:c r="H32" s="20" t="inlineStr">
        <x:is>
          <x:t xml:space="preserve">NO</x:t>
        </x:is>
      </x:c>
      <x:c r="I32" s="20" t="inlineStr">
        <x:is>
          <x:t xml:space="preserve">NO</x:t>
        </x:is>
      </x:c>
      <x:c r="J32" s="20" t="inlineStr">
        <x:is>
          <x:t xml:space="preserve">N</x:t>
        </x:is>
      </x:c>
      <x:c r="K32" s="25" t="n">
        <x:v>62</x:v>
      </x:c>
      <x:c r="L32" s="25" t="n">
        <x:v>62</x:v>
      </x:c>
      <x:c r="M32" s="25" t="n">
        <x:v>64</x:v>
      </x:c>
      <x:c r="N32" s="25" t="n">
        <x:v>61</x:v>
      </x:c>
      <x:c r="O32" s="25" t="n">
        <x:v>59</x:v>
      </x:c>
      <x:c r="P32" s="25" t="n">
        <x:v>74</x:v>
      </x:c>
      <x:c r="Q32" s="25" t="n"/>
      <x:c r="R32" s="25" t="n"/>
      <x:c r="S32" s="20" t="n">
        <x:v>571</x:v>
      </x:c>
      <x:c r="T32" s="20" t="n">
        <x:v>9</x:v>
      </x:c>
      <x:c r="U32" s="25" t="n">
        <x:v>63</x:v>
      </x:c>
      <x:c r="V32" s="25" t="n">
        <x:v>99</x:v>
      </x:c>
      <x:c r="W32" s="20" t="inlineStr">
        <x:is>
          <x:t xml:space="preserve">B</x:t>
        </x:is>
      </x:c>
      <x:c r="X32" s="20" t="inlineStr">
        <x:is>
          <x:t xml:space="preserve">B</x:t>
        </x:is>
      </x:c>
      <x:c r="Y32" s="25" t="n">
        <x:v>51.3</x:v>
      </x:c>
      <x:c r="Z32" s="20" t="inlineStr">
        <x:is>
          <x:t xml:space="preserve">https://www.fldoe.org/file/18534/SchoolGrades25.xlsx</x:t>
        </x:is>
      </x:c>
    </x:row>
    <x:row r="33">
      <x:c r="A33" s="20" t="inlineStr">
        <x:is>
          <x:t xml:space="preserve">350521</x:t>
        </x:is>
      </x:c>
      <x:c r="B33" s="20" t="inlineStr">
        <x:is>
          <x:t xml:space="preserve">35</x:t>
        </x:is>
      </x:c>
      <x:c r="C33" s="20" t="inlineStr">
        <x:is>
          <x:t xml:space="preserve">LAKE</x:t>
        </x:is>
      </x:c>
      <x:c r="D33" s="20" t="inlineStr">
        <x:is>
          <x:t xml:space="preserve">0521</x:t>
        </x:is>
      </x:c>
      <x:c r="E33" s="20" t="inlineStr">
        <x:is>
          <x:t xml:space="preserve">TRIANGLE ELEMENTARY SCHOOL</x:t>
        </x:is>
      </x:c>
      <x:c r="F33" s="20" t="inlineStr">
        <x:is>
          <x:t xml:space="preserve">01</x:t>
        </x:is>
      </x:c>
      <x:c r="G33" s="20" t="inlineStr">
        <x:is>
          <x:t xml:space="preserve">Elementary</x:t>
        </x:is>
      </x:c>
      <x:c r="H33" s="20" t="inlineStr">
        <x:is>
          <x:t xml:space="preserve">NO</x:t>
        </x:is>
      </x:c>
      <x:c r="I33" s="20" t="inlineStr">
        <x:is>
          <x:t xml:space="preserve">YES</x:t>
        </x:is>
      </x:c>
      <x:c r="J33" s="20" t="inlineStr">
        <x:is>
          <x:t xml:space="preserve">N</x:t>
        </x:is>
      </x:c>
      <x:c r="K33" s="25" t="n">
        <x:v>38</x:v>
      </x:c>
      <x:c r="L33" s="25" t="n">
        <x:v>48</x:v>
      </x:c>
      <x:c r="M33" s="25" t="n">
        <x:v>37</x:v>
      </x:c>
      <x:c r="N33" s="25" t="n">
        <x:v>45</x:v>
      </x:c>
      <x:c r="O33" s="25" t="n">
        <x:v>47</x:v>
      </x:c>
      <x:c r="P33" s="25" t="n"/>
      <x:c r="Q33" s="25" t="n"/>
      <x:c r="R33" s="25" t="n"/>
      <x:c r="S33" s="20" t="n">
        <x:v>347</x:v>
      </x:c>
      <x:c r="T33" s="20" t="n">
        <x:v>8</x:v>
      </x:c>
      <x:c r="U33" s="25" t="n">
        <x:v>43</x:v>
      </x:c>
      <x:c r="V33" s="25" t="n">
        <x:v>97</x:v>
      </x:c>
      <x:c r="W33" s="20" t="inlineStr">
        <x:is>
          <x:t xml:space="preserve">C</x:t>
        </x:is>
      </x:c>
      <x:c r="X33" s="20" t="inlineStr">
        <x:is>
          <x:t xml:space="preserve">C</x:t>
        </x:is>
      </x:c>
      <x:c r="Y33" s="25" t="n">
        <x:v>100</x:v>
      </x:c>
      <x:c r="Z33" s="20" t="inlineStr">
        <x:is>
          <x:t xml:space="preserve">https://www.fldoe.org/file/18534/SchoolGrades25.xlsx</x:t>
        </x:is>
      </x:c>
    </x:row>
    <x:row r="34">
      <x:c r="A34" s="20" t="inlineStr">
        <x:is>
          <x:t xml:space="preserve">350541</x:t>
        </x:is>
      </x:c>
      <x:c r="B34" s="20" t="inlineStr">
        <x:is>
          <x:t xml:space="preserve">35</x:t>
        </x:is>
      </x:c>
      <x:c r="C34" s="20" t="inlineStr">
        <x:is>
          <x:t xml:space="preserve">LAKE</x:t>
        </x:is>
      </x:c>
      <x:c r="D34" s="20" t="inlineStr">
        <x:is>
          <x:t xml:space="preserve">0541</x:t>
        </x:is>
      </x:c>
      <x:c r="E34" s="20" t="inlineStr">
        <x:is>
          <x:t xml:space="preserve">MASCOTTE CHARTER SCHOOL</x:t>
        </x:is>
      </x:c>
      <x:c r="F34" s="20" t="inlineStr">
        <x:is>
          <x:t xml:space="preserve">01</x:t>
        </x:is>
      </x:c>
      <x:c r="G34" s="20" t="inlineStr">
        <x:is>
          <x:t xml:space="preserve">Elementary</x:t>
        </x:is>
      </x:c>
      <x:c r="H34" s="20" t="inlineStr">
        <x:is>
          <x:t xml:space="preserve">YES</x:t>
        </x:is>
      </x:c>
      <x:c r="I34" s="20" t="inlineStr">
        <x:is>
          <x:t xml:space="preserve">NO</x:t>
        </x:is>
      </x:c>
      <x:c r="J34" s="20" t="inlineStr">
        <x:is>
          <x:t xml:space="preserve">N</x:t>
        </x:is>
      </x:c>
      <x:c r="K34" s="25" t="n">
        <x:v>56</x:v>
      </x:c>
      <x:c r="L34" s="25" t="n">
        <x:v>58</x:v>
      </x:c>
      <x:c r="M34" s="25" t="n">
        <x:v>63</x:v>
      </x:c>
      <x:c r="N34" s="25" t="n">
        <x:v>69</x:v>
      </x:c>
      <x:c r="O34" s="25" t="n">
        <x:v>47</x:v>
      </x:c>
      <x:c r="P34" s="25" t="n"/>
      <x:c r="Q34" s="25" t="n"/>
      <x:c r="R34" s="25" t="n"/>
      <x:c r="S34" s="20" t="n">
        <x:v>471</x:v>
      </x:c>
      <x:c r="T34" s="20" t="n">
        <x:v>8</x:v>
      </x:c>
      <x:c r="U34" s="25" t="n">
        <x:v>59</x:v>
      </x:c>
      <x:c r="V34" s="25" t="n">
        <x:v>99</x:v>
      </x:c>
      <x:c r="W34" s="20" t="inlineStr">
        <x:is>
          <x:t xml:space="preserve">B</x:t>
        </x:is>
      </x:c>
      <x:c r="X34" s="20" t="inlineStr">
        <x:is>
          <x:t xml:space="preserve">C</x:t>
        </x:is>
      </x:c>
      <x:c r="Y34" s="25" t="n">
        <x:v>100</x:v>
      </x:c>
      <x:c r="Z34" s="20" t="inlineStr">
        <x:is>
          <x:t xml:space="preserve">https://www.fldoe.org/file/18534/SchoolGrades25.xlsx</x:t>
        </x:is>
      </x:c>
    </x:row>
    <x:row r="35">
      <x:c r="A35" s="20" t="inlineStr">
        <x:is>
          <x:t xml:space="preserve">350551</x:t>
        </x:is>
      </x:c>
      <x:c r="B35" s="20" t="inlineStr">
        <x:is>
          <x:t xml:space="preserve">35</x:t>
        </x:is>
      </x:c>
      <x:c r="C35" s="20" t="inlineStr">
        <x:is>
          <x:t xml:space="preserve">LAKE</x:t>
        </x:is>
      </x:c>
      <x:c r="D35" s="20" t="inlineStr">
        <x:is>
          <x:t xml:space="preserve">0551</x:t>
        </x:is>
      </x:c>
      <x:c r="E35" s="20" t="inlineStr">
        <x:is>
          <x:t xml:space="preserve">TAVARES ELEMENTARY SCHOOL</x:t>
        </x:is>
      </x:c>
      <x:c r="F35" s="20" t="inlineStr">
        <x:is>
          <x:t xml:space="preserve">01</x:t>
        </x:is>
      </x:c>
      <x:c r="G35" s="20" t="inlineStr">
        <x:is>
          <x:t xml:space="preserve">Elementary</x:t>
        </x:is>
      </x:c>
      <x:c r="H35" s="20" t="inlineStr">
        <x:is>
          <x:t xml:space="preserve">NO</x:t>
        </x:is>
      </x:c>
      <x:c r="I35" s="20" t="inlineStr">
        <x:is>
          <x:t xml:space="preserve">YES</x:t>
        </x:is>
      </x:c>
      <x:c r="J35" s="20" t="inlineStr">
        <x:is>
          <x:t xml:space="preserve">N</x:t>
        </x:is>
      </x:c>
      <x:c r="K35" s="25" t="n">
        <x:v>49</x:v>
      </x:c>
      <x:c r="L35" s="25" t="n">
        <x:v>60</x:v>
      </x:c>
      <x:c r="M35" s="25" t="n">
        <x:v>50</x:v>
      </x:c>
      <x:c r="N35" s="25" t="n">
        <x:v>58</x:v>
      </x:c>
      <x:c r="O35" s="25" t="n">
        <x:v>60</x:v>
      </x:c>
      <x:c r="P35" s="25" t="n"/>
      <x:c r="Q35" s="25" t="n"/>
      <x:c r="R35" s="25" t="n"/>
      <x:c r="S35" s="20" t="n">
        <x:v>420</x:v>
      </x:c>
      <x:c r="T35" s="20" t="n">
        <x:v>8</x:v>
      </x:c>
      <x:c r="U35" s="25" t="n">
        <x:v>53</x:v>
      </x:c>
      <x:c r="V35" s="25" t="n">
        <x:v>99</x:v>
      </x:c>
      <x:c r="W35" s="20" t="inlineStr">
        <x:is>
          <x:t xml:space="preserve">C</x:t>
        </x:is>
      </x:c>
      <x:c r="X35" s="20" t="inlineStr">
        <x:is>
          <x:t xml:space="preserve">C</x:t>
        </x:is>
      </x:c>
      <x:c r="Y35" s="25" t="n">
        <x:v>100</x:v>
      </x:c>
      <x:c r="Z35" s="20" t="inlineStr">
        <x:is>
          <x:t xml:space="preserve">https://www.fldoe.org/file/18534/SchoolGrades25.xlsx</x:t>
        </x:is>
      </x:c>
    </x:row>
    <x:row r="36">
      <x:c r="A36" s="20" t="inlineStr">
        <x:is>
          <x:t xml:space="preserve">350561</x:t>
        </x:is>
      </x:c>
      <x:c r="B36" s="20" t="inlineStr">
        <x:is>
          <x:t xml:space="preserve">35</x:t>
        </x:is>
      </x:c>
      <x:c r="C36" s="20" t="inlineStr">
        <x:is>
          <x:t xml:space="preserve">LAKE</x:t>
        </x:is>
      </x:c>
      <x:c r="D36" s="20" t="inlineStr">
        <x:is>
          <x:t xml:space="preserve">0561</x:t>
        </x:is>
      </x:c>
      <x:c r="E36" s="20" t="inlineStr">
        <x:is>
          <x:t xml:space="preserve">UMATILLA ELEMENTARY SCHOOL</x:t>
        </x:is>
      </x:c>
      <x:c r="F36" s="20" t="inlineStr">
        <x:is>
          <x:t xml:space="preserve">01</x:t>
        </x:is>
      </x:c>
      <x:c r="G36" s="20" t="inlineStr">
        <x:is>
          <x:t xml:space="preserve">Elementary</x:t>
        </x:is>
      </x:c>
      <x:c r="H36" s="20" t="inlineStr">
        <x:is>
          <x:t xml:space="preserve">NO</x:t>
        </x:is>
      </x:c>
      <x:c r="I36" s="20" t="inlineStr">
        <x:is>
          <x:t xml:space="preserve">NO</x:t>
        </x:is>
      </x:c>
      <x:c r="J36" s="20" t="inlineStr">
        <x:is>
          <x:t xml:space="preserve">N</x:t>
        </x:is>
      </x:c>
      <x:c r="K36" s="25" t="n">
        <x:v>51</x:v>
      </x:c>
      <x:c r="L36" s="25" t="n">
        <x:v>55</x:v>
      </x:c>
      <x:c r="M36" s="25" t="n">
        <x:v>64</x:v>
      </x:c>
      <x:c r="N36" s="25" t="n">
        <x:v>70</x:v>
      </x:c>
      <x:c r="O36" s="25" t="n">
        <x:v>53</x:v>
      </x:c>
      <x:c r="P36" s="25" t="n"/>
      <x:c r="Q36" s="25" t="n"/>
      <x:c r="R36" s="25" t="n"/>
      <x:c r="S36" s="20" t="n">
        <x:v>453</x:v>
      </x:c>
      <x:c r="T36" s="20" t="n">
        <x:v>8</x:v>
      </x:c>
      <x:c r="U36" s="25" t="n">
        <x:v>57</x:v>
      </x:c>
      <x:c r="V36" s="25" t="n">
        <x:v>96</x:v>
      </x:c>
      <x:c r="W36" s="20" t="inlineStr">
        <x:is>
          <x:t xml:space="preserve">B</x:t>
        </x:is>
      </x:c>
      <x:c r="X36" s="20" t="inlineStr">
        <x:is>
          <x:t xml:space="preserve">B</x:t>
        </x:is>
      </x:c>
      <x:c r="Y36" s="25" t="n">
        <x:v>99.40000000000001</x:v>
      </x:c>
      <x:c r="Z36" s="20" t="inlineStr">
        <x:is>
          <x:t xml:space="preserve">https://www.fldoe.org/file/18534/SchoolGrades25.xlsx</x:t>
        </x:is>
      </x:c>
    </x:row>
    <x:row r="37">
      <x:c r="A37" s="20" t="inlineStr">
        <x:is>
          <x:t xml:space="preserve">350571</x:t>
        </x:is>
      </x:c>
      <x:c r="B37" s="20" t="inlineStr">
        <x:is>
          <x:t xml:space="preserve">35</x:t>
        </x:is>
      </x:c>
      <x:c r="C37" s="20" t="inlineStr">
        <x:is>
          <x:t xml:space="preserve">LAKE</x:t>
        </x:is>
      </x:c>
      <x:c r="D37" s="20" t="inlineStr">
        <x:is>
          <x:t xml:space="preserve">0571</x:t>
        </x:is>
      </x:c>
      <x:c r="E37" s="20" t="inlineStr">
        <x:is>
          <x:t xml:space="preserve">UMATILLA MIDDLE SCHOOL</x:t>
        </x:is>
      </x:c>
      <x:c r="F37" s="20" t="inlineStr">
        <x:is>
          <x:t xml:space="preserve">02</x:t>
        </x:is>
      </x:c>
      <x:c r="G37" s="20" t="inlineStr">
        <x:is>
          <x:t xml:space="preserve">Middle/Junior</x:t>
        </x:is>
      </x:c>
      <x:c r="H37" s="20" t="inlineStr">
        <x:is>
          <x:t xml:space="preserve">NO</x:t>
        </x:is>
      </x:c>
      <x:c r="I37" s="20" t="inlineStr">
        <x:is>
          <x:t xml:space="preserve">YES</x:t>
        </x:is>
      </x:c>
      <x:c r="J37" s="20" t="inlineStr">
        <x:is>
          <x:t xml:space="preserve">N</x:t>
        </x:is>
      </x:c>
      <x:c r="K37" s="25" t="n">
        <x:v>49</x:v>
      </x:c>
      <x:c r="L37" s="25" t="n">
        <x:v>54</x:v>
      </x:c>
      <x:c r="M37" s="25" t="n">
        <x:v>62</x:v>
      </x:c>
      <x:c r="N37" s="25" t="n">
        <x:v>57</x:v>
      </x:c>
      <x:c r="O37" s="25" t="n">
        <x:v>52</x:v>
      </x:c>
      <x:c r="P37" s="25" t="n">
        <x:v>75</x:v>
      </x:c>
      <x:c r="Q37" s="25" t="n"/>
      <x:c r="R37" s="25" t="n"/>
      <x:c r="S37" s="20" t="n">
        <x:v>538</x:v>
      </x:c>
      <x:c r="T37" s="20" t="n">
        <x:v>9</x:v>
      </x:c>
      <x:c r="U37" s="25" t="n">
        <x:v>60</x:v>
      </x:c>
      <x:c r="V37" s="25" t="n">
        <x:v>97</x:v>
      </x:c>
      <x:c r="W37" s="20" t="inlineStr">
        <x:is>
          <x:t xml:space="preserve">B</x:t>
        </x:is>
      </x:c>
      <x:c r="X37" s="20" t="inlineStr">
        <x:is>
          <x:t xml:space="preserve">B</x:t>
        </x:is>
      </x:c>
      <x:c r="Y37" s="25" t="n">
        <x:v>91.90000000000001</x:v>
      </x:c>
      <x:c r="Z37" s="20" t="inlineStr">
        <x:is>
          <x:t xml:space="preserve">https://www.fldoe.org/file/18534/SchoolGrades25.xlsx</x:t>
        </x:is>
      </x:c>
    </x:row>
    <x:row r="38">
      <x:c r="A38" s="20" t="inlineStr">
        <x:is>
          <x:t xml:space="preserve">350591</x:t>
        </x:is>
      </x:c>
      <x:c r="B38" s="20" t="inlineStr">
        <x:is>
          <x:t xml:space="preserve">35</x:t>
        </x:is>
      </x:c>
      <x:c r="C38" s="20" t="inlineStr">
        <x:is>
          <x:t xml:space="preserve">LAKE</x:t>
        </x:is>
      </x:c>
      <x:c r="D38" s="20" t="inlineStr">
        <x:is>
          <x:t xml:space="preserve">0591</x:t>
        </x:is>
      </x:c>
      <x:c r="E38" s="20" t="inlineStr">
        <x:is>
          <x:t xml:space="preserve">PINE RIDGE ELEMENTARY SCHOOL</x:t>
        </x:is>
      </x:c>
      <x:c r="F38" s="20" t="inlineStr">
        <x:is>
          <x:t xml:space="preserve">01</x:t>
        </x:is>
      </x:c>
      <x:c r="G38" s="20" t="inlineStr">
        <x:is>
          <x:t xml:space="preserve">Elementary</x:t>
        </x:is>
      </x:c>
      <x:c r="H38" s="20" t="inlineStr">
        <x:is>
          <x:t xml:space="preserve">NO</x:t>
        </x:is>
      </x:c>
      <x:c r="I38" s="20" t="inlineStr">
        <x:is>
          <x:t xml:space="preserve">NO</x:t>
        </x:is>
      </x:c>
      <x:c r="J38" s="20" t="inlineStr">
        <x:is>
          <x:t xml:space="preserve">N</x:t>
        </x:is>
      </x:c>
      <x:c r="K38" s="25" t="n">
        <x:v>55</x:v>
      </x:c>
      <x:c r="L38" s="25" t="n">
        <x:v>63</x:v>
      </x:c>
      <x:c r="M38" s="25" t="n">
        <x:v>65</x:v>
      </x:c>
      <x:c r="N38" s="25" t="n">
        <x:v>63</x:v>
      </x:c>
      <x:c r="O38" s="25" t="n">
        <x:v>75</x:v>
      </x:c>
      <x:c r="P38" s="25" t="n"/>
      <x:c r="Q38" s="25" t="n"/>
      <x:c r="R38" s="25" t="n"/>
      <x:c r="S38" s="20" t="n">
        <x:v>470</x:v>
      </x:c>
      <x:c r="T38" s="20" t="n">
        <x:v>8</x:v>
      </x:c>
      <x:c r="U38" s="25" t="n">
        <x:v>59</x:v>
      </x:c>
      <x:c r="V38" s="25" t="n">
        <x:v>99</x:v>
      </x:c>
      <x:c r="W38" s="20" t="inlineStr">
        <x:is>
          <x:t xml:space="preserve">B</x:t>
        </x:is>
      </x:c>
      <x:c r="X38" s="20" t="inlineStr">
        <x:is>
          <x:t xml:space="preserve">B</x:t>
        </x:is>
      </x:c>
      <x:c r="Y38" s="25" t="n">
        <x:v>66.5</x:v>
      </x:c>
      <x:c r="Z38" s="20" t="inlineStr">
        <x:is>
          <x:t xml:space="preserve">https://www.fldoe.org/file/18534/SchoolGrades25.xlsx</x:t>
        </x:is>
      </x:c>
    </x:row>
    <x:row r="39">
      <x:c r="A39" s="20" t="inlineStr">
        <x:is>
          <x:t xml:space="preserve">350597</x:t>
        </x:is>
      </x:c>
      <x:c r="B39" s="20" t="inlineStr">
        <x:is>
          <x:t xml:space="preserve">35</x:t>
        </x:is>
      </x:c>
      <x:c r="C39" s="20" t="inlineStr">
        <x:is>
          <x:t xml:space="preserve">LAKE</x:t>
        </x:is>
      </x:c>
      <x:c r="D39" s="20" t="inlineStr">
        <x:is>
          <x:t xml:space="preserve">0597</x:t>
        </x:is>
      </x:c>
      <x:c r="E39" s="20" t="inlineStr">
        <x:is>
          <x:t xml:space="preserve">CYPRESS RIDGE ELEMENTARY SCHOOL</x:t>
        </x:is>
      </x:c>
      <x:c r="F39" s="20" t="inlineStr">
        <x:is>
          <x:t xml:space="preserve">01</x:t>
        </x:is>
      </x:c>
      <x:c r="G39" s="20" t="inlineStr">
        <x:is>
          <x:t xml:space="preserve">Elementary</x:t>
        </x:is>
      </x:c>
      <x:c r="H39" s="20" t="inlineStr">
        <x:is>
          <x:t xml:space="preserve">NO</x:t>
        </x:is>
      </x:c>
      <x:c r="I39" s="20" t="inlineStr">
        <x:is>
          <x:t xml:space="preserve">NO</x:t>
        </x:is>
      </x:c>
      <x:c r="J39" s="20" t="inlineStr">
        <x:is>
          <x:t xml:space="preserve">N</x:t>
        </x:is>
      </x:c>
      <x:c r="K39" s="25" t="n">
        <x:v>76</x:v>
      </x:c>
      <x:c r="L39" s="25" t="n">
        <x:v>62</x:v>
      </x:c>
      <x:c r="M39" s="25" t="n">
        <x:v>86</x:v>
      </x:c>
      <x:c r="N39" s="25" t="n">
        <x:v>80</x:v>
      </x:c>
      <x:c r="O39" s="25" t="n">
        <x:v>83</x:v>
      </x:c>
      <x:c r="P39" s="25" t="n"/>
      <x:c r="Q39" s="25" t="n"/>
      <x:c r="R39" s="25" t="n"/>
      <x:c r="S39" s="20" t="n">
        <x:v>582</x:v>
      </x:c>
      <x:c r="T39" s="20" t="n">
        <x:v>8</x:v>
      </x:c>
      <x:c r="U39" s="25" t="n">
        <x:v>73</x:v>
      </x:c>
      <x:c r="V39" s="25" t="n">
        <x:v>100</x:v>
      </x:c>
      <x:c r="W39" s="20" t="inlineStr">
        <x:is>
          <x:t xml:space="preserve">A</x:t>
        </x:is>
      </x:c>
      <x:c r="X39" s="20" t="inlineStr">
        <x:is>
          <x:t xml:space="preserve">A</x:t>
        </x:is>
      </x:c>
      <x:c r="Y39" s="25" t="n">
        <x:v>35.9</x:v>
      </x:c>
      <x:c r="Z39" s="20" t="inlineStr">
        <x:is>
          <x:t xml:space="preserve">https://www.fldoe.org/file/18534/SchoolGrades25.xlsx</x:t>
        </x:is>
      </x:c>
    </x:row>
    <x:row r="40">
      <x:c r="A40" s="20" t="inlineStr">
        <x:is>
          <x:t xml:space="preserve">350631</x:t>
        </x:is>
      </x:c>
      <x:c r="B40" s="20" t="inlineStr">
        <x:is>
          <x:t xml:space="preserve">35</x:t>
        </x:is>
      </x:c>
      <x:c r="C40" s="20" t="inlineStr">
        <x:is>
          <x:t xml:space="preserve">LAKE</x:t>
        </x:is>
      </x:c>
      <x:c r="D40" s="20" t="inlineStr">
        <x:is>
          <x:t xml:space="preserve">0631</x:t>
        </x:is>
      </x:c>
      <x:c r="E40" s="20" t="inlineStr">
        <x:is>
          <x:t xml:space="preserve">SPRING CREEK CHARTER SCHOOL</x:t>
        </x:is>
      </x:c>
      <x:c r="F40" s="20" t="inlineStr">
        <x:is>
          <x:t xml:space="preserve">04</x:t>
        </x:is>
      </x:c>
      <x:c r="G40" s="20" t="inlineStr">
        <x:is>
          <x:t xml:space="preserve">Combination</x:t>
        </x:is>
      </x:c>
      <x:c r="H40" s="20" t="inlineStr">
        <x:is>
          <x:t xml:space="preserve">YES</x:t>
        </x:is>
      </x:c>
      <x:c r="I40" s="20" t="inlineStr">
        <x:is>
          <x:t xml:space="preserve">YES</x:t>
        </x:is>
      </x:c>
      <x:c r="J40" s="20" t="inlineStr">
        <x:is>
          <x:t xml:space="preserve">N</x:t>
        </x:is>
      </x:c>
      <x:c r="K40" s="25" t="n">
        <x:v>54</x:v>
      </x:c>
      <x:c r="L40" s="25" t="n">
        <x:v>62</x:v>
      </x:c>
      <x:c r="M40" s="25" t="n">
        <x:v>57</x:v>
      </x:c>
      <x:c r="N40" s="25" t="n">
        <x:v>67</x:v>
      </x:c>
      <x:c r="O40" s="25" t="n">
        <x:v>51</x:v>
      </x:c>
      <x:c r="P40" s="25" t="n">
        <x:v>55</x:v>
      </x:c>
      <x:c r="Q40" s="25" t="n"/>
      <x:c r="R40" s="25" t="n"/>
      <x:c r="S40" s="20" t="n">
        <x:v>581</x:v>
      </x:c>
      <x:c r="T40" s="20" t="n">
        <x:v>10</x:v>
      </x:c>
      <x:c r="U40" s="25" t="n">
        <x:v>58</x:v>
      </x:c>
      <x:c r="V40" s="25" t="n">
        <x:v>100</x:v>
      </x:c>
      <x:c r="W40" s="20" t="inlineStr">
        <x:is>
          <x:t xml:space="preserve">B</x:t>
        </x:is>
      </x:c>
      <x:c r="X40" s="20" t="inlineStr">
        <x:is>
          <x:t xml:space="preserve">C</x:t>
        </x:is>
      </x:c>
      <x:c r="Y40" s="25" t="n">
        <x:v>100</x:v>
      </x:c>
      <x:c r="Z40" s="20" t="inlineStr">
        <x:is>
          <x:t xml:space="preserve">https://www.fldoe.org/file/18534/SchoolGrades25.xlsx</x:t>
        </x:is>
      </x:c>
    </x:row>
    <x:row r="41">
      <x:c r="A41" s="20" t="inlineStr">
        <x:is>
          <x:t xml:space="preserve">350697</x:t>
        </x:is>
      </x:c>
      <x:c r="B41" s="20" t="inlineStr">
        <x:is>
          <x:t xml:space="preserve">35</x:t>
        </x:is>
      </x:c>
      <x:c r="C41" s="20" t="inlineStr">
        <x:is>
          <x:t xml:space="preserve">LAKE</x:t>
        </x:is>
      </x:c>
      <x:c r="D41" s="20" t="inlineStr">
        <x:is>
          <x:t xml:space="preserve">0697</x:t>
        </x:is>
      </x:c>
      <x:c r="E41" s="20" t="inlineStr">
        <x:is>
          <x:t xml:space="preserve">EUSTIS MIDDLE SCHOOL</x:t>
        </x:is>
      </x:c>
      <x:c r="F41" s="20" t="inlineStr">
        <x:is>
          <x:t xml:space="preserve">02</x:t>
        </x:is>
      </x:c>
      <x:c r="G41" s="20" t="inlineStr">
        <x:is>
          <x:t xml:space="preserve">Middle/Junior</x:t>
        </x:is>
      </x:c>
      <x:c r="H41" s="20" t="inlineStr">
        <x:is>
          <x:t xml:space="preserve">NO</x:t>
        </x:is>
      </x:c>
      <x:c r="I41" s="20" t="inlineStr">
        <x:is>
          <x:t xml:space="preserve">YES</x:t>
        </x:is>
      </x:c>
      <x:c r="J41" s="20" t="inlineStr">
        <x:is>
          <x:t xml:space="preserve">N</x:t>
        </x:is>
      </x:c>
      <x:c r="K41" s="25" t="n">
        <x:v>45</x:v>
      </x:c>
      <x:c r="L41" s="25" t="n">
        <x:v>51</x:v>
      </x:c>
      <x:c r="M41" s="25" t="n">
        <x:v>43</x:v>
      </x:c>
      <x:c r="N41" s="25" t="n">
        <x:v>52</x:v>
      </x:c>
      <x:c r="O41" s="25" t="n">
        <x:v>40</x:v>
      </x:c>
      <x:c r="P41" s="25" t="n">
        <x:v>51</x:v>
      </x:c>
      <x:c r="Q41" s="25" t="n"/>
      <x:c r="R41" s="25" t="n"/>
      <x:c r="S41" s="20" t="n">
        <x:v>469</x:v>
      </x:c>
      <x:c r="T41" s="20" t="n">
        <x:v>9</x:v>
      </x:c>
      <x:c r="U41" s="25" t="n">
        <x:v>52</x:v>
      </x:c>
      <x:c r="V41" s="25" t="n">
        <x:v>97</x:v>
      </x:c>
      <x:c r="W41" s="20" t="inlineStr">
        <x:is>
          <x:t xml:space="preserve">C</x:t>
        </x:is>
      </x:c>
      <x:c r="X41" s="20" t="inlineStr">
        <x:is>
          <x:t xml:space="preserve">C</x:t>
        </x:is>
      </x:c>
      <x:c r="Y41" s="25" t="n">
        <x:v>100</x:v>
      </x:c>
      <x:c r="Z41" s="20" t="inlineStr">
        <x:is>
          <x:t xml:space="preserve">https://www.fldoe.org/file/18534/SchoolGrades25.xlsx</x:t>
        </x:is>
      </x:c>
    </x:row>
    <x:row r="42">
      <x:c r="A42" s="20" t="inlineStr">
        <x:is>
          <x:t xml:space="preserve">350701</x:t>
        </x:is>
      </x:c>
      <x:c r="B42" s="20" t="inlineStr">
        <x:is>
          <x:t xml:space="preserve">35</x:t>
        </x:is>
      </x:c>
      <x:c r="C42" s="20" t="inlineStr">
        <x:is>
          <x:t xml:space="preserve">LAKE</x:t>
        </x:is>
      </x:c>
      <x:c r="D42" s="20" t="inlineStr">
        <x:is>
          <x:t xml:space="preserve">0701</x:t>
        </x:is>
      </x:c>
      <x:c r="E42" s="20" t="inlineStr">
        <x:is>
          <x:t xml:space="preserve">SOUTH LAKE HIGH SCHOOL</x:t>
        </x:is>
      </x:c>
      <x:c r="F42" s="20" t="inlineStr">
        <x:is>
          <x:t xml:space="preserve">03</x:t>
        </x:is>
      </x:c>
      <x:c r="G42" s="20" t="inlineStr">
        <x:is>
          <x:t xml:space="preserve">Senior High</x:t>
        </x:is>
      </x:c>
      <x:c r="H42" s="20" t="inlineStr">
        <x:is>
          <x:t xml:space="preserve">NO</x:t>
        </x:is>
      </x:c>
      <x:c r="I42" s="20" t="inlineStr">
        <x:is>
          <x:t xml:space="preserve">NO</x:t>
        </x:is>
      </x:c>
      <x:c r="J42" s="20" t="inlineStr">
        <x:is>
          <x:t xml:space="preserve">N</x:t>
        </x:is>
      </x:c>
      <x:c r="K42" s="25" t="n">
        <x:v>54</x:v>
      </x:c>
      <x:c r="L42" s="25" t="n">
        <x:v>58</x:v>
      </x:c>
      <x:c r="M42" s="25" t="n">
        <x:v>33</x:v>
      </x:c>
      <x:c r="N42" s="25" t="n">
        <x:v>35</x:v>
      </x:c>
      <x:c r="O42" s="25" t="n">
        <x:v>69</x:v>
      </x:c>
      <x:c r="P42" s="25" t="n">
        <x:v>71</x:v>
      </x:c>
      <x:c r="Q42" s="25" t="n">
        <x:v>91</x:v>
      </x:c>
      <x:c r="R42" s="25" t="n">
        <x:v>75</x:v>
      </x:c>
      <x:c r="S42" s="20" t="n">
        <x:v>584</x:v>
      </x:c>
      <x:c r="T42" s="20" t="n">
        <x:v>10</x:v>
      </x:c>
      <x:c r="U42" s="25" t="n">
        <x:v>58</x:v>
      </x:c>
      <x:c r="V42" s="25" t="n">
        <x:v>98</x:v>
      </x:c>
      <x:c r="W42" s="20" t="inlineStr">
        <x:is>
          <x:t xml:space="preserve">B</x:t>
        </x:is>
      </x:c>
      <x:c r="X42" s="20" t="inlineStr">
        <x:is>
          <x:t xml:space="preserve">B</x:t>
        </x:is>
      </x:c>
      <x:c r="Y42" s="25" t="n">
        <x:v>73.40000000000001</x:v>
      </x:c>
      <x:c r="Z42" s="20" t="inlineStr">
        <x:is>
          <x:t xml:space="preserve">https://www.fldoe.org/file/18534/SchoolGrades25.xlsx</x:t>
        </x:is>
      </x:c>
    </x:row>
    <x:row r="43">
      <x:c r="A43" s="20" t="inlineStr">
        <x:is>
          <x:t xml:space="preserve">350801</x:t>
        </x:is>
      </x:c>
      <x:c r="B43" s="20" t="inlineStr">
        <x:is>
          <x:t xml:space="preserve">35</x:t>
        </x:is>
      </x:c>
      <x:c r="C43" s="20" t="inlineStr">
        <x:is>
          <x:t xml:space="preserve">LAKE</x:t>
        </x:is>
      </x:c>
      <x:c r="D43" s="20" t="inlineStr">
        <x:is>
          <x:t xml:space="preserve">0801</x:t>
        </x:is>
      </x:c>
      <x:c r="E43" s="20" t="inlineStr">
        <x:is>
          <x:t xml:space="preserve">EAST RIDGE HIGH SCHOOL</x:t>
        </x:is>
      </x:c>
      <x:c r="F43" s="20" t="inlineStr">
        <x:is>
          <x:t xml:space="preserve">03</x:t>
        </x:is>
      </x:c>
      <x:c r="G43" s="20" t="inlineStr">
        <x:is>
          <x:t xml:space="preserve">Senior High</x:t>
        </x:is>
      </x:c>
      <x:c r="H43" s="20" t="inlineStr">
        <x:is>
          <x:t xml:space="preserve">NO</x:t>
        </x:is>
      </x:c>
      <x:c r="I43" s="20" t="inlineStr">
        <x:is>
          <x:t xml:space="preserve">NO</x:t>
        </x:is>
      </x:c>
      <x:c r="J43" s="20" t="inlineStr">
        <x:is>
          <x:t xml:space="preserve">N</x:t>
        </x:is>
      </x:c>
      <x:c r="K43" s="25" t="n">
        <x:v>61</x:v>
      </x:c>
      <x:c r="L43" s="25" t="n">
        <x:v>58</x:v>
      </x:c>
      <x:c r="M43" s="25" t="n">
        <x:v>48</x:v>
      </x:c>
      <x:c r="N43" s="25" t="n">
        <x:v>48</x:v>
      </x:c>
      <x:c r="O43" s="25" t="n">
        <x:v>80</x:v>
      </x:c>
      <x:c r="P43" s="25" t="n">
        <x:v>77</x:v>
      </x:c>
      <x:c r="Q43" s="25" t="n">
        <x:v>97</x:v>
      </x:c>
      <x:c r="R43" s="25" t="n">
        <x:v>80</x:v>
      </x:c>
      <x:c r="S43" s="20" t="n">
        <x:v>654</x:v>
      </x:c>
      <x:c r="T43" s="20" t="n">
        <x:v>10</x:v>
      </x:c>
      <x:c r="U43" s="25" t="n">
        <x:v>65</x:v>
      </x:c>
      <x:c r="V43" s="25" t="n">
        <x:v>98</x:v>
      </x:c>
      <x:c r="W43" s="20" t="inlineStr">
        <x:is>
          <x:t xml:space="preserve">A</x:t>
        </x:is>
      </x:c>
      <x:c r="X43" s="20" t="inlineStr">
        <x:is>
          <x:t xml:space="preserve">B</x:t>
        </x:is>
      </x:c>
      <x:c r="Y43" s="25" t="n">
        <x:v>51.1</x:v>
      </x:c>
      <x:c r="Z43" s="20" t="inlineStr">
        <x:is>
          <x:t xml:space="preserve">https://www.fldoe.org/file/18534/SchoolGrades25.xlsx</x:t>
        </x:is>
      </x:c>
    </x:row>
    <x:row r="44">
      <x:c r="A44" s="20" t="inlineStr">
        <x:is>
          <x:t xml:space="preserve">350901</x:t>
        </x:is>
      </x:c>
      <x:c r="B44" s="20" t="inlineStr">
        <x:is>
          <x:t xml:space="preserve">35</x:t>
        </x:is>
      </x:c>
      <x:c r="C44" s="20" t="inlineStr">
        <x:is>
          <x:t xml:space="preserve">LAKE</x:t>
        </x:is>
      </x:c>
      <x:c r="D44" s="20" t="inlineStr">
        <x:is>
          <x:t xml:space="preserve">0901</x:t>
        </x:is>
      </x:c>
      <x:c r="E44" s="20" t="inlineStr">
        <x:is>
          <x:t xml:space="preserve">LAKE MINNEOLA HIGH SCHOOL</x:t>
        </x:is>
      </x:c>
      <x:c r="F44" s="20" t="inlineStr">
        <x:is>
          <x:t xml:space="preserve">03</x:t>
        </x:is>
      </x:c>
      <x:c r="G44" s="20" t="inlineStr">
        <x:is>
          <x:t xml:space="preserve">Senior High</x:t>
        </x:is>
      </x:c>
      <x:c r="H44" s="20" t="inlineStr">
        <x:is>
          <x:t xml:space="preserve">NO</x:t>
        </x:is>
      </x:c>
      <x:c r="I44" s="20" t="inlineStr">
        <x:is>
          <x:t xml:space="preserve">NO</x:t>
        </x:is>
      </x:c>
      <x:c r="J44" s="20" t="inlineStr">
        <x:is>
          <x:t xml:space="preserve">N</x:t>
        </x:is>
      </x:c>
      <x:c r="K44" s="25" t="n">
        <x:v>66</x:v>
      </x:c>
      <x:c r="L44" s="25" t="n">
        <x:v>57</x:v>
      </x:c>
      <x:c r="M44" s="25" t="n">
        <x:v>45</x:v>
      </x:c>
      <x:c r="N44" s="25" t="n">
        <x:v>34</x:v>
      </x:c>
      <x:c r="O44" s="25" t="n">
        <x:v>73</x:v>
      </x:c>
      <x:c r="P44" s="25" t="n">
        <x:v>76</x:v>
      </x:c>
      <x:c r="Q44" s="25" t="n">
        <x:v>98</x:v>
      </x:c>
      <x:c r="R44" s="25" t="n">
        <x:v>70</x:v>
      </x:c>
      <x:c r="S44" s="20" t="n">
        <x:v>601</x:v>
      </x:c>
      <x:c r="T44" s="20" t="n">
        <x:v>10</x:v>
      </x:c>
      <x:c r="U44" s="25" t="n">
        <x:v>60</x:v>
      </x:c>
      <x:c r="V44" s="25" t="n">
        <x:v>98</x:v>
      </x:c>
      <x:c r="W44" s="20" t="inlineStr">
        <x:is>
          <x:t xml:space="preserve">B</x:t>
        </x:is>
      </x:c>
      <x:c r="X44" s="20" t="inlineStr">
        <x:is>
          <x:t xml:space="preserve">B</x:t>
        </x:is>
      </x:c>
      <x:c r="Y44" s="25" t="n">
        <x:v>48.4</x:v>
      </x:c>
      <x:c r="Z44" s="20" t="inlineStr">
        <x:is>
          <x:t xml:space="preserve">https://www.fldoe.org/file/18534/SchoolGrades25.xlsx</x:t>
        </x:is>
      </x:c>
    </x:row>
    <x:row r="45">
      <x:c r="A45" s="20" t="inlineStr">
        <x:is>
          <x:t xml:space="preserve">357004</x:t>
        </x:is>
      </x:c>
      <x:c r="B45" s="20" t="inlineStr">
        <x:is>
          <x:t xml:space="preserve">35</x:t>
        </x:is>
      </x:c>
      <x:c r="C45" s="20" t="inlineStr">
        <x:is>
          <x:t xml:space="preserve">LAKE</x:t>
        </x:is>
      </x:c>
      <x:c r="D45" s="20" t="inlineStr">
        <x:is>
          <x:t xml:space="preserve">7004</x:t>
        </x:is>
      </x:c>
      <x:c r="E45" s="20" t="inlineStr">
        <x:is>
          <x:t xml:space="preserve">LAKE VIRTUAL FRANCHISE</x:t>
        </x:is>
      </x:c>
      <x:c r="F45" s="20" t="inlineStr">
        <x:is>
          <x:t xml:space="preserve">04</x:t>
        </x:is>
      </x:c>
      <x:c r="G45" s="20" t="inlineStr">
        <x:is>
          <x:t xml:space="preserve">Combination</x:t>
        </x:is>
      </x:c>
      <x:c r="H45" s="20" t="inlineStr">
        <x:is>
          <x:t xml:space="preserve">NO</x:t>
        </x:is>
      </x:c>
      <x:c r="I45" s="20" t="inlineStr">
        <x:is>
          <x:t xml:space="preserve">NO</x:t>
        </x:is>
      </x:c>
      <x:c r="J45" s="20" t="inlineStr">
        <x:is>
          <x:t xml:space="preserve">N</x:t>
        </x:is>
      </x:c>
      <x:c r="K45" s="25" t="n">
        <x:v>67</x:v>
      </x:c>
      <x:c r="L45" s="25" t="n">
        <x:v>67</x:v>
      </x:c>
      <x:c r="M45" s="25" t="n">
        <x:v>52</x:v>
      </x:c>
      <x:c r="N45" s="25" t="n">
        <x:v>46</x:v>
      </x:c>
      <x:c r="O45" s="25" t="n">
        <x:v>78</x:v>
      </x:c>
      <x:c r="P45" s="25" t="n">
        <x:v>65</x:v>
      </x:c>
      <x:c r="Q45" s="25" t="n">
        <x:v>91</x:v>
      </x:c>
      <x:c r="R45" s="25" t="n">
        <x:v>52</x:v>
      </x:c>
      <x:c r="S45" s="20" t="n">
        <x:v>722</x:v>
      </x:c>
      <x:c r="T45" s="20" t="n">
        <x:v>11</x:v>
      </x:c>
      <x:c r="U45" s="25" t="n">
        <x:v>66</x:v>
      </x:c>
      <x:c r="V45" s="25" t="n">
        <x:v>100</x:v>
      </x:c>
      <x:c r="W45" s="20" t="inlineStr">
        <x:is>
          <x:t xml:space="preserve">A</x:t>
        </x:is>
      </x:c>
      <x:c r="X45" s="20" t="inlineStr">
        <x:is>
          <x:t xml:space="preserve">C</x:t>
        </x:is>
      </x:c>
      <x:c r="Y45" s="25" t="n">
        <x:v>0</x:v>
      </x:c>
      <x:c r="Z45" s="20" t="inlineStr">
        <x:is>
          <x:t xml:space="preserve">https://www.fldoe.org/file/18534/SchoolGrades25.xlsx</x:t>
        </x:is>
      </x:c>
    </x:row>
    <x:row r="46">
      <x:c r="A46" s="20" t="inlineStr">
        <x:is>
          <x:t xml:space="preserve">359027</x:t>
        </x:is>
      </x:c>
      <x:c r="B46" s="20" t="inlineStr">
        <x:is>
          <x:t xml:space="preserve">35</x:t>
        </x:is>
      </x:c>
      <x:c r="C46" s="20" t="inlineStr">
        <x:is>
          <x:t xml:space="preserve">LAKE</x:t>
        </x:is>
      </x:c>
      <x:c r="D46" s="20" t="inlineStr">
        <x:is>
          <x:t xml:space="preserve">9027</x:t>
        </x:is>
      </x:c>
      <x:c r="E46" s="20" t="inlineStr">
        <x:is>
          <x:t xml:space="preserve">PINECREST ACADEMY FOUR CORNERS</x:t>
        </x:is>
      </x:c>
      <x:c r="F46" s="20" t="inlineStr">
        <x:is>
          <x:t xml:space="preserve">04</x:t>
        </x:is>
      </x:c>
      <x:c r="G46" s="20" t="inlineStr">
        <x:is>
          <x:t xml:space="preserve">Combination</x:t>
        </x:is>
      </x:c>
      <x:c r="H46" s="20" t="inlineStr">
        <x:is>
          <x:t xml:space="preserve">YES</x:t>
        </x:is>
      </x:c>
      <x:c r="I46" s="20" t="inlineStr">
        <x:is>
          <x:t xml:space="preserve">NO</x:t>
        </x:is>
      </x:c>
      <x:c r="J46" s="20" t="inlineStr">
        <x:is>
          <x:t xml:space="preserve">N</x:t>
        </x:is>
      </x:c>
      <x:c r="K46" s="25" t="n">
        <x:v>64</x:v>
      </x:c>
      <x:c r="L46" s="25" t="n">
        <x:v>65</x:v>
      </x:c>
      <x:c r="M46" s="25" t="n">
        <x:v>58</x:v>
      </x:c>
      <x:c r="N46" s="25" t="n">
        <x:v>60</x:v>
      </x:c>
      <x:c r="O46" s="25" t="n">
        <x:v>56</x:v>
      </x:c>
      <x:c r="P46" s="25" t="n">
        <x:v>81</x:v>
      </x:c>
      <x:c r="Q46" s="25" t="n"/>
      <x:c r="R46" s="25" t="n"/>
      <x:c r="S46" s="20" t="n">
        <x:v>643</x:v>
      </x:c>
      <x:c r="T46" s="20" t="n">
        <x:v>10</x:v>
      </x:c>
      <x:c r="U46" s="25" t="n">
        <x:v>64</x:v>
      </x:c>
      <x:c r="V46" s="25" t="n">
        <x:v>100</x:v>
      </x:c>
      <x:c r="W46" s="20" t="inlineStr">
        <x:is>
          <x:t xml:space="preserve">A</x:t>
        </x:is>
      </x:c>
      <x:c r="X46" s="20" t="inlineStr">
        <x:is>
          <x:t xml:space="preserve">A</x:t>
        </x:is>
      </x:c>
      <x:c r="Y46" s="25" t="n">
        <x:v>64.90000000000001</x:v>
      </x:c>
      <x:c r="Z46" s="20" t="inlineStr">
        <x:is>
          <x:t xml:space="preserve">https://www.fldoe.org/file/18534/SchoolGrades25.xlsx</x:t>
        </x:is>
      </x:c>
    </x:row>
    <x:row r="47">
      <x:c r="A47" s="20" t="inlineStr">
        <x:is>
          <x:t xml:space="preserve">359028</x:t>
        </x:is>
      </x:c>
      <x:c r="B47" s="20" t="inlineStr">
        <x:is>
          <x:t xml:space="preserve">35</x:t>
        </x:is>
      </x:c>
      <x:c r="C47" s="20" t="inlineStr">
        <x:is>
          <x:t xml:space="preserve">LAKE</x:t>
        </x:is>
      </x:c>
      <x:c r="D47" s="20" t="inlineStr">
        <x:is>
          <x:t xml:space="preserve">9028</x:t>
        </x:is>
      </x:c>
      <x:c r="E47" s="20" t="inlineStr">
        <x:is>
          <x:t xml:space="preserve">ALTOONA SCHOOL</x:t>
        </x:is>
      </x:c>
      <x:c r="F47" s="20" t="inlineStr">
        <x:is>
          <x:t xml:space="preserve">01</x:t>
        </x:is>
      </x:c>
      <x:c r="G47" s="20" t="inlineStr">
        <x:is>
          <x:t xml:space="preserve">Elementary</x:t>
        </x:is>
      </x:c>
      <x:c r="H47" s="20" t="inlineStr">
        <x:is>
          <x:t xml:space="preserve">YES</x:t>
        </x:is>
      </x:c>
      <x:c r="I47" s="20" t="inlineStr">
        <x:is>
          <x:t xml:space="preserve">YES</x:t>
        </x:is>
      </x:c>
      <x:c r="J47" s="20" t="inlineStr">
        <x:is>
          <x:t xml:space="preserve">N</x:t>
        </x:is>
      </x:c>
      <x:c r="K47" s="25" t="n">
        <x:v>69</x:v>
      </x:c>
      <x:c r="L47" s="25" t="n">
        <x:v>66</x:v>
      </x:c>
      <x:c r="M47" s="25" t="n">
        <x:v>75</x:v>
      </x:c>
      <x:c r="N47" s="25" t="n">
        <x:v>76</x:v>
      </x:c>
      <x:c r="O47" s="25" t="n">
        <x:v>73</x:v>
      </x:c>
      <x:c r="P47" s="25" t="n"/>
      <x:c r="Q47" s="25" t="n"/>
      <x:c r="R47" s="25" t="n"/>
      <x:c r="S47" s="20" t="n">
        <x:v>576</x:v>
      </x:c>
      <x:c r="T47" s="20" t="n">
        <x:v>8</x:v>
      </x:c>
      <x:c r="U47" s="25" t="n">
        <x:v>72</x:v>
      </x:c>
      <x:c r="V47" s="25" t="n">
        <x:v>100</x:v>
      </x:c>
      <x:c r="W47" s="20" t="inlineStr">
        <x:is>
          <x:t xml:space="preserve">A</x:t>
        </x:is>
      </x:c>
      <x:c r="X47" s="20" t="inlineStr">
        <x:is>
          <x:t xml:space="preserve">A</x:t>
        </x:is>
      </x:c>
      <x:c r="Y47" s="25" t="n">
        <x:v>100</x:v>
      </x:c>
      <x:c r="Z47" s="20" t="inlineStr">
        <x:is>
          <x:t xml:space="preserve">https://www.fldoe.org/file/18534/SchoolGrades25.xlsx</x:t>
        </x:is>
      </x:c>
    </x:row>
    <x:row r="48">
      <x:c r="A48" s="20" t="inlineStr">
        <x:is>
          <x:t xml:space="preserve">359031</x:t>
        </x:is>
      </x:c>
      <x:c r="B48" s="20" t="inlineStr">
        <x:is>
          <x:t xml:space="preserve">35</x:t>
        </x:is>
      </x:c>
      <x:c r="C48" s="20" t="inlineStr">
        <x:is>
          <x:t xml:space="preserve">LAKE</x:t>
        </x:is>
      </x:c>
      <x:c r="D48" s="20" t="inlineStr">
        <x:is>
          <x:t xml:space="preserve">9031</x:t>
        </x:is>
      </x:c>
      <x:c r="E48" s="20" t="inlineStr">
        <x:is>
          <x:t xml:space="preserve">IMAGINE SCHOOLS AT SOUTH LAKE</x:t>
        </x:is>
      </x:c>
      <x:c r="F48" s="20" t="inlineStr">
        <x:is>
          <x:t xml:space="preserve">04</x:t>
        </x:is>
      </x:c>
      <x:c r="G48" s="20" t="inlineStr">
        <x:is>
          <x:t xml:space="preserve">Combination</x:t>
        </x:is>
      </x:c>
      <x:c r="H48" s="20" t="inlineStr">
        <x:is>
          <x:t xml:space="preserve">YES</x:t>
        </x:is>
      </x:c>
      <x:c r="I48" s="20" t="inlineStr">
        <x:is>
          <x:t xml:space="preserve">NO</x:t>
        </x:is>
      </x:c>
      <x:c r="J48" s="20" t="inlineStr">
        <x:is>
          <x:t xml:space="preserve">N</x:t>
        </x:is>
      </x:c>
      <x:c r="K48" s="25" t="n">
        <x:v>73</x:v>
      </x:c>
      <x:c r="L48" s="25" t="n">
        <x:v>57</x:v>
      </x:c>
      <x:c r="M48" s="25" t="n">
        <x:v>85</x:v>
      </x:c>
      <x:c r="N48" s="25" t="n">
        <x:v>70</x:v>
      </x:c>
      <x:c r="O48" s="25" t="n">
        <x:v>69</x:v>
      </x:c>
      <x:c r="P48" s="25" t="n">
        <x:v>89</x:v>
      </x:c>
      <x:c r="Q48" s="25" t="n"/>
      <x:c r="R48" s="25" t="n"/>
      <x:c r="S48" s="20" t="n">
        <x:v>728</x:v>
      </x:c>
      <x:c r="T48" s="20" t="n">
        <x:v>10</x:v>
      </x:c>
      <x:c r="U48" s="25" t="n">
        <x:v>73</x:v>
      </x:c>
      <x:c r="V48" s="25" t="n">
        <x:v>100</x:v>
      </x:c>
      <x:c r="W48" s="20" t="inlineStr">
        <x:is>
          <x:t xml:space="preserve">A</x:t>
        </x:is>
      </x:c>
      <x:c r="X48" s="20" t="inlineStr">
        <x:is>
          <x:t xml:space="preserve">A</x:t>
        </x:is>
      </x:c>
      <x:c r="Y48" s="25" t="n">
        <x:v>21.8</x:v>
      </x:c>
      <x:c r="Z48" s="20" t="inlineStr">
        <x:is>
          <x:t xml:space="preserve">https://www.fldoe.org/file/18534/SchoolGrades25.xlsx</x:t>
        </x:is>
      </x:c>
    </x:row>
    <x:row r="49">
      <x:c r="A49" s="20" t="inlineStr">
        <x:is>
          <x:t xml:space="preserve">359039</x:t>
        </x:is>
      </x:c>
      <x:c r="B49" s="20" t="inlineStr">
        <x:is>
          <x:t xml:space="preserve">35</x:t>
        </x:is>
      </x:c>
      <x:c r="C49" s="20" t="inlineStr">
        <x:is>
          <x:t xml:space="preserve">LAKE</x:t>
        </x:is>
      </x:c>
      <x:c r="D49" s="20" t="inlineStr">
        <x:is>
          <x:t xml:space="preserve">9039</x:t>
        </x:is>
      </x:c>
      <x:c r="E49" s="20" t="inlineStr">
        <x:is>
          <x:t xml:space="preserve">PINECREST ACADEMY TAVARES</x:t>
        </x:is>
      </x:c>
      <x:c r="F49" s="20" t="inlineStr">
        <x:is>
          <x:t xml:space="preserve">04</x:t>
        </x:is>
      </x:c>
      <x:c r="G49" s="20" t="inlineStr">
        <x:is>
          <x:t xml:space="preserve">Combination</x:t>
        </x:is>
      </x:c>
      <x:c r="H49" s="20" t="inlineStr">
        <x:is>
          <x:t xml:space="preserve">YES</x:t>
        </x:is>
      </x:c>
      <x:c r="I49" s="20" t="inlineStr">
        <x:is>
          <x:t xml:space="preserve">NO</x:t>
        </x:is>
      </x:c>
      <x:c r="J49" s="20" t="inlineStr">
        <x:is>
          <x:t xml:space="preserve">N</x:t>
        </x:is>
      </x:c>
      <x:c r="K49" s="25" t="n">
        <x:v>73</x:v>
      </x:c>
      <x:c r="L49" s="25" t="n">
        <x:v>74</x:v>
      </x:c>
      <x:c r="M49" s="25" t="n">
        <x:v>77</x:v>
      </x:c>
      <x:c r="N49" s="25" t="n">
        <x:v>69</x:v>
      </x:c>
      <x:c r="O49" s="25" t="n">
        <x:v>65</x:v>
      </x:c>
      <x:c r="P49" s="25" t="n">
        <x:v>90</x:v>
      </x:c>
      <x:c r="Q49" s="25" t="n"/>
      <x:c r="R49" s="25" t="n"/>
      <x:c r="S49" s="20" t="n">
        <x:v>736</x:v>
      </x:c>
      <x:c r="T49" s="20" t="n">
        <x:v>10</x:v>
      </x:c>
      <x:c r="U49" s="25" t="n">
        <x:v>74</x:v>
      </x:c>
      <x:c r="V49" s="25" t="n">
        <x:v>100</x:v>
      </x:c>
      <x:c r="W49" s="20" t="inlineStr">
        <x:is>
          <x:t xml:space="preserve">A</x:t>
        </x:is>
      </x:c>
      <x:c r="X49" s="20" t="inlineStr">
        <x:is>
          <x:t xml:space="preserve">A</x:t>
        </x:is>
      </x:c>
      <x:c r="Y49" s="25" t="n">
        <x:v>51</x:v>
      </x:c>
      <x:c r="Z49" s="20" t="inlineStr">
        <x:is>
          <x:t xml:space="preserve">https://www.fldoe.org/file/18534/SchoolGrades25.xlsx</x:t>
        </x:is>
      </x:c>
    </x:row>
    <x:row r="50">
      <x:c r="A50" s="20" t="inlineStr">
        <x:is>
          <x:t xml:space="preserve">359041</x:t>
        </x:is>
      </x:c>
      <x:c r="B50" s="20" t="inlineStr">
        <x:is>
          <x:t xml:space="preserve">35</x:t>
        </x:is>
      </x:c>
      <x:c r="C50" s="20" t="inlineStr">
        <x:is>
          <x:t xml:space="preserve">LAKE</x:t>
        </x:is>
      </x:c>
      <x:c r="D50" s="20" t="inlineStr">
        <x:is>
          <x:t xml:space="preserve">9041</x:t>
        </x:is>
      </x:c>
      <x:c r="E50" s="20" t="inlineStr">
        <x:is>
          <x:t xml:space="preserve">PINECREST LAKES ACADEMY</x:t>
        </x:is>
      </x:c>
      <x:c r="F50" s="20" t="inlineStr">
        <x:is>
          <x:t xml:space="preserve">04</x:t>
        </x:is>
      </x:c>
      <x:c r="G50" s="20" t="inlineStr">
        <x:is>
          <x:t xml:space="preserve">Combination</x:t>
        </x:is>
      </x:c>
      <x:c r="H50" s="20" t="inlineStr">
        <x:is>
          <x:t xml:space="preserve">YES</x:t>
        </x:is>
      </x:c>
      <x:c r="I50" s="20" t="inlineStr">
        <x:is>
          <x:t xml:space="preserve">NO</x:t>
        </x:is>
      </x:c>
      <x:c r="J50" s="20" t="inlineStr">
        <x:is>
          <x:t xml:space="preserve">N</x:t>
        </x:is>
      </x:c>
      <x:c r="K50" s="25" t="n">
        <x:v>87</x:v>
      </x:c>
      <x:c r="L50" s="25" t="n">
        <x:v>68</x:v>
      </x:c>
      <x:c r="M50" s="25" t="n">
        <x:v>92</x:v>
      </x:c>
      <x:c r="N50" s="25" t="n">
        <x:v>65</x:v>
      </x:c>
      <x:c r="O50" s="25" t="n">
        <x:v>82</x:v>
      </x:c>
      <x:c r="P50" s="25" t="n">
        <x:v>96</x:v>
      </x:c>
      <x:c r="Q50" s="25" t="n"/>
      <x:c r="R50" s="25" t="n"/>
      <x:c r="S50" s="20" t="n">
        <x:v>806</x:v>
      </x:c>
      <x:c r="T50" s="20" t="n">
        <x:v>10</x:v>
      </x:c>
      <x:c r="U50" s="25" t="n">
        <x:v>81</x:v>
      </x:c>
      <x:c r="V50" s="25" t="n">
        <x:v>100</x:v>
      </x:c>
      <x:c r="W50" s="20" t="inlineStr">
        <x:is>
          <x:t xml:space="preserve">A</x:t>
        </x:is>
      </x:c>
      <x:c r="X50" s="20" t="inlineStr">
        <x:is>
          <x:t xml:space="preserve">A</x:t>
        </x:is>
      </x:c>
      <x:c r="Y50" s="25" t="n">
        <x:v>25.9</x:v>
      </x:c>
      <x:c r="Z50" s="20" t="inlineStr">
        <x:is>
          <x:t xml:space="preserve">https://www.fldoe.org/file/18534/SchoolGrades25.xlsx</x:t>
        </x:is>
      </x:c>
    </x:row>
    <x:row r="51">
      <x:c r="A51" s="20" t="inlineStr">
        <x:is>
          <x:t xml:space="preserve">359061</x:t>
        </x:is>
      </x:c>
      <x:c r="B51" s="20" t="inlineStr">
        <x:is>
          <x:t xml:space="preserve">35</x:t>
        </x:is>
      </x:c>
      <x:c r="C51" s="20" t="inlineStr">
        <x:is>
          <x:t xml:space="preserve">LAKE</x:t>
        </x:is>
      </x:c>
      <x:c r="D51" s="20" t="inlineStr">
        <x:is>
          <x:t xml:space="preserve">9061</x:t>
        </x:is>
      </x:c>
      <x:c r="E51" s="20" t="inlineStr">
        <x:is>
          <x:t xml:space="preserve">PINECREST LAKES MIDDLE/HIGH ACADEMY</x:t>
        </x:is>
      </x:c>
      <x:c r="F51" s="20" t="inlineStr">
        <x:is>
          <x:t xml:space="preserve">03</x:t>
        </x:is>
      </x:c>
      <x:c r="G51" s="20" t="inlineStr">
        <x:is>
          <x:t xml:space="preserve">Senior High</x:t>
        </x:is>
      </x:c>
      <x:c r="H51" s="20" t="inlineStr">
        <x:is>
          <x:t xml:space="preserve">YES</x:t>
        </x:is>
      </x:c>
      <x:c r="I51" s="20" t="inlineStr">
        <x:is>
          <x:t xml:space="preserve">NO</x:t>
        </x:is>
      </x:c>
      <x:c r="J51" s="20" t="inlineStr">
        <x:is>
          <x:t xml:space="preserve">N</x:t>
        </x:is>
      </x:c>
      <x:c r="K51" s="25" t="n">
        <x:v>83</x:v>
      </x:c>
      <x:c r="L51" s="25" t="n">
        <x:v>69</x:v>
      </x:c>
      <x:c r="M51" s="25" t="n">
        <x:v>80</x:v>
      </x:c>
      <x:c r="N51" s="25" t="n">
        <x:v>79</x:v>
      </x:c>
      <x:c r="O51" s="25" t="n">
        <x:v>88</x:v>
      </x:c>
      <x:c r="P51" s="25" t="n">
        <x:v>78</x:v>
      </x:c>
      <x:c r="Q51" s="25" t="n">
        <x:v>98</x:v>
      </x:c>
      <x:c r="R51" s="25" t="n">
        <x:v>84</x:v>
      </x:c>
      <x:c r="S51" s="20" t="n">
        <x:v>800</x:v>
      </x:c>
      <x:c r="T51" s="20" t="n">
        <x:v>10</x:v>
      </x:c>
      <x:c r="U51" s="25" t="n">
        <x:v>80</x:v>
      </x:c>
      <x:c r="V51" s="25" t="n">
        <x:v>99</x:v>
      </x:c>
      <x:c r="W51" s="20" t="inlineStr">
        <x:is>
          <x:t xml:space="preserve">A</x:t>
        </x:is>
      </x:c>
      <x:c r="X51" s="20" t="inlineStr">
        <x:is>
          <x:t xml:space="preserve">A</x:t>
        </x:is>
      </x:c>
      <x:c r="Y51" s="25" t="n">
        <x:v>24.1</x:v>
      </x:c>
      <x:c r="Z51" s="20" t="inlineStr">
        <x:is>
          <x:t xml:space="preserve">https://www.fldoe.org/file/18534/SchoolGrades25.xlsx</x:t>
        </x:is>
      </x:c>
    </x:row>
    <x:row r="52">
      <x:c r="A52" s="20" t="inlineStr">
        <x:is>
          <x:t xml:space="preserve">490005</x:t>
        </x:is>
      </x:c>
      <x:c r="B52" s="20" t="inlineStr">
        <x:is>
          <x:t xml:space="preserve">49</x:t>
        </x:is>
      </x:c>
      <x:c r="C52" s="20" t="inlineStr">
        <x:is>
          <x:t xml:space="preserve">OSCEOLA</x:t>
        </x:is>
      </x:c>
      <x:c r="D52" s="20" t="inlineStr">
        <x:is>
          <x:t xml:space="preserve">0005</x:t>
        </x:is>
      </x:c>
      <x:c r="E52" s="20" t="inlineStr">
        <x:is>
          <x:t xml:space="preserve">TOHOPEKALIGA HIGH SCHOOL</x:t>
        </x:is>
      </x:c>
      <x:c r="F52" s="20" t="inlineStr">
        <x:is>
          <x:t xml:space="preserve">03</x:t>
        </x:is>
      </x:c>
      <x:c r="G52" s="20" t="inlineStr">
        <x:is>
          <x:t xml:space="preserve">Senior High</x:t>
        </x:is>
      </x:c>
      <x:c r="H52" s="20" t="inlineStr">
        <x:is>
          <x:t xml:space="preserve">NO</x:t>
        </x:is>
      </x:c>
      <x:c r="I52" s="20" t="inlineStr">
        <x:is>
          <x:t xml:space="preserve">NO</x:t>
        </x:is>
      </x:c>
      <x:c r="J52" s="20" t="inlineStr">
        <x:is>
          <x:t xml:space="preserve">N</x:t>
        </x:is>
      </x:c>
      <x:c r="K52" s="25" t="n">
        <x:v>63</x:v>
      </x:c>
      <x:c r="L52" s="25" t="n">
        <x:v>66</x:v>
      </x:c>
      <x:c r="M52" s="25" t="n">
        <x:v>46</x:v>
      </x:c>
      <x:c r="N52" s="25" t="n">
        <x:v>51</x:v>
      </x:c>
      <x:c r="O52" s="25" t="n">
        <x:v>70</x:v>
      </x:c>
      <x:c r="P52" s="25" t="n">
        <x:v>71</x:v>
      </x:c>
      <x:c r="Q52" s="25" t="n">
        <x:v>92</x:v>
      </x:c>
      <x:c r="R52" s="25" t="n">
        <x:v>59</x:v>
      </x:c>
      <x:c r="S52" s="20" t="n">
        <x:v>651</x:v>
      </x:c>
      <x:c r="T52" s="20" t="n">
        <x:v>10</x:v>
      </x:c>
      <x:c r="U52" s="25" t="n">
        <x:v>65</x:v>
      </x:c>
      <x:c r="V52" s="25" t="n">
        <x:v>96</x:v>
      </x:c>
      <x:c r="W52" s="20" t="inlineStr">
        <x:is>
          <x:t xml:space="preserve">A</x:t>
        </x:is>
      </x:c>
      <x:c r="X52" s="20" t="inlineStr">
        <x:is>
          <x:t xml:space="preserve">B</x:t>
        </x:is>
      </x:c>
      <x:c r="Y52" s="25" t="n">
        <x:v>56.1</x:v>
      </x:c>
      <x:c r="Z52" s="20" t="inlineStr">
        <x:is>
          <x:t xml:space="preserve">https://www.fldoe.org/file/18534/SchoolGrades25.xlsx</x:t>
        </x:is>
      </x:c>
    </x:row>
    <x:row r="53">
      <x:c r="A53" s="20" t="inlineStr">
        <x:is>
          <x:t xml:space="preserve">490011</x:t>
        </x:is>
      </x:c>
      <x:c r="B53" s="20" t="inlineStr">
        <x:is>
          <x:t xml:space="preserve">49</x:t>
        </x:is>
      </x:c>
      <x:c r="C53" s="20" t="inlineStr">
        <x:is>
          <x:t xml:space="preserve">OSCEOLA</x:t>
        </x:is>
      </x:c>
      <x:c r="D53" s="20" t="inlineStr">
        <x:is>
          <x:t xml:space="preserve">0011</x:t>
        </x:is>
      </x:c>
      <x:c r="E53" s="20" t="inlineStr">
        <x:is>
          <x:t xml:space="preserve">HARMONY COMMUNITY SCHOOL</x:t>
        </x:is>
      </x:c>
      <x:c r="F53" s="20" t="inlineStr">
        <x:is>
          <x:t xml:space="preserve">01</x:t>
        </x:is>
      </x:c>
      <x:c r="G53" s="20" t="inlineStr">
        <x:is>
          <x:t xml:space="preserve">Elementary</x:t>
        </x:is>
      </x:c>
      <x:c r="H53" s="20" t="inlineStr">
        <x:is>
          <x:t xml:space="preserve">NO</x:t>
        </x:is>
      </x:c>
      <x:c r="I53" s="20" t="inlineStr">
        <x:is>
          <x:t xml:space="preserve">NO</x:t>
        </x:is>
      </x:c>
      <x:c r="J53" s="20" t="inlineStr">
        <x:is>
          <x:t xml:space="preserve">N</x:t>
        </x:is>
      </x:c>
      <x:c r="K53" s="25" t="n">
        <x:v>71</x:v>
      </x:c>
      <x:c r="L53" s="25" t="n">
        <x:v>71</x:v>
      </x:c>
      <x:c r="M53" s="25" t="n">
        <x:v>72</x:v>
      </x:c>
      <x:c r="N53" s="25" t="n">
        <x:v>67</x:v>
      </x:c>
      <x:c r="O53" s="25" t="n">
        <x:v>72</x:v>
      </x:c>
      <x:c r="P53" s="25" t="n"/>
      <x:c r="Q53" s="25" t="n"/>
      <x:c r="R53" s="25" t="n"/>
      <x:c r="S53" s="20" t="n">
        <x:v>562</x:v>
      </x:c>
      <x:c r="T53" s="20" t="n">
        <x:v>8</x:v>
      </x:c>
      <x:c r="U53" s="25" t="n">
        <x:v>70</x:v>
      </x:c>
      <x:c r="V53" s="25" t="n">
        <x:v>100</x:v>
      </x:c>
      <x:c r="W53" s="20" t="inlineStr">
        <x:is>
          <x:t xml:space="preserve">A</x:t>
        </x:is>
      </x:c>
      <x:c r="X53" s="20" t="inlineStr">
        <x:is>
          <x:t xml:space="preserve">A</x:t>
        </x:is>
      </x:c>
      <x:c r="Y53" s="25" t="n">
        <x:v>43</x:v>
      </x:c>
      <x:c r="Z53" s="20" t="inlineStr">
        <x:is>
          <x:t xml:space="preserve">https://www.fldoe.org/file/18534/SchoolGrades25.xlsx</x:t>
        </x:is>
      </x:c>
    </x:row>
    <x:row r="54">
      <x:c r="A54" s="20" t="inlineStr">
        <x:is>
          <x:t xml:space="preserve">490040</x:t>
        </x:is>
      </x:c>
      <x:c r="B54" s="20" t="inlineStr">
        <x:is>
          <x:t xml:space="preserve">49</x:t>
        </x:is>
      </x:c>
      <x:c r="C54" s="20" t="inlineStr">
        <x:is>
          <x:t xml:space="preserve">OSCEOLA</x:t>
        </x:is>
      </x:c>
      <x:c r="D54" s="20" t="inlineStr">
        <x:is>
          <x:t xml:space="preserve">0040</x:t>
        </x:is>
      </x:c>
      <x:c r="E54" s="20" t="inlineStr">
        <x:is>
          <x:t xml:space="preserve">NARCOOSSEE MIDDLE SCHOOL</x:t>
        </x:is>
      </x:c>
      <x:c r="F54" s="20" t="inlineStr">
        <x:is>
          <x:t xml:space="preserve">02</x:t>
        </x:is>
      </x:c>
      <x:c r="G54" s="20" t="inlineStr">
        <x:is>
          <x:t xml:space="preserve">Middle/Junior</x:t>
        </x:is>
      </x:c>
      <x:c r="H54" s="20" t="inlineStr">
        <x:is>
          <x:t xml:space="preserve">NO</x:t>
        </x:is>
      </x:c>
      <x:c r="I54" s="20" t="inlineStr">
        <x:is>
          <x:t xml:space="preserve">NO</x:t>
        </x:is>
      </x:c>
      <x:c r="J54" s="20" t="inlineStr">
        <x:is>
          <x:t xml:space="preserve">N</x:t>
        </x:is>
      </x:c>
      <x:c r="K54" s="25" t="n">
        <x:v>59</x:v>
      </x:c>
      <x:c r="L54" s="25" t="n">
        <x:v>60</x:v>
      </x:c>
      <x:c r="M54" s="25" t="n">
        <x:v>67</x:v>
      </x:c>
      <x:c r="N54" s="25" t="n">
        <x:v>62</x:v>
      </x:c>
      <x:c r="O54" s="25" t="n">
        <x:v>66</x:v>
      </x:c>
      <x:c r="P54" s="25" t="n">
        <x:v>82</x:v>
      </x:c>
      <x:c r="Q54" s="25" t="n"/>
      <x:c r="R54" s="25" t="n"/>
      <x:c r="S54" s="20" t="n">
        <x:v>591</x:v>
      </x:c>
      <x:c r="T54" s="20" t="n">
        <x:v>9</x:v>
      </x:c>
      <x:c r="U54" s="25" t="n">
        <x:v>66</x:v>
      </x:c>
      <x:c r="V54" s="25" t="n">
        <x:v>99</x:v>
      </x:c>
      <x:c r="W54" s="20" t="inlineStr">
        <x:is>
          <x:t xml:space="preserve">A</x:t>
        </x:is>
      </x:c>
      <x:c r="X54" s="20" t="inlineStr">
        <x:is>
          <x:t xml:space="preserve">A</x:t>
        </x:is>
      </x:c>
      <x:c r="Y54" s="25" t="n">
        <x:v>49.3</x:v>
      </x:c>
      <x:c r="Z54" s="20" t="inlineStr">
        <x:is>
          <x:t xml:space="preserve">https://www.fldoe.org/file/18534/SchoolGrades25.xlsx</x:t>
        </x:is>
      </x:c>
    </x:row>
    <x:row r="55">
      <x:c r="A55" s="20" t="inlineStr">
        <x:is>
          <x:t xml:space="preserve">490041</x:t>
        </x:is>
      </x:c>
      <x:c r="B55" s="20" t="inlineStr">
        <x:is>
          <x:t xml:space="preserve">49</x:t>
        </x:is>
      </x:c>
      <x:c r="C55" s="20" t="inlineStr">
        <x:is>
          <x:t xml:space="preserve">OSCEOLA</x:t>
        </x:is>
      </x:c>
      <x:c r="D55" s="20" t="inlineStr">
        <x:is>
          <x:t xml:space="preserve">0041</x:t>
        </x:is>
      </x:c>
      <x:c r="E55" s="20" t="inlineStr">
        <x:is>
          <x:t xml:space="preserve">DISCOVERY INTERMEDIATE SCHOOL</x:t>
        </x:is>
      </x:c>
      <x:c r="F55" s="20" t="inlineStr">
        <x:is>
          <x:t xml:space="preserve">02</x:t>
        </x:is>
      </x:c>
      <x:c r="G55" s="20" t="inlineStr">
        <x:is>
          <x:t xml:space="preserve">Middle/Junior</x:t>
        </x:is>
      </x:c>
      <x:c r="H55" s="20" t="inlineStr">
        <x:is>
          <x:t xml:space="preserve">NO</x:t>
        </x:is>
      </x:c>
      <x:c r="I55" s="20" t="inlineStr">
        <x:is>
          <x:t xml:space="preserve">YES</x:t>
        </x:is>
      </x:c>
      <x:c r="J55" s="20" t="inlineStr">
        <x:is>
          <x:t xml:space="preserve">N</x:t>
        </x:is>
      </x:c>
      <x:c r="K55" s="25" t="n">
        <x:v>47</x:v>
      </x:c>
      <x:c r="L55" s="25" t="n">
        <x:v>58</x:v>
      </x:c>
      <x:c r="M55" s="25" t="n">
        <x:v>37</x:v>
      </x:c>
      <x:c r="N55" s="25" t="n">
        <x:v>51</x:v>
      </x:c>
      <x:c r="O55" s="25" t="n">
        <x:v>48</x:v>
      </x:c>
      <x:c r="P55" s="25" t="n">
        <x:v>79</x:v>
      </x:c>
      <x:c r="Q55" s="25" t="n"/>
      <x:c r="R55" s="25" t="n"/>
      <x:c r="S55" s="20" t="n">
        <x:v>500</x:v>
      </x:c>
      <x:c r="T55" s="20" t="n">
        <x:v>9</x:v>
      </x:c>
      <x:c r="U55" s="25" t="n">
        <x:v>56</x:v>
      </x:c>
      <x:c r="V55" s="25" t="n">
        <x:v>95</x:v>
      </x:c>
      <x:c r="W55" s="20" t="inlineStr">
        <x:is>
          <x:t xml:space="preserve">C</x:t>
        </x:is>
      </x:c>
      <x:c r="X55" s="20" t="inlineStr">
        <x:is>
          <x:t xml:space="preserve">C</x:t>
        </x:is>
      </x:c>
      <x:c r="Y55" s="25" t="n">
        <x:v>100</x:v>
      </x:c>
      <x:c r="Z55" s="20" t="inlineStr">
        <x:is>
          <x:t xml:space="preserve">https://www.fldoe.org/file/18534/SchoolGrades25.xlsx</x:t>
        </x:is>
      </x:c>
    </x:row>
    <x:row r="56">
      <x:c r="A56" s="20" t="inlineStr">
        <x:is>
          <x:t xml:space="preserve">490042</x:t>
        </x:is>
      </x:c>
      <x:c r="B56" s="20" t="inlineStr">
        <x:is>
          <x:t xml:space="preserve">49</x:t>
        </x:is>
      </x:c>
      <x:c r="C56" s="20" t="inlineStr">
        <x:is>
          <x:t xml:space="preserve">OSCEOLA</x:t>
        </x:is>
      </x:c>
      <x:c r="D56" s="20" t="inlineStr">
        <x:is>
          <x:t xml:space="preserve">0042</x:t>
        </x:is>
      </x:c>
      <x:c r="E56" s="20" t="inlineStr">
        <x:is>
          <x:t xml:space="preserve">KISSIMMEE ELEMENTARY SCHOOL</x:t>
        </x:is>
      </x:c>
      <x:c r="F56" s="20" t="inlineStr">
        <x:is>
          <x:t xml:space="preserve">01</x:t>
        </x:is>
      </x:c>
      <x:c r="G56" s="20" t="inlineStr">
        <x:is>
          <x:t xml:space="preserve">Elementary</x:t>
        </x:is>
      </x:c>
      <x:c r="H56" s="20" t="inlineStr">
        <x:is>
          <x:t xml:space="preserve">NO</x:t>
        </x:is>
      </x:c>
      <x:c r="I56" s="20" t="inlineStr">
        <x:is>
          <x:t xml:space="preserve">YES</x:t>
        </x:is>
      </x:c>
      <x:c r="J56" s="20" t="inlineStr">
        <x:is>
          <x:t xml:space="preserve">N</x:t>
        </x:is>
      </x:c>
      <x:c r="K56" s="25" t="n">
        <x:v>47</x:v>
      </x:c>
      <x:c r="L56" s="25" t="n">
        <x:v>65</x:v>
      </x:c>
      <x:c r="M56" s="25" t="n">
        <x:v>38</x:v>
      </x:c>
      <x:c r="N56" s="25" t="n">
        <x:v>48</x:v>
      </x:c>
      <x:c r="O56" s="25" t="n">
        <x:v>49</x:v>
      </x:c>
      <x:c r="P56" s="25" t="n"/>
      <x:c r="Q56" s="25" t="n"/>
      <x:c r="R56" s="25" t="n"/>
      <x:c r="S56" s="20" t="n">
        <x:v>420</x:v>
      </x:c>
      <x:c r="T56" s="20" t="n">
        <x:v>8</x:v>
      </x:c>
      <x:c r="U56" s="25" t="n">
        <x:v>53</x:v>
      </x:c>
      <x:c r="V56" s="25" t="n">
        <x:v>100</x:v>
      </x:c>
      <x:c r="W56" s="20" t="inlineStr">
        <x:is>
          <x:t xml:space="preserve">C</x:t>
        </x:is>
      </x:c>
      <x:c r="X56" s="20" t="inlineStr">
        <x:is>
          <x:t xml:space="preserve">C</x:t>
        </x:is>
      </x:c>
      <x:c r="Y56" s="25" t="n">
        <x:v>87.8</x:v>
      </x:c>
      <x:c r="Z56" s="20" t="inlineStr">
        <x:is>
          <x:t xml:space="preserve">https://www.fldoe.org/file/18534/SchoolGrades25.xlsx</x:t>
        </x:is>
      </x:c>
    </x:row>
    <x:row r="57">
      <x:c r="A57" s="20" t="inlineStr">
        <x:is>
          <x:t xml:space="preserve">490043</x:t>
        </x:is>
      </x:c>
      <x:c r="B57" s="20" t="inlineStr">
        <x:is>
          <x:t xml:space="preserve">49</x:t>
        </x:is>
      </x:c>
      <x:c r="C57" s="20" t="inlineStr">
        <x:is>
          <x:t xml:space="preserve">OSCEOLA</x:t>
        </x:is>
      </x:c>
      <x:c r="D57" s="20" t="inlineStr">
        <x:is>
          <x:t xml:space="preserve">0043</x:t>
        </x:is>
      </x:c>
      <x:c r="E57" s="20" t="inlineStr">
        <x:is>
          <x:t xml:space="preserve">NARCOOSSEE ELEMENTARY SCHOOL</x:t>
        </x:is>
      </x:c>
      <x:c r="F57" s="20" t="inlineStr">
        <x:is>
          <x:t xml:space="preserve">01</x:t>
        </x:is>
      </x:c>
      <x:c r="G57" s="20" t="inlineStr">
        <x:is>
          <x:t xml:space="preserve">Elementary</x:t>
        </x:is>
      </x:c>
      <x:c r="H57" s="20" t="inlineStr">
        <x:is>
          <x:t xml:space="preserve">NO</x:t>
        </x:is>
      </x:c>
      <x:c r="I57" s="20" t="inlineStr">
        <x:is>
          <x:t xml:space="preserve">NO</x:t>
        </x:is>
      </x:c>
      <x:c r="J57" s="20" t="inlineStr">
        <x:is>
          <x:t xml:space="preserve">N</x:t>
        </x:is>
      </x:c>
      <x:c r="K57" s="25" t="n">
        <x:v>67</x:v>
      </x:c>
      <x:c r="L57" s="25" t="n">
        <x:v>60</x:v>
      </x:c>
      <x:c r="M57" s="25" t="n">
        <x:v>65</x:v>
      </x:c>
      <x:c r="N57" s="25" t="n">
        <x:v>50</x:v>
      </x:c>
      <x:c r="O57" s="25" t="n">
        <x:v>58</x:v>
      </x:c>
      <x:c r="P57" s="25" t="n"/>
      <x:c r="Q57" s="25" t="n"/>
      <x:c r="R57" s="25" t="n"/>
      <x:c r="S57" s="20" t="n">
        <x:v>467</x:v>
      </x:c>
      <x:c r="T57" s="20" t="n">
        <x:v>8</x:v>
      </x:c>
      <x:c r="U57" s="25" t="n">
        <x:v>58</x:v>
      </x:c>
      <x:c r="V57" s="25" t="n">
        <x:v>99</x:v>
      </x:c>
      <x:c r="W57" s="20" t="inlineStr">
        <x:is>
          <x:t xml:space="preserve">B</x:t>
        </x:is>
      </x:c>
      <x:c r="X57" s="20" t="inlineStr">
        <x:is>
          <x:t xml:space="preserve">B</x:t>
        </x:is>
      </x:c>
      <x:c r="Y57" s="25" t="n">
        <x:v>42</x:v>
      </x:c>
      <x:c r="Z57" s="20" t="inlineStr">
        <x:is>
          <x:t xml:space="preserve">https://www.fldoe.org/file/18534/SchoolGrades25.xlsx</x:t>
        </x:is>
      </x:c>
    </x:row>
    <x:row r="58">
      <x:c r="A58" s="20" t="inlineStr">
        <x:is>
          <x:t xml:space="preserve">490061</x:t>
        </x:is>
      </x:c>
      <x:c r="B58" s="20" t="inlineStr">
        <x:is>
          <x:t xml:space="preserve">49</x:t>
        </x:is>
      </x:c>
      <x:c r="C58" s="20" t="inlineStr">
        <x:is>
          <x:t xml:space="preserve">OSCEOLA</x:t>
        </x:is>
      </x:c>
      <x:c r="D58" s="20" t="inlineStr">
        <x:is>
          <x:t xml:space="preserve">0061</x:t>
        </x:is>
      </x:c>
      <x:c r="E58" s="20" t="inlineStr">
        <x:is>
          <x:t xml:space="preserve">CENTRAL AVENUE ELEMENTARY SCHOOL</x:t>
        </x:is>
      </x:c>
      <x:c r="F58" s="20" t="inlineStr">
        <x:is>
          <x:t xml:space="preserve">01</x:t>
        </x:is>
      </x:c>
      <x:c r="G58" s="20" t="inlineStr">
        <x:is>
          <x:t xml:space="preserve">Elementary</x:t>
        </x:is>
      </x:c>
      <x:c r="H58" s="20" t="inlineStr">
        <x:is>
          <x:t xml:space="preserve">NO</x:t>
        </x:is>
      </x:c>
      <x:c r="I58" s="20" t="inlineStr">
        <x:is>
          <x:t xml:space="preserve">YES</x:t>
        </x:is>
      </x:c>
      <x:c r="J58" s="20" t="inlineStr">
        <x:is>
          <x:t xml:space="preserve">N</x:t>
        </x:is>
      </x:c>
      <x:c r="K58" s="25" t="n">
        <x:v>29</x:v>
      </x:c>
      <x:c r="L58" s="25" t="n">
        <x:v>54</x:v>
      </x:c>
      <x:c r="M58" s="25" t="n">
        <x:v>35</x:v>
      </x:c>
      <x:c r="N58" s="25" t="n">
        <x:v>52</x:v>
      </x:c>
      <x:c r="O58" s="25" t="n">
        <x:v>27</x:v>
      </x:c>
      <x:c r="P58" s="25" t="n"/>
      <x:c r="Q58" s="25" t="n"/>
      <x:c r="R58" s="25" t="n"/>
      <x:c r="S58" s="20" t="n">
        <x:v>344</x:v>
      </x:c>
      <x:c r="T58" s="20" t="n">
        <x:v>8</x:v>
      </x:c>
      <x:c r="U58" s="25" t="n">
        <x:v>43</x:v>
      </x:c>
      <x:c r="V58" s="25" t="n">
        <x:v>98</x:v>
      </x:c>
      <x:c r="W58" s="20" t="inlineStr">
        <x:is>
          <x:t xml:space="preserve">C</x:t>
        </x:is>
      </x:c>
      <x:c r="X58" s="20" t="inlineStr">
        <x:is>
          <x:t xml:space="preserve">C</x:t>
        </x:is>
      </x:c>
      <x:c r="Y58" s="25" t="n">
        <x:v>100</x:v>
      </x:c>
      <x:c r="Z58" s="20" t="inlineStr">
        <x:is>
          <x:t xml:space="preserve">https://www.fldoe.org/file/18534/SchoolGrades25.xlsx</x:t>
        </x:is>
      </x:c>
    </x:row>
    <x:row r="59">
      <x:c r="A59" s="20" t="inlineStr">
        <x:is>
          <x:t xml:space="preserve">490071</x:t>
        </x:is>
      </x:c>
      <x:c r="B59" s="20" t="inlineStr">
        <x:is>
          <x:t xml:space="preserve">49</x:t>
        </x:is>
      </x:c>
      <x:c r="C59" s="20" t="inlineStr">
        <x:is>
          <x:t xml:space="preserve">OSCEOLA</x:t>
        </x:is>
      </x:c>
      <x:c r="D59" s="20" t="inlineStr">
        <x:is>
          <x:t xml:space="preserve">0071</x:t>
        </x:is>
      </x:c>
      <x:c r="E59" s="20" t="inlineStr">
        <x:is>
          <x:t xml:space="preserve">HIGHLANDS ELEMENTARY SCHOOL</x:t>
        </x:is>
      </x:c>
      <x:c r="F59" s="20" t="inlineStr">
        <x:is>
          <x:t xml:space="preserve">01</x:t>
        </x:is>
      </x:c>
      <x:c r="G59" s="20" t="inlineStr">
        <x:is>
          <x:t xml:space="preserve">Elementary</x:t>
        </x:is>
      </x:c>
      <x:c r="H59" s="20" t="inlineStr">
        <x:is>
          <x:t xml:space="preserve">NO</x:t>
        </x:is>
      </x:c>
      <x:c r="I59" s="20" t="inlineStr">
        <x:is>
          <x:t xml:space="preserve">YES</x:t>
        </x:is>
      </x:c>
      <x:c r="J59" s="20" t="inlineStr">
        <x:is>
          <x:t xml:space="preserve">N</x:t>
        </x:is>
      </x:c>
      <x:c r="K59" s="25" t="n">
        <x:v>38</x:v>
      </x:c>
      <x:c r="L59" s="25" t="n">
        <x:v>45</x:v>
      </x:c>
      <x:c r="M59" s="25" t="n">
        <x:v>38</x:v>
      </x:c>
      <x:c r="N59" s="25" t="n">
        <x:v>31</x:v>
      </x:c>
      <x:c r="O59" s="25" t="n">
        <x:v>45</x:v>
      </x:c>
      <x:c r="P59" s="25" t="n"/>
      <x:c r="Q59" s="25" t="n"/>
      <x:c r="R59" s="25" t="n"/>
      <x:c r="S59" s="20" t="n">
        <x:v>329</x:v>
      </x:c>
      <x:c r="T59" s="20" t="n">
        <x:v>8</x:v>
      </x:c>
      <x:c r="U59" s="25" t="n">
        <x:v>41</x:v>
      </x:c>
      <x:c r="V59" s="25" t="n">
        <x:v>99</x:v>
      </x:c>
      <x:c r="W59" s="20" t="inlineStr">
        <x:is>
          <x:t xml:space="preserve">C</x:t>
        </x:is>
      </x:c>
      <x:c r="X59" s="20" t="inlineStr">
        <x:is>
          <x:t xml:space="preserve">C</x:t>
        </x:is>
      </x:c>
      <x:c r="Y59" s="25" t="n">
        <x:v>100</x:v>
      </x:c>
      <x:c r="Z59" s="20" t="inlineStr">
        <x:is>
          <x:t xml:space="preserve">https://www.fldoe.org/file/18534/SchoolGrades25.xlsx</x:t>
        </x:is>
      </x:c>
    </x:row>
    <x:row r="60">
      <x:c r="A60" s="20" t="inlineStr">
        <x:is>
          <x:t xml:space="preserve">490081</x:t>
        </x:is>
      </x:c>
      <x:c r="B60" s="20" t="inlineStr">
        <x:is>
          <x:t xml:space="preserve">49</x:t>
        </x:is>
      </x:c>
      <x:c r="C60" s="20" t="inlineStr">
        <x:is>
          <x:t xml:space="preserve">OSCEOLA</x:t>
        </x:is>
      </x:c>
      <x:c r="D60" s="20" t="inlineStr">
        <x:is>
          <x:t xml:space="preserve">0081</x:t>
        </x:is>
      </x:c>
      <x:c r="E60" s="20" t="inlineStr">
        <x:is>
          <x:t xml:space="preserve">OSCEOLA HIGH SCHOOL</x:t>
        </x:is>
      </x:c>
      <x:c r="F60" s="20" t="inlineStr">
        <x:is>
          <x:t xml:space="preserve">03</x:t>
        </x:is>
      </x:c>
      <x:c r="G60" s="20" t="inlineStr">
        <x:is>
          <x:t xml:space="preserve">Senior High</x:t>
        </x:is>
      </x:c>
      <x:c r="H60" s="20" t="inlineStr">
        <x:is>
          <x:t xml:space="preserve">NO</x:t>
        </x:is>
      </x:c>
      <x:c r="I60" s="20" t="inlineStr">
        <x:is>
          <x:t xml:space="preserve">YES</x:t>
        </x:is>
      </x:c>
      <x:c r="J60" s="20" t="inlineStr">
        <x:is>
          <x:t xml:space="preserve">N</x:t>
        </x:is>
      </x:c>
      <x:c r="K60" s="25" t="n">
        <x:v>46</x:v>
      </x:c>
      <x:c r="L60" s="25" t="n">
        <x:v>58</x:v>
      </x:c>
      <x:c r="M60" s="25" t="n">
        <x:v>40</x:v>
      </x:c>
      <x:c r="N60" s="25" t="n">
        <x:v>48</x:v>
      </x:c>
      <x:c r="O60" s="25" t="n">
        <x:v>65</x:v>
      </x:c>
      <x:c r="P60" s="25" t="n">
        <x:v>67</x:v>
      </x:c>
      <x:c r="Q60" s="25" t="n">
        <x:v>95</x:v>
      </x:c>
      <x:c r="R60" s="25" t="n">
        <x:v>49</x:v>
      </x:c>
      <x:c r="S60" s="20" t="n">
        <x:v>585</x:v>
      </x:c>
      <x:c r="T60" s="20" t="n">
        <x:v>10</x:v>
      </x:c>
      <x:c r="U60" s="25" t="n">
        <x:v>59</x:v>
      </x:c>
      <x:c r="V60" s="25" t="n">
        <x:v>96</x:v>
      </x:c>
      <x:c r="W60" s="20" t="inlineStr">
        <x:is>
          <x:t xml:space="preserve">B</x:t>
        </x:is>
      </x:c>
      <x:c r="X60" s="20" t="inlineStr">
        <x:is>
          <x:t xml:space="preserve">C</x:t>
        </x:is>
      </x:c>
      <x:c r="Y60" s="25" t="n">
        <x:v>85.7</x:v>
      </x:c>
      <x:c r="Z60" s="20" t="inlineStr">
        <x:is>
          <x:t xml:space="preserve">https://www.fldoe.org/file/18534/SchoolGrades25.xlsx</x:t>
        </x:is>
      </x:c>
    </x:row>
    <x:row r="61">
      <x:c r="A61" s="20" t="inlineStr">
        <x:is>
          <x:t xml:space="preserve">490091</x:t>
        </x:is>
      </x:c>
      <x:c r="B61" s="20" t="inlineStr">
        <x:is>
          <x:t xml:space="preserve">49</x:t>
        </x:is>
      </x:c>
      <x:c r="C61" s="20" t="inlineStr">
        <x:is>
          <x:t xml:space="preserve">OSCEOLA</x:t>
        </x:is>
      </x:c>
      <x:c r="D61" s="20" t="inlineStr">
        <x:is>
          <x:t xml:space="preserve">0091</x:t>
        </x:is>
      </x:c>
      <x:c r="E61" s="20" t="inlineStr">
        <x:is>
          <x:t xml:space="preserve">DENN JOHN MIDDLE SCHOOL</x:t>
        </x:is>
      </x:c>
      <x:c r="F61" s="20" t="inlineStr">
        <x:is>
          <x:t xml:space="preserve">02</x:t>
        </x:is>
      </x:c>
      <x:c r="G61" s="20" t="inlineStr">
        <x:is>
          <x:t xml:space="preserve">Middle/Junior</x:t>
        </x:is>
      </x:c>
      <x:c r="H61" s="20" t="inlineStr">
        <x:is>
          <x:t xml:space="preserve">NO</x:t>
        </x:is>
      </x:c>
      <x:c r="I61" s="20" t="inlineStr">
        <x:is>
          <x:t xml:space="preserve">YES</x:t>
        </x:is>
      </x:c>
      <x:c r="J61" s="20" t="inlineStr">
        <x:is>
          <x:t xml:space="preserve">N</x:t>
        </x:is>
      </x:c>
      <x:c r="K61" s="25" t="n">
        <x:v>34</x:v>
      </x:c>
      <x:c r="L61" s="25" t="n">
        <x:v>46</x:v>
      </x:c>
      <x:c r="M61" s="25" t="n">
        <x:v>34</x:v>
      </x:c>
      <x:c r="N61" s="25" t="n">
        <x:v>44</x:v>
      </x:c>
      <x:c r="O61" s="25" t="n">
        <x:v>26</x:v>
      </x:c>
      <x:c r="P61" s="25" t="n">
        <x:v>59</x:v>
      </x:c>
      <x:c r="Q61" s="25" t="n"/>
      <x:c r="R61" s="25" t="n"/>
      <x:c r="S61" s="20" t="n">
        <x:v>414</x:v>
      </x:c>
      <x:c r="T61" s="20" t="n">
        <x:v>9</x:v>
      </x:c>
      <x:c r="U61" s="25" t="n">
        <x:v>46</x:v>
      </x:c>
      <x:c r="V61" s="25" t="n">
        <x:v>96</x:v>
      </x:c>
      <x:c r="W61" s="20" t="inlineStr">
        <x:is>
          <x:t xml:space="preserve">C</x:t>
        </x:is>
      </x:c>
      <x:c r="X61" s="20" t="inlineStr">
        <x:is>
          <x:t xml:space="preserve">C</x:t>
        </x:is>
      </x:c>
      <x:c r="Y61" s="25" t="n">
        <x:v>99.40000000000001</x:v>
      </x:c>
      <x:c r="Z61" s="20" t="inlineStr">
        <x:is>
          <x:t xml:space="preserve">https://www.fldoe.org/file/18534/SchoolGrades25.xlsx</x:t>
        </x:is>
      </x:c>
    </x:row>
    <x:row r="62">
      <x:c r="A62" s="20" t="inlineStr">
        <x:is>
          <x:t xml:space="preserve">490101</x:t>
        </x:is>
      </x:c>
      <x:c r="B62" s="20" t="inlineStr">
        <x:is>
          <x:t xml:space="preserve">49</x:t>
        </x:is>
      </x:c>
      <x:c r="C62" s="20" t="inlineStr">
        <x:is>
          <x:t xml:space="preserve">OSCEOLA</x:t>
        </x:is>
      </x:c>
      <x:c r="D62" s="20" t="inlineStr">
        <x:is>
          <x:t xml:space="preserve">0101</x:t>
        </x:is>
      </x:c>
      <x:c r="E62" s="20" t="inlineStr">
        <x:is>
          <x:t xml:space="preserve">THACKER AVENUE ELEMENTARY FOR INTERNATIONAL STUDIES</x:t>
        </x:is>
      </x:c>
      <x:c r="F62" s="20" t="inlineStr">
        <x:is>
          <x:t xml:space="preserve">01</x:t>
        </x:is>
      </x:c>
      <x:c r="G62" s="20" t="inlineStr">
        <x:is>
          <x:t xml:space="preserve">Elementary</x:t>
        </x:is>
      </x:c>
      <x:c r="H62" s="20" t="inlineStr">
        <x:is>
          <x:t xml:space="preserve">NO</x:t>
        </x:is>
      </x:c>
      <x:c r="I62" s="20" t="inlineStr">
        <x:is>
          <x:t xml:space="preserve">YES</x:t>
        </x:is>
      </x:c>
      <x:c r="J62" s="20" t="inlineStr">
        <x:is>
          <x:t xml:space="preserve">N</x:t>
        </x:is>
      </x:c>
      <x:c r="K62" s="25" t="n">
        <x:v>38</x:v>
      </x:c>
      <x:c r="L62" s="25" t="n">
        <x:v>53</x:v>
      </x:c>
      <x:c r="M62" s="25" t="n">
        <x:v>46</x:v>
      </x:c>
      <x:c r="N62" s="25" t="n">
        <x:v>55</x:v>
      </x:c>
      <x:c r="O62" s="25" t="n">
        <x:v>41</x:v>
      </x:c>
      <x:c r="P62" s="25" t="n"/>
      <x:c r="Q62" s="25" t="n"/>
      <x:c r="R62" s="25" t="n"/>
      <x:c r="S62" s="20" t="n">
        <x:v>352</x:v>
      </x:c>
      <x:c r="T62" s="20" t="n">
        <x:v>8</x:v>
      </x:c>
      <x:c r="U62" s="25" t="n">
        <x:v>44</x:v>
      </x:c>
      <x:c r="V62" s="25" t="n">
        <x:v>97</x:v>
      </x:c>
      <x:c r="W62" s="20" t="inlineStr">
        <x:is>
          <x:t xml:space="preserve">C</x:t>
        </x:is>
      </x:c>
      <x:c r="X62" s="20" t="inlineStr">
        <x:is>
          <x:t xml:space="preserve">D</x:t>
        </x:is>
      </x:c>
      <x:c r="Y62" s="25" t="n">
        <x:v>100</x:v>
      </x:c>
      <x:c r="Z62" s="20" t="inlineStr">
        <x:is>
          <x:t xml:space="preserve">https://www.fldoe.org/file/18534/SchoolGrades25.xlsx</x:t>
        </x:is>
      </x:c>
    </x:row>
    <x:row r="63">
      <x:c r="A63" s="20" t="inlineStr">
        <x:is>
          <x:t xml:space="preserve">490111</x:t>
        </x:is>
      </x:c>
      <x:c r="B63" s="20" t="inlineStr">
        <x:is>
          <x:t xml:space="preserve">49</x:t>
        </x:is>
      </x:c>
      <x:c r="C63" s="20" t="inlineStr">
        <x:is>
          <x:t xml:space="preserve">OSCEOLA</x:t>
        </x:is>
      </x:c>
      <x:c r="D63" s="20" t="inlineStr">
        <x:is>
          <x:t xml:space="preserve">0111</x:t>
        </x:is>
      </x:c>
      <x:c r="E63" s="20" t="inlineStr">
        <x:is>
          <x:t xml:space="preserve">ST. CLOUD ELEMENTARY SCHOOL</x:t>
        </x:is>
      </x:c>
      <x:c r="F63" s="20" t="inlineStr">
        <x:is>
          <x:t xml:space="preserve">01</x:t>
        </x:is>
      </x:c>
      <x:c r="G63" s="20" t="inlineStr">
        <x:is>
          <x:t xml:space="preserve">Elementary</x:t>
        </x:is>
      </x:c>
      <x:c r="H63" s="20" t="inlineStr">
        <x:is>
          <x:t xml:space="preserve">NO</x:t>
        </x:is>
      </x:c>
      <x:c r="I63" s="20" t="inlineStr">
        <x:is>
          <x:t xml:space="preserve">NO</x:t>
        </x:is>
      </x:c>
      <x:c r="J63" s="20" t="inlineStr">
        <x:is>
          <x:t xml:space="preserve">N</x:t>
        </x:is>
      </x:c>
      <x:c r="K63" s="25" t="n">
        <x:v>65</x:v>
      </x:c>
      <x:c r="L63" s="25" t="n">
        <x:v>62</x:v>
      </x:c>
      <x:c r="M63" s="25" t="n">
        <x:v>66</x:v>
      </x:c>
      <x:c r="N63" s="25" t="n">
        <x:v>51</x:v>
      </x:c>
      <x:c r="O63" s="25" t="n">
        <x:v>69</x:v>
      </x:c>
      <x:c r="P63" s="25" t="n"/>
      <x:c r="Q63" s="25" t="n"/>
      <x:c r="R63" s="25" t="n"/>
      <x:c r="S63" s="20" t="n">
        <x:v>483</x:v>
      </x:c>
      <x:c r="T63" s="20" t="n">
        <x:v>8</x:v>
      </x:c>
      <x:c r="U63" s="25" t="n">
        <x:v>60</x:v>
      </x:c>
      <x:c r="V63" s="25" t="n">
        <x:v>100</x:v>
      </x:c>
      <x:c r="W63" s="20" t="inlineStr">
        <x:is>
          <x:t xml:space="preserve">B</x:t>
        </x:is>
      </x:c>
      <x:c r="X63" s="20" t="inlineStr">
        <x:is>
          <x:t xml:space="preserve">C</x:t>
        </x:is>
      </x:c>
      <x:c r="Y63" s="25" t="n">
        <x:v>78.5</x:v>
      </x:c>
      <x:c r="Z63" s="20" t="inlineStr">
        <x:is>
          <x:t xml:space="preserve">https://www.fldoe.org/file/18534/SchoolGrades25.xlsx</x:t>
        </x:is>
      </x:c>
    </x:row>
    <x:row r="64">
      <x:c r="A64" s="20" t="inlineStr">
        <x:is>
          <x:t xml:space="preserve">490131</x:t>
        </x:is>
      </x:c>
      <x:c r="B64" s="20" t="inlineStr">
        <x:is>
          <x:t xml:space="preserve">49</x:t>
        </x:is>
      </x:c>
      <x:c r="C64" s="20" t="inlineStr">
        <x:is>
          <x:t xml:space="preserve">OSCEOLA</x:t>
        </x:is>
      </x:c>
      <x:c r="D64" s="20" t="inlineStr">
        <x:is>
          <x:t xml:space="preserve">0131</x:t>
        </x:is>
      </x:c>
      <x:c r="E64" s="20" t="inlineStr">
        <x:is>
          <x:t xml:space="preserve">BRIDGEPREP ACADEMY OF ST.CLOUD</x:t>
        </x:is>
      </x:c>
      <x:c r="F64" s="20" t="inlineStr">
        <x:is>
          <x:t xml:space="preserve">04</x:t>
        </x:is>
      </x:c>
      <x:c r="G64" s="20" t="inlineStr">
        <x:is>
          <x:t xml:space="preserve">Combination</x:t>
        </x:is>
      </x:c>
      <x:c r="H64" s="20" t="inlineStr">
        <x:is>
          <x:t xml:space="preserve">YES</x:t>
        </x:is>
      </x:c>
      <x:c r="I64" s="20" t="inlineStr">
        <x:is>
          <x:t xml:space="preserve">NO</x:t>
        </x:is>
      </x:c>
      <x:c r="J64" s="20" t="inlineStr">
        <x:is>
          <x:t xml:space="preserve">N</x:t>
        </x:is>
      </x:c>
      <x:c r="K64" s="25" t="n">
        <x:v>57</x:v>
      </x:c>
      <x:c r="L64" s="25" t="n">
        <x:v>62</x:v>
      </x:c>
      <x:c r="M64" s="25" t="n">
        <x:v>47</x:v>
      </x:c>
      <x:c r="N64" s="25" t="n">
        <x:v>45</x:v>
      </x:c>
      <x:c r="O64" s="25" t="n">
        <x:v>38</x:v>
      </x:c>
      <x:c r="P64" s="25" t="n">
        <x:v>67</x:v>
      </x:c>
      <x:c r="Q64" s="25" t="n"/>
      <x:c r="R64" s="25" t="n"/>
      <x:c r="S64" s="20" t="n">
        <x:v>535</x:v>
      </x:c>
      <x:c r="T64" s="20" t="n">
        <x:v>10</x:v>
      </x:c>
      <x:c r="U64" s="25" t="n">
        <x:v>54</x:v>
      </x:c>
      <x:c r="V64" s="25" t="n">
        <x:v>99</x:v>
      </x:c>
      <x:c r="W64" s="20" t="inlineStr">
        <x:is>
          <x:t xml:space="preserve">C</x:t>
        </x:is>
      </x:c>
      <x:c r="X64" s="20" t="inlineStr">
        <x:is>
          <x:t xml:space="preserve">C</x:t>
        </x:is>
      </x:c>
      <x:c r="Y64" s="25" t="n">
        <x:v>52.2</x:v>
      </x:c>
      <x:c r="Z64" s="20" t="inlineStr">
        <x:is>
          <x:t xml:space="preserve">https://www.fldoe.org/file/18534/SchoolGrades25.xlsx</x:t>
        </x:is>
      </x:c>
    </x:row>
    <x:row r="65">
      <x:c r="A65" s="20" t="inlineStr">
        <x:is>
          <x:t xml:space="preserve">490149</x:t>
        </x:is>
      </x:c>
      <x:c r="B65" s="20" t="inlineStr">
        <x:is>
          <x:t xml:space="preserve">49</x:t>
        </x:is>
      </x:c>
      <x:c r="C65" s="20" t="inlineStr">
        <x:is>
          <x:t xml:space="preserve">OSCEOLA</x:t>
        </x:is>
      </x:c>
      <x:c r="D65" s="20" t="inlineStr">
        <x:is>
          <x:t xml:space="preserve">0149</x:t>
        </x:is>
      </x:c>
      <x:c r="E65" s="20" t="inlineStr">
        <x:is>
          <x:t xml:space="preserve">RENAISSANCE CHARTER SCHOOL AT POINCIANA</x:t>
        </x:is>
      </x:c>
      <x:c r="F65" s="20" t="inlineStr">
        <x:is>
          <x:t xml:space="preserve">04</x:t>
        </x:is>
      </x:c>
      <x:c r="G65" s="20" t="inlineStr">
        <x:is>
          <x:t xml:space="preserve">Combination</x:t>
        </x:is>
      </x:c>
      <x:c r="H65" s="20" t="inlineStr">
        <x:is>
          <x:t xml:space="preserve">YES</x:t>
        </x:is>
      </x:c>
      <x:c r="I65" s="20" t="inlineStr">
        <x:is>
          <x:t xml:space="preserve">YES</x:t>
        </x:is>
      </x:c>
      <x:c r="J65" s="20" t="inlineStr">
        <x:is>
          <x:t xml:space="preserve">N</x:t>
        </x:is>
      </x:c>
      <x:c r="K65" s="25" t="n">
        <x:v>44</x:v>
      </x:c>
      <x:c r="L65" s="25" t="n">
        <x:v>55</x:v>
      </x:c>
      <x:c r="M65" s="25" t="n">
        <x:v>50</x:v>
      </x:c>
      <x:c r="N65" s="25" t="n">
        <x:v>54</x:v>
      </x:c>
      <x:c r="O65" s="25" t="n">
        <x:v>50</x:v>
      </x:c>
      <x:c r="P65" s="25" t="n">
        <x:v>61</x:v>
      </x:c>
      <x:c r="Q65" s="25" t="n"/>
      <x:c r="R65" s="25" t="n"/>
      <x:c r="S65" s="20" t="n">
        <x:v>553</x:v>
      </x:c>
      <x:c r="T65" s="20" t="n">
        <x:v>10</x:v>
      </x:c>
      <x:c r="U65" s="25" t="n">
        <x:v>55</x:v>
      </x:c>
      <x:c r="V65" s="25" t="n">
        <x:v>100</x:v>
      </x:c>
      <x:c r="W65" s="20" t="inlineStr">
        <x:is>
          <x:t xml:space="preserve">C</x:t>
        </x:is>
      </x:c>
      <x:c r="X65" s="20" t="inlineStr">
        <x:is>
          <x:t xml:space="preserve">C</x:t>
        </x:is>
      </x:c>
      <x:c r="Y65" s="25" t="n">
        <x:v>90.8</x:v>
      </x:c>
      <x:c r="Z65" s="20" t="inlineStr">
        <x:is>
          <x:t xml:space="preserve">https://www.fldoe.org/file/18534/SchoolGrades25.xlsx</x:t>
        </x:is>
      </x:c>
    </x:row>
    <x:row r="66">
      <x:c r="A66" s="20" t="inlineStr">
        <x:is>
          <x:t xml:space="preserve">490152</x:t>
        </x:is>
      </x:c>
      <x:c r="B66" s="20" t="inlineStr">
        <x:is>
          <x:t xml:space="preserve">49</x:t>
        </x:is>
      </x:c>
      <x:c r="C66" s="20" t="inlineStr">
        <x:is>
          <x:t xml:space="preserve">OSCEOLA</x:t>
        </x:is>
      </x:c>
      <x:c r="D66" s="20" t="inlineStr">
        <x:is>
          <x:t xml:space="preserve">0152</x:t>
        </x:is>
      </x:c>
      <x:c r="E66" s="20" t="inlineStr">
        <x:is>
          <x:t xml:space="preserve">FOUR CORNERS UPPER SCHOOL</x:t>
        </x:is>
      </x:c>
      <x:c r="F66" s="20" t="inlineStr">
        <x:is>
          <x:t xml:space="preserve">04</x:t>
        </x:is>
      </x:c>
      <x:c r="G66" s="20" t="inlineStr">
        <x:is>
          <x:t xml:space="preserve">Combination</x:t>
        </x:is>
      </x:c>
      <x:c r="H66" s="20" t="inlineStr">
        <x:is>
          <x:t xml:space="preserve">YES</x:t>
        </x:is>
      </x:c>
      <x:c r="I66" s="20" t="inlineStr">
        <x:is>
          <x:t xml:space="preserve">NO</x:t>
        </x:is>
      </x:c>
      <x:c r="J66" s="20" t="inlineStr">
        <x:is>
          <x:t xml:space="preserve">N</x:t>
        </x:is>
      </x:c>
      <x:c r="K66" s="25" t="n">
        <x:v>54</x:v>
      </x:c>
      <x:c r="L66" s="25" t="n">
        <x:v>61</x:v>
      </x:c>
      <x:c r="M66" s="25" t="n">
        <x:v>46</x:v>
      </x:c>
      <x:c r="N66" s="25" t="n">
        <x:v>51</x:v>
      </x:c>
      <x:c r="O66" s="25" t="n">
        <x:v>57</x:v>
      </x:c>
      <x:c r="P66" s="25" t="n">
        <x:v>72</x:v>
      </x:c>
      <x:c r="Q66" s="25" t="n">
        <x:v>96</x:v>
      </x:c>
      <x:c r="R66" s="25" t="n">
        <x:v>76</x:v>
      </x:c>
      <x:c r="S66" s="20" t="n">
        <x:v>716</x:v>
      </x:c>
      <x:c r="T66" s="20" t="n">
        <x:v>11</x:v>
      </x:c>
      <x:c r="U66" s="25" t="n">
        <x:v>65</x:v>
      </x:c>
      <x:c r="V66" s="25" t="n">
        <x:v>99</x:v>
      </x:c>
      <x:c r="W66" s="20" t="inlineStr">
        <x:is>
          <x:t xml:space="preserve">A</x:t>
        </x:is>
      </x:c>
      <x:c r="X66" s="20" t="inlineStr">
        <x:is>
          <x:t xml:space="preserve">B</x:t>
        </x:is>
      </x:c>
      <x:c r="Y66" s="25" t="n">
        <x:v>68.2</x:v>
      </x:c>
      <x:c r="Z66" s="20" t="inlineStr">
        <x:is>
          <x:t xml:space="preserve">https://www.fldoe.org/file/18534/SchoolGrades25.xlsx</x:t>
        </x:is>
      </x:c>
    </x:row>
    <x:row r="67">
      <x:c r="A67" s="20" t="inlineStr">
        <x:is>
          <x:t xml:space="preserve">490153</x:t>
        </x:is>
      </x:c>
      <x:c r="B67" s="20" t="inlineStr">
        <x:is>
          <x:t xml:space="preserve">49</x:t>
        </x:is>
      </x:c>
      <x:c r="C67" s="20" t="inlineStr">
        <x:is>
          <x:t xml:space="preserve">OSCEOLA</x:t>
        </x:is>
      </x:c>
      <x:c r="D67" s="20" t="inlineStr">
        <x:is>
          <x:t xml:space="preserve">0153</x:t>
        </x:is>
      </x:c>
      <x:c r="E67" s="20" t="inlineStr">
        <x:is>
          <x:t xml:space="preserve">FLORIDA CYBER CHARTER ACADEMY AT OSCEOLA</x:t>
        </x:is>
      </x:c>
      <x:c r="F67" s="20" t="inlineStr">
        <x:is>
          <x:t xml:space="preserve">04</x:t>
        </x:is>
      </x:c>
      <x:c r="G67" s="20" t="inlineStr">
        <x:is>
          <x:t xml:space="preserve">Combination</x:t>
        </x:is>
      </x:c>
      <x:c r="H67" s="20" t="inlineStr">
        <x:is>
          <x:t xml:space="preserve">YES</x:t>
        </x:is>
      </x:c>
      <x:c r="I67" s="20" t="inlineStr">
        <x:is>
          <x:t xml:space="preserve">NO</x:t>
        </x:is>
      </x:c>
      <x:c r="J67" s="20" t="inlineStr">
        <x:is>
          <x:t xml:space="preserve">N</x:t>
        </x:is>
      </x:c>
      <x:c r="K67" s="25" t="n">
        <x:v>39</x:v>
      </x:c>
      <x:c r="L67" s="25" t="n">
        <x:v>43</x:v>
      </x:c>
      <x:c r="M67" s="25" t="n">
        <x:v>20</x:v>
      </x:c>
      <x:c r="N67" s="25" t="n">
        <x:v>37</x:v>
      </x:c>
      <x:c r="O67" s="25" t="n">
        <x:v>29</x:v>
      </x:c>
      <x:c r="P67" s="25" t="n">
        <x:v>50</x:v>
      </x:c>
      <x:c r="Q67" s="25" t="n"/>
      <x:c r="R67" s="25" t="n"/>
      <x:c r="S67" s="20" t="n">
        <x:v>391</x:v>
      </x:c>
      <x:c r="T67" s="20" t="n">
        <x:v>10</x:v>
      </x:c>
      <x:c r="U67" s="25" t="n">
        <x:v>39</x:v>
      </x:c>
      <x:c r="V67" s="25" t="n">
        <x:v>97</x:v>
      </x:c>
      <x:c r="W67" s="20" t="inlineStr">
        <x:is>
          <x:t xml:space="preserve">D</x:t>
        </x:is>
      </x:c>
      <x:c r="X67" s="20" t="inlineStr">
        <x:is>
          <x:t xml:space="preserve">C</x:t>
        </x:is>
      </x:c>
      <x:c r="Y67" s="25" t="n">
        <x:v>25.7</x:v>
      </x:c>
      <x:c r="Z67" s="20" t="inlineStr">
        <x:is>
          <x:t xml:space="preserve">https://www.fldoe.org/file/18534/SchoolGrades25.xlsx</x:t>
        </x:is>
      </x:c>
    </x:row>
    <x:row r="68">
      <x:c r="A68" s="20" t="inlineStr">
        <x:is>
          <x:t xml:space="preserve">490155</x:t>
        </x:is>
      </x:c>
      <x:c r="B68" s="20" t="inlineStr">
        <x:is>
          <x:t xml:space="preserve">49</x:t>
        </x:is>
      </x:c>
      <x:c r="C68" s="20" t="inlineStr">
        <x:is>
          <x:t xml:space="preserve">OSCEOLA</x:t>
        </x:is>
      </x:c>
      <x:c r="D68" s="20" t="inlineStr">
        <x:is>
          <x:t xml:space="preserve">0155</x:t>
        </x:is>
      </x:c>
      <x:c r="E68" s="20" t="inlineStr">
        <x:is>
          <x:t xml:space="preserve">VICTORY CHARTER SCHOOL</x:t>
        </x:is>
      </x:c>
      <x:c r="F68" s="20" t="inlineStr">
        <x:is>
          <x:t xml:space="preserve">04</x:t>
        </x:is>
      </x:c>
      <x:c r="G68" s="20" t="inlineStr">
        <x:is>
          <x:t xml:space="preserve">Combination</x:t>
        </x:is>
      </x:c>
      <x:c r="H68" s="20" t="inlineStr">
        <x:is>
          <x:t xml:space="preserve">YES</x:t>
        </x:is>
      </x:c>
      <x:c r="I68" s="20" t="inlineStr">
        <x:is>
          <x:t xml:space="preserve">YES</x:t>
        </x:is>
      </x:c>
      <x:c r="J68" s="20" t="inlineStr">
        <x:is>
          <x:t xml:space="preserve">N</x:t>
        </x:is>
      </x:c>
      <x:c r="K68" s="25" t="n">
        <x:v>39</x:v>
      </x:c>
      <x:c r="L68" s="25" t="n">
        <x:v>60</x:v>
      </x:c>
      <x:c r="M68" s="25" t="n">
        <x:v>33</x:v>
      </x:c>
      <x:c r="N68" s="25" t="n">
        <x:v>56</x:v>
      </x:c>
      <x:c r="O68" s="25" t="n">
        <x:v>41</x:v>
      </x:c>
      <x:c r="P68" s="25" t="n">
        <x:v>56</x:v>
      </x:c>
      <x:c r="Q68" s="25" t="n">
        <x:v>87</x:v>
      </x:c>
      <x:c r="R68" s="25" t="n">
        <x:v>41</x:v>
      </x:c>
      <x:c r="S68" s="20" t="n">
        <x:v>590</x:v>
      </x:c>
      <x:c r="T68" s="20" t="n">
        <x:v>11</x:v>
      </x:c>
      <x:c r="U68" s="25" t="n">
        <x:v>54</x:v>
      </x:c>
      <x:c r="V68" s="25" t="n">
        <x:v>99</x:v>
      </x:c>
      <x:c r="W68" s="20" t="inlineStr">
        <x:is>
          <x:t xml:space="preserve">C</x:t>
        </x:is>
      </x:c>
      <x:c r="X68" s="20" t="inlineStr">
        <x:is>
          <x:t xml:space="preserve">C</x:t>
        </x:is>
      </x:c>
      <x:c r="Y68" s="25" t="n">
        <x:v>65.90000000000001</x:v>
      </x:c>
      <x:c r="Z68" s="20" t="inlineStr">
        <x:is>
          <x:t xml:space="preserve">https://www.fldoe.org/file/18534/SchoolGrades25.xlsx</x:t>
        </x:is>
      </x:c>
    </x:row>
    <x:row r="69">
      <x:c r="A69" s="20" t="inlineStr">
        <x:is>
          <x:t xml:space="preserve">490163</x:t>
        </x:is>
      </x:c>
      <x:c r="B69" s="20" t="inlineStr">
        <x:is>
          <x:t xml:space="preserve">49</x:t>
        </x:is>
      </x:c>
      <x:c r="C69" s="20" t="inlineStr">
        <x:is>
          <x:t xml:space="preserve">OSCEOLA</x:t>
        </x:is>
      </x:c>
      <x:c r="D69" s="20" t="inlineStr">
        <x:is>
          <x:t xml:space="preserve">0163</x:t>
        </x:is>
      </x:c>
      <x:c r="E69" s="20" t="inlineStr">
        <x:is>
          <x:t xml:space="preserve">MATER BRIGHTON LAKES</x:t>
        </x:is>
      </x:c>
      <x:c r="F69" s="20" t="inlineStr">
        <x:is>
          <x:t xml:space="preserve">04</x:t>
        </x:is>
      </x:c>
      <x:c r="G69" s="20" t="inlineStr">
        <x:is>
          <x:t xml:space="preserve">Combination</x:t>
        </x:is>
      </x:c>
      <x:c r="H69" s="20" t="inlineStr">
        <x:is>
          <x:t xml:space="preserve">YES</x:t>
        </x:is>
      </x:c>
      <x:c r="I69" s="20" t="inlineStr">
        <x:is>
          <x:t xml:space="preserve">YES</x:t>
        </x:is>
      </x:c>
      <x:c r="J69" s="20" t="inlineStr">
        <x:is>
          <x:t xml:space="preserve">N</x:t>
        </x:is>
      </x:c>
      <x:c r="K69" s="25" t="n">
        <x:v>51</x:v>
      </x:c>
      <x:c r="L69" s="25" t="n">
        <x:v>62</x:v>
      </x:c>
      <x:c r="M69" s="25" t="n">
        <x:v>53</x:v>
      </x:c>
      <x:c r="N69" s="25" t="n">
        <x:v>64</x:v>
      </x:c>
      <x:c r="O69" s="25" t="n">
        <x:v>42</x:v>
      </x:c>
      <x:c r="P69" s="25" t="n">
        <x:v>65</x:v>
      </x:c>
      <x:c r="Q69" s="25" t="n"/>
      <x:c r="R69" s="25" t="n"/>
      <x:c r="S69" s="20" t="n">
        <x:v>572</x:v>
      </x:c>
      <x:c r="T69" s="20" t="n">
        <x:v>10</x:v>
      </x:c>
      <x:c r="U69" s="25" t="n">
        <x:v>57</x:v>
      </x:c>
      <x:c r="V69" s="25" t="n">
        <x:v>99</x:v>
      </x:c>
      <x:c r="W69" s="20" t="inlineStr">
        <x:is>
          <x:t xml:space="preserve">B</x:t>
        </x:is>
      </x:c>
      <x:c r="X69" s="20" t="inlineStr">
        <x:is>
          <x:t xml:space="preserve">C</x:t>
        </x:is>
      </x:c>
      <x:c r="Y69" s="25" t="n">
        <x:v>82.7</x:v>
      </x:c>
      <x:c r="Z69" s="20" t="inlineStr">
        <x:is>
          <x:t xml:space="preserve">https://www.fldoe.org/file/18534/SchoolGrades25.xlsx</x:t>
        </x:is>
      </x:c>
    </x:row>
    <x:row r="70">
      <x:c r="A70" s="20" t="inlineStr">
        <x:is>
          <x:t xml:space="preserve">490171</x:t>
        </x:is>
      </x:c>
      <x:c r="B70" s="20" t="inlineStr">
        <x:is>
          <x:t xml:space="preserve">49</x:t>
        </x:is>
      </x:c>
      <x:c r="C70" s="20" t="inlineStr">
        <x:is>
          <x:t xml:space="preserve">OSCEOLA</x:t>
        </x:is>
      </x:c>
      <x:c r="D70" s="20" t="inlineStr">
        <x:is>
          <x:t xml:space="preserve">0171</x:t>
        </x:is>
      </x:c>
      <x:c r="E70" s="20" t="inlineStr">
        <x:is>
          <x:t xml:space="preserve">RENAISSANCE CHARTER SCHOOL AT TAPESTRY</x:t>
        </x:is>
      </x:c>
      <x:c r="F70" s="20" t="inlineStr">
        <x:is>
          <x:t xml:space="preserve">04</x:t>
        </x:is>
      </x:c>
      <x:c r="G70" s="20" t="inlineStr">
        <x:is>
          <x:t xml:space="preserve">Combination</x:t>
        </x:is>
      </x:c>
      <x:c r="H70" s="20" t="inlineStr">
        <x:is>
          <x:t xml:space="preserve">YES</x:t>
        </x:is>
      </x:c>
      <x:c r="I70" s="20" t="inlineStr">
        <x:is>
          <x:t xml:space="preserve">YES</x:t>
        </x:is>
      </x:c>
      <x:c r="J70" s="20" t="inlineStr">
        <x:is>
          <x:t xml:space="preserve">N</x:t>
        </x:is>
      </x:c>
      <x:c r="K70" s="25" t="n">
        <x:v>51</x:v>
      </x:c>
      <x:c r="L70" s="25" t="n">
        <x:v>64</x:v>
      </x:c>
      <x:c r="M70" s="25" t="n">
        <x:v>61</x:v>
      </x:c>
      <x:c r="N70" s="25" t="n">
        <x:v>71</x:v>
      </x:c>
      <x:c r="O70" s="25" t="n">
        <x:v>55</x:v>
      </x:c>
      <x:c r="P70" s="25" t="n">
        <x:v>77</x:v>
      </x:c>
      <x:c r="Q70" s="25" t="n"/>
      <x:c r="R70" s="25" t="n"/>
      <x:c r="S70" s="20" t="n">
        <x:v>642</x:v>
      </x:c>
      <x:c r="T70" s="20" t="n">
        <x:v>10</x:v>
      </x:c>
      <x:c r="U70" s="25" t="n">
        <x:v>64</x:v>
      </x:c>
      <x:c r="V70" s="25" t="n">
        <x:v>100</x:v>
      </x:c>
      <x:c r="W70" s="20" t="inlineStr">
        <x:is>
          <x:t xml:space="preserve">A</x:t>
        </x:is>
      </x:c>
      <x:c r="X70" s="20" t="inlineStr">
        <x:is>
          <x:t xml:space="preserve">B</x:t>
        </x:is>
      </x:c>
      <x:c r="Y70" s="25" t="n">
        <x:v>69</x:v>
      </x:c>
      <x:c r="Z70" s="20" t="inlineStr">
        <x:is>
          <x:t xml:space="preserve">https://www.fldoe.org/file/18534/SchoolGrades25.xlsx</x:t>
        </x:is>
      </x:c>
    </x:row>
    <x:row r="71">
      <x:c r="A71" s="20" t="inlineStr">
        <x:is>
          <x:t xml:space="preserve">490181</x:t>
        </x:is>
      </x:c>
      <x:c r="B71" s="20" t="inlineStr">
        <x:is>
          <x:t xml:space="preserve">49</x:t>
        </x:is>
      </x:c>
      <x:c r="C71" s="20" t="inlineStr">
        <x:is>
          <x:t xml:space="preserve">OSCEOLA</x:t>
        </x:is>
      </x:c>
      <x:c r="D71" s="20" t="inlineStr">
        <x:is>
          <x:t xml:space="preserve">0181</x:t>
        </x:is>
      </x:c>
      <x:c r="E71" s="20" t="inlineStr">
        <x:is>
          <x:t xml:space="preserve">OSCEOLA SCIENCE CHARTER SCHOOL</x:t>
        </x:is>
      </x:c>
      <x:c r="F71" s="20" t="inlineStr">
        <x:is>
          <x:t xml:space="preserve">04</x:t>
        </x:is>
      </x:c>
      <x:c r="G71" s="20" t="inlineStr">
        <x:is>
          <x:t xml:space="preserve">Combination</x:t>
        </x:is>
      </x:c>
      <x:c r="H71" s="20" t="inlineStr">
        <x:is>
          <x:t xml:space="preserve">YES</x:t>
        </x:is>
      </x:c>
      <x:c r="I71" s="20" t="inlineStr">
        <x:is>
          <x:t xml:space="preserve">NO</x:t>
        </x:is>
      </x:c>
      <x:c r="J71" s="20" t="inlineStr">
        <x:is>
          <x:t xml:space="preserve">N</x:t>
        </x:is>
      </x:c>
      <x:c r="K71" s="25" t="n">
        <x:v>65</x:v>
      </x:c>
      <x:c r="L71" s="25" t="n">
        <x:v>62</x:v>
      </x:c>
      <x:c r="M71" s="25" t="n">
        <x:v>70</x:v>
      </x:c>
      <x:c r="N71" s="25" t="n">
        <x:v>67</x:v>
      </x:c>
      <x:c r="O71" s="25" t="n">
        <x:v>66</x:v>
      </x:c>
      <x:c r="P71" s="25" t="n">
        <x:v>69</x:v>
      </x:c>
      <x:c r="Q71" s="25" t="n"/>
      <x:c r="R71" s="25" t="n"/>
      <x:c r="S71" s="20" t="n">
        <x:v>675</x:v>
      </x:c>
      <x:c r="T71" s="20" t="n">
        <x:v>10</x:v>
      </x:c>
      <x:c r="U71" s="25" t="n">
        <x:v>68</x:v>
      </x:c>
      <x:c r="V71" s="25" t="n">
        <x:v>99</x:v>
      </x:c>
      <x:c r="W71" s="20" t="inlineStr">
        <x:is>
          <x:t xml:space="preserve">A</x:t>
        </x:is>
      </x:c>
      <x:c r="X71" s="20" t="inlineStr">
        <x:is>
          <x:t xml:space="preserve">A</x:t>
        </x:is>
      </x:c>
      <x:c r="Y71" s="25" t="n">
        <x:v>51.6</x:v>
      </x:c>
      <x:c r="Z71" s="20" t="inlineStr">
        <x:is>
          <x:t xml:space="preserve">https://www.fldoe.org/file/18534/SchoolGrades25.xlsx</x:t>
        </x:is>
      </x:c>
    </x:row>
    <x:row r="72">
      <x:c r="A72" s="20" t="inlineStr">
        <x:is>
          <x:t xml:space="preserve">490182</x:t>
        </x:is>
      </x:c>
      <x:c r="B72" s="20" t="inlineStr">
        <x:is>
          <x:t xml:space="preserve">49</x:t>
        </x:is>
      </x:c>
      <x:c r="C72" s="20" t="inlineStr">
        <x:is>
          <x:t xml:space="preserve">OSCEOLA</x:t>
        </x:is>
      </x:c>
      <x:c r="D72" s="20" t="inlineStr">
        <x:is>
          <x:t xml:space="preserve">0182</x:t>
        </x:is>
      </x:c>
      <x:c r="E72" s="20" t="inlineStr">
        <x:is>
          <x:t xml:space="preserve">LINCOLN-MARTI CHARTER SCHOOLS(OSCEOLA CAMPUS)</x:t>
        </x:is>
      </x:c>
      <x:c r="F72" s="20" t="inlineStr">
        <x:is>
          <x:t xml:space="preserve">01</x:t>
        </x:is>
      </x:c>
      <x:c r="G72" s="20" t="inlineStr">
        <x:is>
          <x:t xml:space="preserve">Elementary</x:t>
        </x:is>
      </x:c>
      <x:c r="H72" s="20" t="inlineStr">
        <x:is>
          <x:t xml:space="preserve">YES</x:t>
        </x:is>
      </x:c>
      <x:c r="I72" s="20" t="inlineStr">
        <x:is>
          <x:t xml:space="preserve">YES</x:t>
        </x:is>
      </x:c>
      <x:c r="J72" s="20" t="inlineStr">
        <x:is>
          <x:t xml:space="preserve">N</x:t>
        </x:is>
      </x:c>
      <x:c r="K72" s="25" t="n">
        <x:v>55</x:v>
      </x:c>
      <x:c r="L72" s="25" t="n">
        <x:v>67</x:v>
      </x:c>
      <x:c r="M72" s="25" t="n">
        <x:v>42</x:v>
      </x:c>
      <x:c r="N72" s="25" t="n">
        <x:v>43</x:v>
      </x:c>
      <x:c r="O72" s="25" t="n">
        <x:v>20</x:v>
      </x:c>
      <x:c r="P72" s="25" t="n"/>
      <x:c r="Q72" s="25" t="n"/>
      <x:c r="R72" s="25" t="n"/>
      <x:c r="S72" s="20" t="n">
        <x:v>291</x:v>
      </x:c>
      <x:c r="T72" s="20" t="n">
        <x:v>6</x:v>
      </x:c>
      <x:c r="U72" s="25" t="n">
        <x:v>49</x:v>
      </x:c>
      <x:c r="V72" s="25" t="n">
        <x:v>100</x:v>
      </x:c>
      <x:c r="W72" s="20" t="inlineStr">
        <x:is>
          <x:t xml:space="preserve">C</x:t>
        </x:is>
      </x:c>
      <x:c r="X72" s="20" t="inlineStr">
        <x:is>
          <x:t xml:space="preserve">C</x:t>
        </x:is>
      </x:c>
      <x:c r="Y72" s="25" t="n">
        <x:v>93.7</x:v>
      </x:c>
      <x:c r="Z72" s="20" t="inlineStr">
        <x:is>
          <x:t xml:space="preserve">https://www.fldoe.org/file/18534/SchoolGrades25.xlsx</x:t>
        </x:is>
      </x:c>
    </x:row>
    <x:row r="73">
      <x:c r="A73" s="20" t="inlineStr">
        <x:is>
          <x:t xml:space="preserve">490183</x:t>
        </x:is>
      </x:c>
      <x:c r="B73" s="20" t="inlineStr">
        <x:is>
          <x:t xml:space="preserve">49</x:t>
        </x:is>
      </x:c>
      <x:c r="C73" s="20" t="inlineStr">
        <x:is>
          <x:t xml:space="preserve">OSCEOLA</x:t>
        </x:is>
      </x:c>
      <x:c r="D73" s="20" t="inlineStr">
        <x:is>
          <x:t xml:space="preserve">0183</x:t>
        </x:is>
      </x:c>
      <x:c r="E73" s="20" t="inlineStr">
        <x:is>
          <x:t xml:space="preserve">SPORTS LEADERSHIP ARTS MANAGEMENT (SLAM)</x:t>
        </x:is>
      </x:c>
      <x:c r="F73" s="20" t="inlineStr">
        <x:is>
          <x:t xml:space="preserve">02</x:t>
        </x:is>
      </x:c>
      <x:c r="G73" s="20" t="inlineStr">
        <x:is>
          <x:t xml:space="preserve">Middle/Junior</x:t>
        </x:is>
      </x:c>
      <x:c r="H73" s="20" t="inlineStr">
        <x:is>
          <x:t xml:space="preserve">YES</x:t>
        </x:is>
      </x:c>
      <x:c r="I73" s="20" t="inlineStr">
        <x:is>
          <x:t xml:space="preserve">YES</x:t>
        </x:is>
      </x:c>
      <x:c r="J73" s="20" t="inlineStr">
        <x:is>
          <x:t xml:space="preserve">N</x:t>
        </x:is>
      </x:c>
      <x:c r="K73" s="25" t="n">
        <x:v>79</x:v>
      </x:c>
      <x:c r="L73" s="25" t="n">
        <x:v>67</x:v>
      </x:c>
      <x:c r="M73" s="25" t="n">
        <x:v>61</x:v>
      </x:c>
      <x:c r="N73" s="25" t="n">
        <x:v>56</x:v>
      </x:c>
      <x:c r="O73" s="25" t="n">
        <x:v>75</x:v>
      </x:c>
      <x:c r="P73" s="25" t="n">
        <x:v>92</x:v>
      </x:c>
      <x:c r="Q73" s="25" t="n"/>
      <x:c r="R73" s="25" t="n"/>
      <x:c r="S73" s="20" t="n">
        <x:v>630</x:v>
      </x:c>
      <x:c r="T73" s="20" t="n">
        <x:v>9</x:v>
      </x:c>
      <x:c r="U73" s="25" t="n">
        <x:v>70</x:v>
      </x:c>
      <x:c r="V73" s="25" t="n">
        <x:v>100</x:v>
      </x:c>
      <x:c r="W73" s="20" t="inlineStr">
        <x:is>
          <x:t xml:space="preserve">A</x:t>
        </x:is>
      </x:c>
      <x:c r="X73" s="20" t="inlineStr">
        <x:is>
          <x:t xml:space="preserve">A</x:t>
        </x:is>
      </x:c>
      <x:c r="Y73" s="25" t="n">
        <x:v>74.59999999999999</x:v>
      </x:c>
      <x:c r="Z73" s="20" t="inlineStr">
        <x:is>
          <x:t xml:space="preserve">https://www.fldoe.org/file/18534/SchoolGrades25.xlsx</x:t>
        </x:is>
      </x:c>
    </x:row>
    <x:row r="74">
      <x:c r="A74" s="20" t="inlineStr">
        <x:is>
          <x:t xml:space="preserve">490184</x:t>
        </x:is>
      </x:c>
      <x:c r="B74" s="20" t="inlineStr">
        <x:is>
          <x:t xml:space="preserve">49</x:t>
        </x:is>
      </x:c>
      <x:c r="C74" s="20" t="inlineStr">
        <x:is>
          <x:t xml:space="preserve">OSCEOLA</x:t>
        </x:is>
      </x:c>
      <x:c r="D74" s="20" t="inlineStr">
        <x:is>
          <x:t xml:space="preserve">0184</x:t>
        </x:is>
      </x:c>
      <x:c r="E74" s="20" t="inlineStr">
        <x:is>
          <x:t xml:space="preserve">BRIDGEPREP ACADEMY OSCEOLA COUNTY</x:t>
        </x:is>
      </x:c>
      <x:c r="F74" s="20" t="inlineStr">
        <x:is>
          <x:t xml:space="preserve">04</x:t>
        </x:is>
      </x:c>
      <x:c r="G74" s="20" t="inlineStr">
        <x:is>
          <x:t xml:space="preserve">Combination</x:t>
        </x:is>
      </x:c>
      <x:c r="H74" s="20" t="inlineStr">
        <x:is>
          <x:t xml:space="preserve">YES</x:t>
        </x:is>
      </x:c>
      <x:c r="I74" s="20" t="inlineStr">
        <x:is>
          <x:t xml:space="preserve">YES</x:t>
        </x:is>
      </x:c>
      <x:c r="J74" s="20" t="inlineStr">
        <x:is>
          <x:t xml:space="preserve">N</x:t>
        </x:is>
      </x:c>
      <x:c r="K74" s="25" t="n">
        <x:v>41</x:v>
      </x:c>
      <x:c r="L74" s="25" t="n">
        <x:v>52</x:v>
      </x:c>
      <x:c r="M74" s="25" t="n">
        <x:v>43</x:v>
      </x:c>
      <x:c r="N74" s="25" t="n">
        <x:v>58</x:v>
      </x:c>
      <x:c r="O74" s="25" t="n">
        <x:v>29</x:v>
      </x:c>
      <x:c r="P74" s="25" t="n">
        <x:v>71</x:v>
      </x:c>
      <x:c r="Q74" s="25" t="n"/>
      <x:c r="R74" s="25" t="n"/>
      <x:c r="S74" s="20" t="n">
        <x:v>534</x:v>
      </x:c>
      <x:c r="T74" s="20" t="n">
        <x:v>10</x:v>
      </x:c>
      <x:c r="U74" s="25" t="n">
        <x:v>53</x:v>
      </x:c>
      <x:c r="V74" s="25" t="n">
        <x:v>97</x:v>
      </x:c>
      <x:c r="W74" s="20" t="inlineStr">
        <x:is>
          <x:t xml:space="preserve">C</x:t>
        </x:is>
      </x:c>
      <x:c r="X74" s="20" t="inlineStr">
        <x:is>
          <x:t xml:space="preserve">C</x:t>
        </x:is>
      </x:c>
      <x:c r="Y74" s="25" t="n">
        <x:v>87.09999999999999</x:v>
      </x:c>
      <x:c r="Z74" s="20" t="inlineStr">
        <x:is>
          <x:t xml:space="preserve">https://www.fldoe.org/file/18534/SchoolGrades25.xlsx</x:t>
        </x:is>
      </x:c>
    </x:row>
    <x:row r="75">
      <x:c r="A75" s="20" t="inlineStr">
        <x:is>
          <x:t xml:space="preserve">490185</x:t>
        </x:is>
      </x:c>
      <x:c r="B75" s="20" t="inlineStr">
        <x:is>
          <x:t xml:space="preserve">49</x:t>
        </x:is>
      </x:c>
      <x:c r="C75" s="20" t="inlineStr">
        <x:is>
          <x:t xml:space="preserve">OSCEOLA</x:t>
        </x:is>
      </x:c>
      <x:c r="D75" s="20" t="inlineStr">
        <x:is>
          <x:t xml:space="preserve">0185</x:t>
        </x:is>
      </x:c>
      <x:c r="E75" s="20" t="inlineStr">
        <x:is>
          <x:t xml:space="preserve">MATER PALMS ACADEMY</x:t>
        </x:is>
      </x:c>
      <x:c r="F75" s="20" t="inlineStr">
        <x:is>
          <x:t xml:space="preserve">04</x:t>
        </x:is>
      </x:c>
      <x:c r="G75" s="20" t="inlineStr">
        <x:is>
          <x:t xml:space="preserve">Combination</x:t>
        </x:is>
      </x:c>
      <x:c r="H75" s="20" t="inlineStr">
        <x:is>
          <x:t xml:space="preserve">YES</x:t>
        </x:is>
      </x:c>
      <x:c r="I75" s="20" t="inlineStr">
        <x:is>
          <x:t xml:space="preserve">YES</x:t>
        </x:is>
      </x:c>
      <x:c r="J75" s="20" t="inlineStr">
        <x:is>
          <x:t xml:space="preserve">N</x:t>
        </x:is>
      </x:c>
      <x:c r="K75" s="25" t="n">
        <x:v>61</x:v>
      </x:c>
      <x:c r="L75" s="25" t="n">
        <x:v>65</x:v>
      </x:c>
      <x:c r="M75" s="25" t="n">
        <x:v>62</x:v>
      </x:c>
      <x:c r="N75" s="25" t="n">
        <x:v>62</x:v>
      </x:c>
      <x:c r="O75" s="25" t="n">
        <x:v>46</x:v>
      </x:c>
      <x:c r="P75" s="25" t="n">
        <x:v>75</x:v>
      </x:c>
      <x:c r="Q75" s="25" t="n"/>
      <x:c r="R75" s="25" t="n"/>
      <x:c r="S75" s="20" t="n">
        <x:v>622</x:v>
      </x:c>
      <x:c r="T75" s="20" t="n">
        <x:v>10</x:v>
      </x:c>
      <x:c r="U75" s="25" t="n">
        <x:v>62</x:v>
      </x:c>
      <x:c r="V75" s="25" t="n">
        <x:v>98</x:v>
      </x:c>
      <x:c r="W75" s="20" t="inlineStr">
        <x:is>
          <x:t xml:space="preserve">B</x:t>
        </x:is>
      </x:c>
      <x:c r="X75" s="20" t="inlineStr">
        <x:is>
          <x:t xml:space="preserve">B</x:t>
        </x:is>
      </x:c>
      <x:c r="Y75" s="25" t="n">
        <x:v>66.2</x:v>
      </x:c>
      <x:c r="Z75" s="20" t="inlineStr">
        <x:is>
          <x:t xml:space="preserve">https://www.fldoe.org/file/18534/SchoolGrades25.xlsx</x:t>
        </x:is>
      </x:c>
    </x:row>
    <x:row r="76">
      <x:c r="A76" s="20" t="inlineStr">
        <x:is>
          <x:t xml:space="preserve">490191</x:t>
        </x:is>
      </x:c>
      <x:c r="B76" s="20" t="inlineStr">
        <x:is>
          <x:t xml:space="preserve">49</x:t>
        </x:is>
      </x:c>
      <x:c r="C76" s="20" t="inlineStr">
        <x:is>
          <x:t xml:space="preserve">OSCEOLA</x:t>
        </x:is>
      </x:c>
      <x:c r="D76" s="20" t="inlineStr">
        <x:is>
          <x:t xml:space="preserve">0191</x:t>
        </x:is>
      </x:c>
      <x:c r="E76" s="20" t="inlineStr">
        <x:is>
          <x:t xml:space="preserve">RENAISSANCE ACADEMY OF ARTS AND SCIENCES</x:t>
        </x:is>
      </x:c>
      <x:c r="F76" s="20" t="inlineStr">
        <x:is>
          <x:t xml:space="preserve">04</x:t>
        </x:is>
      </x:c>
      <x:c r="G76" s="20" t="inlineStr">
        <x:is>
          <x:t xml:space="preserve">Combination</x:t>
        </x:is>
      </x:c>
      <x:c r="H76" s="20" t="inlineStr">
        <x:is>
          <x:t xml:space="preserve">YES</x:t>
        </x:is>
      </x:c>
      <x:c r="I76" s="20" t="inlineStr">
        <x:is>
          <x:t xml:space="preserve">NO</x:t>
        </x:is>
      </x:c>
      <x:c r="J76" s="20" t="inlineStr">
        <x:is>
          <x:t xml:space="preserve">N</x:t>
        </x:is>
      </x:c>
      <x:c r="K76" s="25" t="n">
        <x:v>51</x:v>
      </x:c>
      <x:c r="L76" s="25" t="n">
        <x:v>61</x:v>
      </x:c>
      <x:c r="M76" s="25" t="n">
        <x:v>48</x:v>
      </x:c>
      <x:c r="N76" s="25" t="n">
        <x:v>50</x:v>
      </x:c>
      <x:c r="O76" s="25" t="n">
        <x:v>59</x:v>
      </x:c>
      <x:c r="P76" s="25" t="n">
        <x:v>64</x:v>
      </x:c>
      <x:c r="Q76" s="25" t="n"/>
      <x:c r="R76" s="25" t="n"/>
      <x:c r="S76" s="20" t="n">
        <x:v>582</x:v>
      </x:c>
      <x:c r="T76" s="20" t="n">
        <x:v>10</x:v>
      </x:c>
      <x:c r="U76" s="25" t="n">
        <x:v>58</x:v>
      </x:c>
      <x:c r="V76" s="25" t="n">
        <x:v>100</x:v>
      </x:c>
      <x:c r="W76" s="20" t="inlineStr">
        <x:is>
          <x:t xml:space="preserve">B</x:t>
        </x:is>
      </x:c>
      <x:c r="X76" s="20" t="inlineStr">
        <x:is>
          <x:t xml:space="preserve">C</x:t>
        </x:is>
      </x:c>
      <x:c r="Y76" s="25" t="n">
        <x:v>58.6</x:v>
      </x:c>
      <x:c r="Z76" s="20" t="inlineStr">
        <x:is>
          <x:t xml:space="preserve">https://www.fldoe.org/file/18534/SchoolGrades25.xlsx</x:t>
        </x:is>
      </x:c>
    </x:row>
    <x:row r="77">
      <x:c r="A77" s="20" t="inlineStr">
        <x:is>
          <x:t xml:space="preserve">490192</x:t>
        </x:is>
      </x:c>
      <x:c r="B77" s="20" t="inlineStr">
        <x:is>
          <x:t xml:space="preserve">49</x:t>
        </x:is>
      </x:c>
      <x:c r="C77" s="20" t="inlineStr">
        <x:is>
          <x:t xml:space="preserve">OSCEOLA</x:t>
        </x:is>
      </x:c>
      <x:c r="D77" s="20" t="inlineStr">
        <x:is>
          <x:t xml:space="preserve">0192</x:t>
        </x:is>
      </x:c>
      <x:c r="E77" s="20" t="inlineStr">
        <x:is>
          <x:t xml:space="preserve">CREATIVE INSPIRATION JOURNEY SCHOOL OF ST CLOUD</x:t>
        </x:is>
      </x:c>
      <x:c r="F77" s="20" t="inlineStr">
        <x:is>
          <x:t xml:space="preserve">04</x:t>
        </x:is>
      </x:c>
      <x:c r="G77" s="20" t="inlineStr">
        <x:is>
          <x:t xml:space="preserve">Combination</x:t>
        </x:is>
      </x:c>
      <x:c r="H77" s="20" t="inlineStr">
        <x:is>
          <x:t xml:space="preserve">YES</x:t>
        </x:is>
      </x:c>
      <x:c r="I77" s="20" t="inlineStr">
        <x:is>
          <x:t xml:space="preserve">NO</x:t>
        </x:is>
      </x:c>
      <x:c r="J77" s="20" t="inlineStr">
        <x:is>
          <x:t xml:space="preserve">N</x:t>
        </x:is>
      </x:c>
      <x:c r="K77" s="25" t="n">
        <x:v>55</x:v>
      </x:c>
      <x:c r="L77" s="25" t="n">
        <x:v>51</x:v>
      </x:c>
      <x:c r="M77" s="25" t="n">
        <x:v>42</x:v>
      </x:c>
      <x:c r="N77" s="25" t="n">
        <x:v>52</x:v>
      </x:c>
      <x:c r="O77" s="25" t="n">
        <x:v>49</x:v>
      </x:c>
      <x:c r="P77" s="25" t="n">
        <x:v>71</x:v>
      </x:c>
      <x:c r="Q77" s="25" t="n"/>
      <x:c r="R77" s="25" t="n"/>
      <x:c r="S77" s="20" t="n">
        <x:v>467</x:v>
      </x:c>
      <x:c r="T77" s="20" t="n">
        <x:v>10</x:v>
      </x:c>
      <x:c r="U77" s="25" t="n">
        <x:v>47</x:v>
      </x:c>
      <x:c r="V77" s="25" t="n">
        <x:v>98</x:v>
      </x:c>
      <x:c r="W77" s="20" t="inlineStr">
        <x:is>
          <x:t xml:space="preserve">C</x:t>
        </x:is>
      </x:c>
      <x:c r="X77" s="20" t="inlineStr">
        <x:is>
          <x:t xml:space="preserve">C</x:t>
        </x:is>
      </x:c>
      <x:c r="Y77" s="25" t="n">
        <x:v>42.4</x:v>
      </x:c>
      <x:c r="Z77" s="20" t="inlineStr">
        <x:is>
          <x:t xml:space="preserve">https://www.fldoe.org/file/18534/SchoolGrades25.xlsx</x:t>
        </x:is>
      </x:c>
    </x:row>
    <x:row r="78">
      <x:c r="A78" s="20" t="inlineStr">
        <x:is>
          <x:t xml:space="preserve">490201</x:t>
        </x:is>
      </x:c>
      <x:c r="B78" s="20" t="inlineStr">
        <x:is>
          <x:t xml:space="preserve">49</x:t>
        </x:is>
      </x:c>
      <x:c r="C78" s="20" t="inlineStr">
        <x:is>
          <x:t xml:space="preserve">OSCEOLA</x:t>
        </x:is>
      </x:c>
      <x:c r="D78" s="20" t="inlineStr">
        <x:is>
          <x:t xml:space="preserve">0201</x:t>
        </x:is>
      </x:c>
      <x:c r="E78" s="20" t="inlineStr">
        <x:is>
          <x:t xml:space="preserve">ST. CLOUD HIGH SCHOOL</x:t>
        </x:is>
      </x:c>
      <x:c r="F78" s="20" t="inlineStr">
        <x:is>
          <x:t xml:space="preserve">03</x:t>
        </x:is>
      </x:c>
      <x:c r="G78" s="20" t="inlineStr">
        <x:is>
          <x:t xml:space="preserve">Senior High</x:t>
        </x:is>
      </x:c>
      <x:c r="H78" s="20" t="inlineStr">
        <x:is>
          <x:t xml:space="preserve">NO</x:t>
        </x:is>
      </x:c>
      <x:c r="I78" s="20" t="inlineStr">
        <x:is>
          <x:t xml:space="preserve">NO</x:t>
        </x:is>
      </x:c>
      <x:c r="J78" s="20" t="inlineStr">
        <x:is>
          <x:t xml:space="preserve">N</x:t>
        </x:is>
      </x:c>
      <x:c r="K78" s="25" t="n">
        <x:v>50</x:v>
      </x:c>
      <x:c r="L78" s="25" t="n">
        <x:v>53</x:v>
      </x:c>
      <x:c r="M78" s="25" t="n">
        <x:v>40</x:v>
      </x:c>
      <x:c r="N78" s="25" t="n">
        <x:v>48</x:v>
      </x:c>
      <x:c r="O78" s="25" t="n">
        <x:v>69</x:v>
      </x:c>
      <x:c r="P78" s="25" t="n">
        <x:v>73</x:v>
      </x:c>
      <x:c r="Q78" s="25" t="n">
        <x:v>94</x:v>
      </x:c>
      <x:c r="R78" s="25" t="n">
        <x:v>65</x:v>
      </x:c>
      <x:c r="S78" s="20" t="n">
        <x:v>601</x:v>
      </x:c>
      <x:c r="T78" s="20" t="n">
        <x:v>10</x:v>
      </x:c>
      <x:c r="U78" s="25" t="n">
        <x:v>60</x:v>
      </x:c>
      <x:c r="V78" s="25" t="n">
        <x:v>97</x:v>
      </x:c>
      <x:c r="W78" s="20" t="inlineStr">
        <x:is>
          <x:t xml:space="preserve">B</x:t>
        </x:is>
      </x:c>
      <x:c r="X78" s="20" t="inlineStr">
        <x:is>
          <x:t xml:space="preserve">B</x:t>
        </x:is>
      </x:c>
      <x:c r="Y78" s="25" t="n">
        <x:v>53.5</x:v>
      </x:c>
      <x:c r="Z78" s="20" t="inlineStr">
        <x:is>
          <x:t xml:space="preserve">https://www.fldoe.org/file/18534/SchoolGrades25.xlsx</x:t>
        </x:is>
      </x:c>
    </x:row>
    <x:row r="79">
      <x:c r="A79" s="20" t="inlineStr">
        <x:is>
          <x:t xml:space="preserve">490202</x:t>
        </x:is>
      </x:c>
      <x:c r="B79" s="20" t="inlineStr">
        <x:is>
          <x:t xml:space="preserve">49</x:t>
        </x:is>
      </x:c>
      <x:c r="C79" s="20" t="inlineStr">
        <x:is>
          <x:t xml:space="preserve">OSCEOLA</x:t>
        </x:is>
      </x:c>
      <x:c r="D79" s="20" t="inlineStr">
        <x:is>
          <x:t xml:space="preserve">0202</x:t>
        </x:is>
      </x:c>
      <x:c r="E79" s="20" t="inlineStr">
        <x:is>
          <x:t xml:space="preserve">MATER ACADEMY AT ST CLOUD</x:t>
        </x:is>
      </x:c>
      <x:c r="F79" s="20" t="inlineStr">
        <x:is>
          <x:t xml:space="preserve">04</x:t>
        </x:is>
      </x:c>
      <x:c r="G79" s="20" t="inlineStr">
        <x:is>
          <x:t xml:space="preserve">Combination</x:t>
        </x:is>
      </x:c>
      <x:c r="H79" s="20" t="inlineStr">
        <x:is>
          <x:t xml:space="preserve">YES</x:t>
        </x:is>
      </x:c>
      <x:c r="I79" s="20" t="inlineStr">
        <x:is>
          <x:t xml:space="preserve">YES</x:t>
        </x:is>
      </x:c>
      <x:c r="J79" s="20" t="inlineStr">
        <x:is>
          <x:t xml:space="preserve">N</x:t>
        </x:is>
      </x:c>
      <x:c r="K79" s="25" t="n">
        <x:v>61</x:v>
      </x:c>
      <x:c r="L79" s="25" t="n">
        <x:v>66</x:v>
      </x:c>
      <x:c r="M79" s="25" t="n">
        <x:v>57</x:v>
      </x:c>
      <x:c r="N79" s="25" t="n">
        <x:v>66</x:v>
      </x:c>
      <x:c r="O79" s="25" t="n">
        <x:v>41</x:v>
      </x:c>
      <x:c r="P79" s="25" t="n">
        <x:v>76</x:v>
      </x:c>
      <x:c r="Q79" s="25" t="n"/>
      <x:c r="R79" s="25" t="n"/>
      <x:c r="S79" s="20" t="n">
        <x:v>639</x:v>
      </x:c>
      <x:c r="T79" s="20" t="n">
        <x:v>10</x:v>
      </x:c>
      <x:c r="U79" s="25" t="n">
        <x:v>64</x:v>
      </x:c>
      <x:c r="V79" s="25" t="n">
        <x:v>100</x:v>
      </x:c>
      <x:c r="W79" s="20" t="inlineStr">
        <x:is>
          <x:t xml:space="preserve">A</x:t>
        </x:is>
      </x:c>
      <x:c r="X79" s="20" t="inlineStr">
        <x:is>
          <x:t xml:space="preserve">B</x:t>
        </x:is>
      </x:c>
      <x:c r="Y79" s="25" t="n">
        <x:v>69.2</x:v>
      </x:c>
      <x:c r="Z79" s="20" t="inlineStr">
        <x:is>
          <x:t xml:space="preserve">https://www.fldoe.org/file/18534/SchoolGrades25.xlsx</x:t>
        </x:is>
      </x:c>
    </x:row>
    <x:row r="80">
      <x:c r="A80" s="20" t="inlineStr">
        <x:is>
          <x:t xml:space="preserve">490203</x:t>
        </x:is>
      </x:c>
      <x:c r="B80" s="20" t="inlineStr">
        <x:is>
          <x:t xml:space="preserve">49</x:t>
        </x:is>
      </x:c>
      <x:c r="C80" s="20" t="inlineStr">
        <x:is>
          <x:t xml:space="preserve">OSCEOLA</x:t>
        </x:is>
      </x:c>
      <x:c r="D80" s="20" t="inlineStr">
        <x:is>
          <x:t xml:space="preserve">0203</x:t>
        </x:is>
      </x:c>
      <x:c r="E80" s="20" t="inlineStr">
        <x:is>
          <x:t xml:space="preserve">VICTORY CHARTER SCHOOL K-5</x:t>
        </x:is>
      </x:c>
      <x:c r="F80" s="20" t="inlineStr">
        <x:is>
          <x:t xml:space="preserve">01</x:t>
        </x:is>
      </x:c>
      <x:c r="G80" s="20" t="inlineStr">
        <x:is>
          <x:t xml:space="preserve">Elementary</x:t>
        </x:is>
      </x:c>
      <x:c r="H80" s="20" t="inlineStr">
        <x:is>
          <x:t xml:space="preserve">YES</x:t>
        </x:is>
      </x:c>
      <x:c r="I80" s="20" t="inlineStr">
        <x:is>
          <x:t xml:space="preserve">NO</x:t>
        </x:is>
      </x:c>
      <x:c r="J80" s="20" t="inlineStr">
        <x:is>
          <x:t xml:space="preserve">N</x:t>
        </x:is>
      </x:c>
      <x:c r="K80" s="25" t="n">
        <x:v>43</x:v>
      </x:c>
      <x:c r="L80" s="25" t="n">
        <x:v>54</x:v>
      </x:c>
      <x:c r="M80" s="25" t="n">
        <x:v>38</x:v>
      </x:c>
      <x:c r="N80" s="25" t="n">
        <x:v>46</x:v>
      </x:c>
      <x:c r="O80" s="25" t="n">
        <x:v>30</x:v>
      </x:c>
      <x:c r="P80" s="25" t="n"/>
      <x:c r="Q80" s="25" t="n"/>
      <x:c r="R80" s="25" t="n"/>
      <x:c r="S80" s="20" t="n">
        <x:v>344</x:v>
      </x:c>
      <x:c r="T80" s="20" t="n">
        <x:v>8</x:v>
      </x:c>
      <x:c r="U80" s="25" t="n">
        <x:v>43</x:v>
      </x:c>
      <x:c r="V80" s="25" t="n">
        <x:v>99</x:v>
      </x:c>
      <x:c r="W80" s="20" t="inlineStr">
        <x:is>
          <x:t xml:space="preserve">C</x:t>
        </x:is>
      </x:c>
      <x:c r="X80" s="20" t="inlineStr">
        <x:is>
          <x:t xml:space="preserve">C</x:t>
        </x:is>
      </x:c>
      <x:c r="Y80" s="25" t="n">
        <x:v>72.2</x:v>
      </x:c>
      <x:c r="Z80" s="20" t="inlineStr">
        <x:is>
          <x:t xml:space="preserve">https://www.fldoe.org/file/18534/SchoolGrades25.xlsx</x:t>
        </x:is>
      </x:c>
    </x:row>
    <x:row r="81">
      <x:c r="A81" s="20" t="inlineStr">
        <x:is>
          <x:t xml:space="preserve">490251</x:t>
        </x:is>
      </x:c>
      <x:c r="B81" s="20" t="inlineStr">
        <x:is>
          <x:t xml:space="preserve">49</x:t>
        </x:is>
      </x:c>
      <x:c r="C81" s="20" t="inlineStr">
        <x:is>
          <x:t xml:space="preserve">OSCEOLA</x:t>
        </x:is>
      </x:c>
      <x:c r="D81" s="20" t="inlineStr">
        <x:is>
          <x:t xml:space="preserve">0251</x:t>
        </x:is>
      </x:c>
      <x:c r="E81" s="20" t="inlineStr">
        <x:is>
          <x:t xml:space="preserve">KISSIMMEE MIDDLE SCHOOL</x:t>
        </x:is>
      </x:c>
      <x:c r="F81" s="20" t="inlineStr">
        <x:is>
          <x:t xml:space="preserve">02</x:t>
        </x:is>
      </x:c>
      <x:c r="G81" s="20" t="inlineStr">
        <x:is>
          <x:t xml:space="preserve">Middle/Junior</x:t>
        </x:is>
      </x:c>
      <x:c r="H81" s="20" t="inlineStr">
        <x:is>
          <x:t xml:space="preserve">NO</x:t>
        </x:is>
      </x:c>
      <x:c r="I81" s="20" t="inlineStr">
        <x:is>
          <x:t xml:space="preserve">YES</x:t>
        </x:is>
      </x:c>
      <x:c r="J81" s="20" t="inlineStr">
        <x:is>
          <x:t xml:space="preserve">N</x:t>
        </x:is>
      </x:c>
      <x:c r="K81" s="25" t="n">
        <x:v>42</x:v>
      </x:c>
      <x:c r="L81" s="25" t="n">
        <x:v>58</x:v>
      </x:c>
      <x:c r="M81" s="25" t="n">
        <x:v>50</x:v>
      </x:c>
      <x:c r="N81" s="25" t="n">
        <x:v>67</x:v>
      </x:c>
      <x:c r="O81" s="25" t="n">
        <x:v>49</x:v>
      </x:c>
      <x:c r="P81" s="25" t="n">
        <x:v>72</x:v>
      </x:c>
      <x:c r="Q81" s="25" t="n"/>
      <x:c r="R81" s="25" t="n"/>
      <x:c r="S81" s="20" t="n">
        <x:v>553</x:v>
      </x:c>
      <x:c r="T81" s="20" t="n">
        <x:v>9</x:v>
      </x:c>
      <x:c r="U81" s="25" t="n">
        <x:v>61</x:v>
      </x:c>
      <x:c r="V81" s="25" t="n">
        <x:v>97</x:v>
      </x:c>
      <x:c r="W81" s="20" t="inlineStr">
        <x:is>
          <x:t xml:space="preserve">B</x:t>
        </x:is>
      </x:c>
      <x:c r="X81" s="20" t="inlineStr">
        <x:is>
          <x:t xml:space="preserve">C</x:t>
        </x:is>
      </x:c>
      <x:c r="Y81" s="25" t="n">
        <x:v>87.3</x:v>
      </x:c>
      <x:c r="Z81" s="20" t="inlineStr">
        <x:is>
          <x:t xml:space="preserve">https://www.fldoe.org/file/18534/SchoolGrades25.xlsx</x:t>
        </x:is>
      </x:c>
    </x:row>
    <x:row r="82">
      <x:c r="A82" s="20" t="inlineStr">
        <x:is>
          <x:t xml:space="preserve">490252</x:t>
        </x:is>
      </x:c>
      <x:c r="B82" s="20" t="inlineStr">
        <x:is>
          <x:t xml:space="preserve">49</x:t>
        </x:is>
      </x:c>
      <x:c r="C82" s="20" t="inlineStr">
        <x:is>
          <x:t xml:space="preserve">OSCEOLA</x:t>
        </x:is>
      </x:c>
      <x:c r="D82" s="20" t="inlineStr">
        <x:is>
          <x:t xml:space="preserve">0252</x:t>
        </x:is>
      </x:c>
      <x:c r="E82" s="20" t="inlineStr">
        <x:is>
          <x:t xml:space="preserve">HARMONY MIDDLE SCHOOL</x:t>
        </x:is>
      </x:c>
      <x:c r="F82" s="20" t="inlineStr">
        <x:is>
          <x:t xml:space="preserve">02</x:t>
        </x:is>
      </x:c>
      <x:c r="G82" s="20" t="inlineStr">
        <x:is>
          <x:t xml:space="preserve">Middle/Junior</x:t>
        </x:is>
      </x:c>
      <x:c r="H82" s="20" t="inlineStr">
        <x:is>
          <x:t xml:space="preserve">NO</x:t>
        </x:is>
      </x:c>
      <x:c r="I82" s="20" t="inlineStr">
        <x:is>
          <x:t xml:space="preserve">NO</x:t>
        </x:is>
      </x:c>
      <x:c r="J82" s="20" t="inlineStr">
        <x:is>
          <x:t xml:space="preserve">N</x:t>
        </x:is>
      </x:c>
      <x:c r="K82" s="25" t="n">
        <x:v>60</x:v>
      </x:c>
      <x:c r="L82" s="25" t="n">
        <x:v>58</x:v>
      </x:c>
      <x:c r="M82" s="25" t="n">
        <x:v>64</x:v>
      </x:c>
      <x:c r="N82" s="25" t="n">
        <x:v>66</x:v>
      </x:c>
      <x:c r="O82" s="25" t="n">
        <x:v>61</x:v>
      </x:c>
      <x:c r="P82" s="25" t="n">
        <x:v>77</x:v>
      </x:c>
      <x:c r="Q82" s="25" t="n"/>
      <x:c r="R82" s="25" t="n"/>
      <x:c r="S82" s="20" t="n">
        <x:v>583</x:v>
      </x:c>
      <x:c r="T82" s="20" t="n">
        <x:v>9</x:v>
      </x:c>
      <x:c r="U82" s="25" t="n">
        <x:v>65</x:v>
      </x:c>
      <x:c r="V82" s="25" t="n">
        <x:v>99</x:v>
      </x:c>
      <x:c r="W82" s="20" t="inlineStr">
        <x:is>
          <x:t xml:space="preserve">A</x:t>
        </x:is>
      </x:c>
      <x:c r="X82" s="20" t="inlineStr">
        <x:is>
          <x:t xml:space="preserve">B</x:t>
        </x:is>
      </x:c>
      <x:c r="Y82" s="25" t="n">
        <x:v>45.5</x:v>
      </x:c>
      <x:c r="Z82" s="20" t="inlineStr">
        <x:is>
          <x:t xml:space="preserve">https://www.fldoe.org/file/18534/SchoolGrades25.xlsx</x:t>
        </x:is>
      </x:c>
    </x:row>
    <x:row r="83">
      <x:c r="A83" s="20" t="inlineStr">
        <x:is>
          <x:t xml:space="preserve">490271</x:t>
        </x:is>
      </x:c>
      <x:c r="B83" s="20" t="inlineStr">
        <x:is>
          <x:t xml:space="preserve">49</x:t>
        </x:is>
      </x:c>
      <x:c r="C83" s="20" t="inlineStr">
        <x:is>
          <x:t xml:space="preserve">OSCEOLA</x:t>
        </x:is>
      </x:c>
      <x:c r="D83" s="20" t="inlineStr">
        <x:is>
          <x:t xml:space="preserve">0271</x:t>
        </x:is>
      </x:c>
      <x:c r="E83" s="20" t="inlineStr">
        <x:is>
          <x:t xml:space="preserve">MICHIGAN AVENUE ELEMENTARY SCHOOL</x:t>
        </x:is>
      </x:c>
      <x:c r="F83" s="20" t="inlineStr">
        <x:is>
          <x:t xml:space="preserve">01</x:t>
        </x:is>
      </x:c>
      <x:c r="G83" s="20" t="inlineStr">
        <x:is>
          <x:t xml:space="preserve">Elementary</x:t>
        </x:is>
      </x:c>
      <x:c r="H83" s="20" t="inlineStr">
        <x:is>
          <x:t xml:space="preserve">NO</x:t>
        </x:is>
      </x:c>
      <x:c r="I83" s="20" t="inlineStr">
        <x:is>
          <x:t xml:space="preserve">YES</x:t>
        </x:is>
      </x:c>
      <x:c r="J83" s="20" t="inlineStr">
        <x:is>
          <x:t xml:space="preserve">N</x:t>
        </x:is>
      </x:c>
      <x:c r="K83" s="25" t="n">
        <x:v>53</x:v>
      </x:c>
      <x:c r="L83" s="25" t="n">
        <x:v>65</x:v>
      </x:c>
      <x:c r="M83" s="25" t="n">
        <x:v>59</x:v>
      </x:c>
      <x:c r="N83" s="25" t="n">
        <x:v>62</x:v>
      </x:c>
      <x:c r="O83" s="25" t="n">
        <x:v>47</x:v>
      </x:c>
      <x:c r="P83" s="25" t="n"/>
      <x:c r="Q83" s="25" t="n"/>
      <x:c r="R83" s="25" t="n"/>
      <x:c r="S83" s="20" t="n">
        <x:v>458</x:v>
      </x:c>
      <x:c r="T83" s="20" t="n">
        <x:v>8</x:v>
      </x:c>
      <x:c r="U83" s="25" t="n">
        <x:v>57</x:v>
      </x:c>
      <x:c r="V83" s="25" t="n">
        <x:v>100</x:v>
      </x:c>
      <x:c r="W83" s="20" t="inlineStr">
        <x:is>
          <x:t xml:space="preserve">B</x:t>
        </x:is>
      </x:c>
      <x:c r="X83" s="20" t="inlineStr">
        <x:is>
          <x:t xml:space="preserve">B</x:t>
        </x:is>
      </x:c>
      <x:c r="Y83" s="25" t="n">
        <x:v>87.09999999999999</x:v>
      </x:c>
      <x:c r="Z83" s="20" t="inlineStr">
        <x:is>
          <x:t xml:space="preserve">https://www.fldoe.org/file/18534/SchoolGrades25.xlsx</x:t>
        </x:is>
      </x:c>
    </x:row>
    <x:row r="84">
      <x:c r="A84" s="20" t="inlineStr">
        <x:is>
          <x:t xml:space="preserve">490272</x:t>
        </x:is>
      </x:c>
      <x:c r="B84" s="20" t="inlineStr">
        <x:is>
          <x:t xml:space="preserve">49</x:t>
        </x:is>
      </x:c>
      <x:c r="C84" s="20" t="inlineStr">
        <x:is>
          <x:t xml:space="preserve">OSCEOLA</x:t>
        </x:is>
      </x:c>
      <x:c r="D84" s="20" t="inlineStr">
        <x:is>
          <x:t xml:space="preserve">0272</x:t>
        </x:is>
      </x:c>
      <x:c r="E84" s="20" t="inlineStr">
        <x:is>
          <x:t xml:space="preserve">ST. CLOUD MIDDLE SCHOOL</x:t>
        </x:is>
      </x:c>
      <x:c r="F84" s="20" t="inlineStr">
        <x:is>
          <x:t xml:space="preserve">02</x:t>
        </x:is>
      </x:c>
      <x:c r="G84" s="20" t="inlineStr">
        <x:is>
          <x:t xml:space="preserve">Middle/Junior</x:t>
        </x:is>
      </x:c>
      <x:c r="H84" s="20" t="inlineStr">
        <x:is>
          <x:t xml:space="preserve">NO</x:t>
        </x:is>
      </x:c>
      <x:c r="I84" s="20" t="inlineStr">
        <x:is>
          <x:t xml:space="preserve">NO</x:t>
        </x:is>
      </x:c>
      <x:c r="J84" s="20" t="inlineStr">
        <x:is>
          <x:t xml:space="preserve">N</x:t>
        </x:is>
      </x:c>
      <x:c r="K84" s="25" t="n">
        <x:v>59</x:v>
      </x:c>
      <x:c r="L84" s="25" t="n">
        <x:v>61</x:v>
      </x:c>
      <x:c r="M84" s="25" t="n">
        <x:v>67</x:v>
      </x:c>
      <x:c r="N84" s="25" t="n">
        <x:v>68</x:v>
      </x:c>
      <x:c r="O84" s="25" t="n">
        <x:v>61</x:v>
      </x:c>
      <x:c r="P84" s="25" t="n">
        <x:v>74</x:v>
      </x:c>
      <x:c r="Q84" s="25" t="n"/>
      <x:c r="R84" s="25" t="n"/>
      <x:c r="S84" s="20" t="n">
        <x:v>591</x:v>
      </x:c>
      <x:c r="T84" s="20" t="n">
        <x:v>9</x:v>
      </x:c>
      <x:c r="U84" s="25" t="n">
        <x:v>66</x:v>
      </x:c>
      <x:c r="V84" s="25" t="n">
        <x:v>99</x:v>
      </x:c>
      <x:c r="W84" s="20" t="inlineStr">
        <x:is>
          <x:t xml:space="preserve">A</x:t>
        </x:is>
      </x:c>
      <x:c r="X84" s="20" t="inlineStr">
        <x:is>
          <x:t xml:space="preserve">B</x:t>
        </x:is>
      </x:c>
      <x:c r="Y84" s="25" t="n">
        <x:v>76.09999999999999</x:v>
      </x:c>
      <x:c r="Z84" s="20" t="inlineStr">
        <x:is>
          <x:t xml:space="preserve">https://www.fldoe.org/file/18534/SchoolGrades25.xlsx</x:t>
        </x:is>
      </x:c>
    </x:row>
    <x:row r="85">
      <x:c r="A85" s="20" t="inlineStr">
        <x:is>
          <x:t xml:space="preserve">490300</x:t>
        </x:is>
      </x:c>
      <x:c r="B85" s="20" t="inlineStr">
        <x:is>
          <x:t xml:space="preserve">49</x:t>
        </x:is>
      </x:c>
      <x:c r="C85" s="20" t="inlineStr">
        <x:is>
          <x:t xml:space="preserve">OSCEOLA</x:t>
        </x:is>
      </x:c>
      <x:c r="D85" s="20" t="inlineStr">
        <x:is>
          <x:t xml:space="preserve">0300</x:t>
        </x:is>
      </x:c>
      <x:c r="E85" s="20" t="inlineStr">
        <x:is>
          <x:t xml:space="preserve">KOA ELEMENTARY SCHOOL</x:t>
        </x:is>
      </x:c>
      <x:c r="F85" s="20" t="inlineStr">
        <x:is>
          <x:t xml:space="preserve">01</x:t>
        </x:is>
      </x:c>
      <x:c r="G85" s="20" t="inlineStr">
        <x:is>
          <x:t xml:space="preserve">Elementary</x:t>
        </x:is>
      </x:c>
      <x:c r="H85" s="20" t="inlineStr">
        <x:is>
          <x:t xml:space="preserve">NO</x:t>
        </x:is>
      </x:c>
      <x:c r="I85" s="20" t="inlineStr">
        <x:is>
          <x:t xml:space="preserve">YES</x:t>
        </x:is>
      </x:c>
      <x:c r="J85" s="20" t="inlineStr">
        <x:is>
          <x:t xml:space="preserve">N</x:t>
        </x:is>
      </x:c>
      <x:c r="K85" s="25" t="n">
        <x:v>40</x:v>
      </x:c>
      <x:c r="L85" s="25" t="n">
        <x:v>50</x:v>
      </x:c>
      <x:c r="M85" s="25" t="n">
        <x:v>37</x:v>
      </x:c>
      <x:c r="N85" s="25" t="n">
        <x:v>58</x:v>
      </x:c>
      <x:c r="O85" s="25" t="n">
        <x:v>36</x:v>
      </x:c>
      <x:c r="P85" s="25" t="n"/>
      <x:c r="Q85" s="25" t="n"/>
      <x:c r="R85" s="25" t="n"/>
      <x:c r="S85" s="20" t="n">
        <x:v>364</x:v>
      </x:c>
      <x:c r="T85" s="20" t="n">
        <x:v>8</x:v>
      </x:c>
      <x:c r="U85" s="25" t="n">
        <x:v>46</x:v>
      </x:c>
      <x:c r="V85" s="25" t="n">
        <x:v>99</x:v>
      </x:c>
      <x:c r="W85" s="20" t="inlineStr">
        <x:is>
          <x:t xml:space="preserve">C</x:t>
        </x:is>
      </x:c>
      <x:c r="X85" s="20" t="inlineStr">
        <x:is>
          <x:t xml:space="preserve">C</x:t>
        </x:is>
      </x:c>
      <x:c r="Y85" s="25" t="n">
        <x:v>100</x:v>
      </x:c>
      <x:c r="Z85" s="20" t="inlineStr">
        <x:is>
          <x:t xml:space="preserve">https://www.fldoe.org/file/18534/SchoolGrades25.xlsx</x:t>
        </x:is>
      </x:c>
    </x:row>
    <x:row r="86">
      <x:c r="A86" s="20" t="inlineStr">
        <x:is>
          <x:t xml:space="preserve">490301</x:t>
        </x:is>
      </x:c>
      <x:c r="B86" s="20" t="inlineStr">
        <x:is>
          <x:t xml:space="preserve">49</x:t>
        </x:is>
      </x:c>
      <x:c r="C86" s="20" t="inlineStr">
        <x:is>
          <x:t xml:space="preserve">OSCEOLA</x:t>
        </x:is>
      </x:c>
      <x:c r="D86" s="20" t="inlineStr">
        <x:is>
          <x:t xml:space="preserve">0301</x:t>
        </x:is>
      </x:c>
      <x:c r="E86" s="20" t="inlineStr">
        <x:is>
          <x:t xml:space="preserve">REEDY CREEK ELEMENTARY SCHOOL</x:t>
        </x:is>
      </x:c>
      <x:c r="F86" s="20" t="inlineStr">
        <x:is>
          <x:t xml:space="preserve">01</x:t>
        </x:is>
      </x:c>
      <x:c r="G86" s="20" t="inlineStr">
        <x:is>
          <x:t xml:space="preserve">Elementary</x:t>
        </x:is>
      </x:c>
      <x:c r="H86" s="20" t="inlineStr">
        <x:is>
          <x:t xml:space="preserve">NO</x:t>
        </x:is>
      </x:c>
      <x:c r="I86" s="20" t="inlineStr">
        <x:is>
          <x:t xml:space="preserve">YES</x:t>
        </x:is>
      </x:c>
      <x:c r="J86" s="20" t="inlineStr">
        <x:is>
          <x:t xml:space="preserve">N</x:t>
        </x:is>
      </x:c>
      <x:c r="K86" s="25" t="n">
        <x:v>62</x:v>
      </x:c>
      <x:c r="L86" s="25" t="n">
        <x:v>63</x:v>
      </x:c>
      <x:c r="M86" s="25" t="n">
        <x:v>47</x:v>
      </x:c>
      <x:c r="N86" s="25" t="n">
        <x:v>51</x:v>
      </x:c>
      <x:c r="O86" s="25" t="n">
        <x:v>52</x:v>
      </x:c>
      <x:c r="P86" s="25" t="n"/>
      <x:c r="Q86" s="25" t="n"/>
      <x:c r="R86" s="25" t="n"/>
      <x:c r="S86" s="20" t="n">
        <x:v>459</x:v>
      </x:c>
      <x:c r="T86" s="20" t="n">
        <x:v>8</x:v>
      </x:c>
      <x:c r="U86" s="25" t="n">
        <x:v>57</x:v>
      </x:c>
      <x:c r="V86" s="25" t="n">
        <x:v>100</x:v>
      </x:c>
      <x:c r="W86" s="20" t="inlineStr">
        <x:is>
          <x:t xml:space="preserve">B</x:t>
        </x:is>
      </x:c>
      <x:c r="X86" s="20" t="inlineStr">
        <x:is>
          <x:t xml:space="preserve">C</x:t>
        </x:is>
      </x:c>
      <x:c r="Y86" s="25" t="n">
        <x:v>100</x:v>
      </x:c>
      <x:c r="Z86" s="20" t="inlineStr">
        <x:is>
          <x:t xml:space="preserve">https://www.fldoe.org/file/18534/SchoolGrades25.xlsx</x:t>
        </x:is>
      </x:c>
    </x:row>
    <x:row r="87">
      <x:c r="A87" s="20" t="inlineStr">
        <x:is>
          <x:t xml:space="preserve">490302</x:t>
        </x:is>
      </x:c>
      <x:c r="B87" s="20" t="inlineStr">
        <x:is>
          <x:t xml:space="preserve">49</x:t>
        </x:is>
      </x:c>
      <x:c r="C87" s="20" t="inlineStr">
        <x:is>
          <x:t xml:space="preserve">OSCEOLA</x:t>
        </x:is>
      </x:c>
      <x:c r="D87" s="20" t="inlineStr">
        <x:is>
          <x:t xml:space="preserve">0302</x:t>
        </x:is>
      </x:c>
      <x:c r="E87" s="20" t="inlineStr">
        <x:is>
          <x:t xml:space="preserve">WESTSIDE K-8 SCHOOL</x:t>
        </x:is>
      </x:c>
      <x:c r="F87" s="20" t="inlineStr">
        <x:is>
          <x:t xml:space="preserve">04</x:t>
        </x:is>
      </x:c>
      <x:c r="G87" s="20" t="inlineStr">
        <x:is>
          <x:t xml:space="preserve">Combination</x:t>
        </x:is>
      </x:c>
      <x:c r="H87" s="20" t="inlineStr">
        <x:is>
          <x:t xml:space="preserve">NO</x:t>
        </x:is>
      </x:c>
      <x:c r="I87" s="20" t="inlineStr">
        <x:is>
          <x:t xml:space="preserve">YES</x:t>
        </x:is>
      </x:c>
      <x:c r="J87" s="20" t="inlineStr">
        <x:is>
          <x:t xml:space="preserve">N</x:t>
        </x:is>
      </x:c>
      <x:c r="K87" s="25" t="n">
        <x:v>51</x:v>
      </x:c>
      <x:c r="L87" s="25" t="n">
        <x:v>58</x:v>
      </x:c>
      <x:c r="M87" s="25" t="n">
        <x:v>50</x:v>
      </x:c>
      <x:c r="N87" s="25" t="n">
        <x:v>58</x:v>
      </x:c>
      <x:c r="O87" s="25" t="n">
        <x:v>55</x:v>
      </x:c>
      <x:c r="P87" s="25" t="n">
        <x:v>78</x:v>
      </x:c>
      <x:c r="Q87" s="25" t="n"/>
      <x:c r="R87" s="25" t="n"/>
      <x:c r="S87" s="20" t="n">
        <x:v>601</x:v>
      </x:c>
      <x:c r="T87" s="20" t="n">
        <x:v>10</x:v>
      </x:c>
      <x:c r="U87" s="25" t="n">
        <x:v>60</x:v>
      </x:c>
      <x:c r="V87" s="25" t="n">
        <x:v>99</x:v>
      </x:c>
      <x:c r="W87" s="20" t="inlineStr">
        <x:is>
          <x:t xml:space="preserve">B</x:t>
        </x:is>
      </x:c>
      <x:c r="X87" s="20" t="inlineStr">
        <x:is>
          <x:t xml:space="preserve">B</x:t>
        </x:is>
      </x:c>
      <x:c r="Y87" s="25" t="n">
        <x:v>70.5</x:v>
      </x:c>
      <x:c r="Z87" s="20" t="inlineStr">
        <x:is>
          <x:t xml:space="preserve">https://www.fldoe.org/file/18534/SchoolGrades25.xlsx</x:t>
        </x:is>
      </x:c>
    </x:row>
    <x:row r="88">
      <x:c r="A88" s="20" t="inlineStr">
        <x:is>
          <x:t xml:space="preserve">490311</x:t>
        </x:is>
      </x:c>
      <x:c r="B88" s="20" t="inlineStr">
        <x:is>
          <x:t xml:space="preserve">49</x:t>
        </x:is>
      </x:c>
      <x:c r="C88" s="20" t="inlineStr">
        <x:is>
          <x:t xml:space="preserve">OSCEOLA</x:t>
        </x:is>
      </x:c>
      <x:c r="D88" s="20" t="inlineStr">
        <x:is>
          <x:t xml:space="preserve">0311</x:t>
        </x:is>
      </x:c>
      <x:c r="E88" s="20" t="inlineStr">
        <x:is>
          <x:t xml:space="preserve">NEPTUNE MIDDLE SCHOOL</x:t>
        </x:is>
      </x:c>
      <x:c r="F88" s="20" t="inlineStr">
        <x:is>
          <x:t xml:space="preserve">02</x:t>
        </x:is>
      </x:c>
      <x:c r="G88" s="20" t="inlineStr">
        <x:is>
          <x:t xml:space="preserve">Middle/Junior</x:t>
        </x:is>
      </x:c>
      <x:c r="H88" s="20" t="inlineStr">
        <x:is>
          <x:t xml:space="preserve">NO</x:t>
        </x:is>
      </x:c>
      <x:c r="I88" s="20" t="inlineStr">
        <x:is>
          <x:t xml:space="preserve">YES</x:t>
        </x:is>
      </x:c>
      <x:c r="J88" s="20" t="inlineStr">
        <x:is>
          <x:t xml:space="preserve">N</x:t>
        </x:is>
      </x:c>
      <x:c r="K88" s="25" t="n">
        <x:v>56</x:v>
      </x:c>
      <x:c r="L88" s="25" t="n">
        <x:v>62</x:v>
      </x:c>
      <x:c r="M88" s="25" t="n">
        <x:v>65</x:v>
      </x:c>
      <x:c r="N88" s="25" t="n">
        <x:v>65</x:v>
      </x:c>
      <x:c r="O88" s="25" t="n">
        <x:v>67</x:v>
      </x:c>
      <x:c r="P88" s="25" t="n">
        <x:v>84</x:v>
      </x:c>
      <x:c r="Q88" s="25" t="n"/>
      <x:c r="R88" s="25" t="n"/>
      <x:c r="S88" s="20" t="n">
        <x:v>615</x:v>
      </x:c>
      <x:c r="T88" s="20" t="n">
        <x:v>9</x:v>
      </x:c>
      <x:c r="U88" s="25" t="n">
        <x:v>68</x:v>
      </x:c>
      <x:c r="V88" s="25" t="n">
        <x:v>98</x:v>
      </x:c>
      <x:c r="W88" s="20" t="inlineStr">
        <x:is>
          <x:t xml:space="preserve">A</x:t>
        </x:is>
      </x:c>
      <x:c r="X88" s="20" t="inlineStr">
        <x:is>
          <x:t xml:space="preserve">A</x:t>
        </x:is>
      </x:c>
      <x:c r="Y88" s="25" t="n">
        <x:v>75.59999999999999</x:v>
      </x:c>
      <x:c r="Z88" s="20" t="inlineStr">
        <x:is>
          <x:t xml:space="preserve">https://www.fldoe.org/file/18534/SchoolGrades25.xlsx</x:t>
        </x:is>
      </x:c>
    </x:row>
    <x:row r="89">
      <x:c r="A89" s="20" t="inlineStr">
        <x:is>
          <x:t xml:space="preserve">490321</x:t>
        </x:is>
      </x:c>
      <x:c r="B89" s="20" t="inlineStr">
        <x:is>
          <x:t xml:space="preserve">49</x:t>
        </x:is>
      </x:c>
      <x:c r="C89" s="20" t="inlineStr">
        <x:is>
          <x:t xml:space="preserve">OSCEOLA</x:t>
        </x:is>
      </x:c>
      <x:c r="D89" s="20" t="inlineStr">
        <x:is>
          <x:t xml:space="preserve">0321</x:t>
        </x:is>
      </x:c>
      <x:c r="E89" s="20" t="inlineStr">
        <x:is>
          <x:t xml:space="preserve">VENTURA ELEMENTARY SCHOOL</x:t>
        </x:is>
      </x:c>
      <x:c r="F89" s="20" t="inlineStr">
        <x:is>
          <x:t xml:space="preserve">01</x:t>
        </x:is>
      </x:c>
      <x:c r="G89" s="20" t="inlineStr">
        <x:is>
          <x:t xml:space="preserve">Elementary</x:t>
        </x:is>
      </x:c>
      <x:c r="H89" s="20" t="inlineStr">
        <x:is>
          <x:t xml:space="preserve">NO</x:t>
        </x:is>
      </x:c>
      <x:c r="I89" s="20" t="inlineStr">
        <x:is>
          <x:t xml:space="preserve">YES</x:t>
        </x:is>
      </x:c>
      <x:c r="J89" s="20" t="inlineStr">
        <x:is>
          <x:t xml:space="preserve">N</x:t>
        </x:is>
      </x:c>
      <x:c r="K89" s="25" t="n">
        <x:v>48</x:v>
      </x:c>
      <x:c r="L89" s="25" t="n">
        <x:v>54</x:v>
      </x:c>
      <x:c r="M89" s="25" t="n">
        <x:v>49</x:v>
      </x:c>
      <x:c r="N89" s="25" t="n">
        <x:v>51</x:v>
      </x:c>
      <x:c r="O89" s="25" t="n">
        <x:v>45</x:v>
      </x:c>
      <x:c r="P89" s="25" t="n"/>
      <x:c r="Q89" s="25" t="n"/>
      <x:c r="R89" s="25" t="n"/>
      <x:c r="S89" s="20" t="n">
        <x:v>384</x:v>
      </x:c>
      <x:c r="T89" s="20" t="n">
        <x:v>8</x:v>
      </x:c>
      <x:c r="U89" s="25" t="n">
        <x:v>48</x:v>
      </x:c>
      <x:c r="V89" s="25" t="n">
        <x:v>100</x:v>
      </x:c>
      <x:c r="W89" s="20" t="inlineStr">
        <x:is>
          <x:t xml:space="preserve">C</x:t>
        </x:is>
      </x:c>
      <x:c r="X89" s="20" t="inlineStr">
        <x:is>
          <x:t xml:space="preserve">B</x:t>
        </x:is>
      </x:c>
      <x:c r="Y89" s="25" t="n">
        <x:v>100</x:v>
      </x:c>
      <x:c r="Z89" s="20" t="inlineStr">
        <x:is>
          <x:t xml:space="preserve">https://www.fldoe.org/file/18534/SchoolGrades25.xlsx</x:t>
        </x:is>
      </x:c>
    </x:row>
    <x:row r="90">
      <x:c r="A90" s="20" t="inlineStr">
        <x:is>
          <x:t xml:space="preserve">490341</x:t>
        </x:is>
      </x:c>
      <x:c r="B90" s="20" t="inlineStr">
        <x:is>
          <x:t xml:space="preserve">49</x:t>
        </x:is>
      </x:c>
      <x:c r="C90" s="20" t="inlineStr">
        <x:is>
          <x:t xml:space="preserve">OSCEOLA</x:t>
        </x:is>
      </x:c>
      <x:c r="D90" s="20" t="inlineStr">
        <x:is>
          <x:t xml:space="preserve">0341</x:t>
        </x:is>
      </x:c>
      <x:c r="E90" s="20" t="inlineStr">
        <x:is>
          <x:t xml:space="preserve">HORIZON MIDDLE SCHOOL</x:t>
        </x:is>
      </x:c>
      <x:c r="F90" s="20" t="inlineStr">
        <x:is>
          <x:t xml:space="preserve">02</x:t>
        </x:is>
      </x:c>
      <x:c r="G90" s="20" t="inlineStr">
        <x:is>
          <x:t xml:space="preserve">Middle/Junior</x:t>
        </x:is>
      </x:c>
      <x:c r="H90" s="20" t="inlineStr">
        <x:is>
          <x:t xml:space="preserve">NO</x:t>
        </x:is>
      </x:c>
      <x:c r="I90" s="20" t="inlineStr">
        <x:is>
          <x:t xml:space="preserve">YES</x:t>
        </x:is>
      </x:c>
      <x:c r="J90" s="20" t="inlineStr">
        <x:is>
          <x:t xml:space="preserve">N</x:t>
        </x:is>
      </x:c>
      <x:c r="K90" s="25" t="n">
        <x:v>46</x:v>
      </x:c>
      <x:c r="L90" s="25" t="n">
        <x:v>54</x:v>
      </x:c>
      <x:c r="M90" s="25" t="n">
        <x:v>56</x:v>
      </x:c>
      <x:c r="N90" s="25" t="n">
        <x:v>68</x:v>
      </x:c>
      <x:c r="O90" s="25" t="n">
        <x:v>49</x:v>
      </x:c>
      <x:c r="P90" s="25" t="n">
        <x:v>63</x:v>
      </x:c>
      <x:c r="Q90" s="25" t="n"/>
      <x:c r="R90" s="25" t="n"/>
      <x:c r="S90" s="20" t="n">
        <x:v>538</x:v>
      </x:c>
      <x:c r="T90" s="20" t="n">
        <x:v>9</x:v>
      </x:c>
      <x:c r="U90" s="25" t="n">
        <x:v>60</x:v>
      </x:c>
      <x:c r="V90" s="25" t="n">
        <x:v>98</x:v>
      </x:c>
      <x:c r="W90" s="20" t="inlineStr">
        <x:is>
          <x:t xml:space="preserve">B</x:t>
        </x:is>
      </x:c>
      <x:c r="X90" s="20" t="inlineStr">
        <x:is>
          <x:t xml:space="preserve">C</x:t>
        </x:is>
      </x:c>
      <x:c r="Y90" s="25" t="n">
        <x:v>94</x:v>
      </x:c>
      <x:c r="Z90" s="20" t="inlineStr">
        <x:is>
          <x:t xml:space="preserve">https://www.fldoe.org/file/18534/SchoolGrades25.xlsx</x:t>
        </x:is>
      </x:c>
    </x:row>
    <x:row r="91">
      <x:c r="A91" s="20" t="inlineStr">
        <x:is>
          <x:t xml:space="preserve">490401</x:t>
        </x:is>
      </x:c>
      <x:c r="B91" s="20" t="inlineStr">
        <x:is>
          <x:t xml:space="preserve">49</x:t>
        </x:is>
      </x:c>
      <x:c r="C91" s="20" t="inlineStr">
        <x:is>
          <x:t xml:space="preserve">OSCEOLA</x:t>
        </x:is>
      </x:c>
      <x:c r="D91" s="20" t="inlineStr">
        <x:is>
          <x:t xml:space="preserve">0401</x:t>
        </x:is>
      </x:c>
      <x:c r="E91" s="20" t="inlineStr">
        <x:is>
          <x:t xml:space="preserve">BOGGY CREEK ELEMENTARY SCHOOL</x:t>
        </x:is>
      </x:c>
      <x:c r="F91" s="20" t="inlineStr">
        <x:is>
          <x:t xml:space="preserve">01</x:t>
        </x:is>
      </x:c>
      <x:c r="G91" s="20" t="inlineStr">
        <x:is>
          <x:t xml:space="preserve">Elementary</x:t>
        </x:is>
      </x:c>
      <x:c r="H91" s="20" t="inlineStr">
        <x:is>
          <x:t xml:space="preserve">NO</x:t>
        </x:is>
      </x:c>
      <x:c r="I91" s="20" t="inlineStr">
        <x:is>
          <x:t xml:space="preserve">YES</x:t>
        </x:is>
      </x:c>
      <x:c r="J91" s="20" t="inlineStr">
        <x:is>
          <x:t xml:space="preserve">N</x:t>
        </x:is>
      </x:c>
      <x:c r="K91" s="25" t="n">
        <x:v>45</x:v>
      </x:c>
      <x:c r="L91" s="25" t="n">
        <x:v>61</x:v>
      </x:c>
      <x:c r="M91" s="25" t="n">
        <x:v>41</x:v>
      </x:c>
      <x:c r="N91" s="25" t="n">
        <x:v>52</x:v>
      </x:c>
      <x:c r="O91" s="25" t="n">
        <x:v>40</x:v>
      </x:c>
      <x:c r="P91" s="25" t="n"/>
      <x:c r="Q91" s="25" t="n"/>
      <x:c r="R91" s="25" t="n"/>
      <x:c r="S91" s="20" t="n">
        <x:v>419</x:v>
      </x:c>
      <x:c r="T91" s="20" t="n">
        <x:v>8</x:v>
      </x:c>
      <x:c r="U91" s="25" t="n">
        <x:v>52</x:v>
      </x:c>
      <x:c r="V91" s="25" t="n">
        <x:v>100</x:v>
      </x:c>
      <x:c r="W91" s="20" t="inlineStr">
        <x:is>
          <x:t xml:space="preserve">C</x:t>
        </x:is>
      </x:c>
      <x:c r="X91" s="20" t="inlineStr">
        <x:is>
          <x:t xml:space="preserve">C</x:t>
        </x:is>
      </x:c>
      <x:c r="Y91" s="25" t="n">
        <x:v>100</x:v>
      </x:c>
      <x:c r="Z91" s="20" t="inlineStr">
        <x:is>
          <x:t xml:space="preserve">https://www.fldoe.org/file/18534/SchoolGrades25.xlsx</x:t>
        </x:is>
      </x:c>
    </x:row>
    <x:row r="92">
      <x:c r="A92" s="20" t="inlineStr">
        <x:is>
          <x:t xml:space="preserve">490501</x:t>
        </x:is>
      </x:c>
      <x:c r="B92" s="20" t="inlineStr">
        <x:is>
          <x:t xml:space="preserve">49</x:t>
        </x:is>
      </x:c>
      <x:c r="C92" s="20" t="inlineStr">
        <x:is>
          <x:t xml:space="preserve">OSCEOLA</x:t>
        </x:is>
      </x:c>
      <x:c r="D92" s="20" t="inlineStr">
        <x:is>
          <x:t xml:space="preserve">0501</x:t>
        </x:is>
      </x:c>
      <x:c r="E92" s="20" t="inlineStr">
        <x:is>
          <x:t xml:space="preserve">HICKORY TREE ELEMENTARY SCHOOL</x:t>
        </x:is>
      </x:c>
      <x:c r="F92" s="20" t="inlineStr">
        <x:is>
          <x:t xml:space="preserve">01</x:t>
        </x:is>
      </x:c>
      <x:c r="G92" s="20" t="inlineStr">
        <x:is>
          <x:t xml:space="preserve">Elementary</x:t>
        </x:is>
      </x:c>
      <x:c r="H92" s="20" t="inlineStr">
        <x:is>
          <x:t xml:space="preserve">NO</x:t>
        </x:is>
      </x:c>
      <x:c r="I92" s="20" t="inlineStr">
        <x:is>
          <x:t xml:space="preserve">NO</x:t>
        </x:is>
      </x:c>
      <x:c r="J92" s="20" t="inlineStr">
        <x:is>
          <x:t xml:space="preserve">N</x:t>
        </x:is>
      </x:c>
      <x:c r="K92" s="25" t="n">
        <x:v>60</x:v>
      </x:c>
      <x:c r="L92" s="25" t="n">
        <x:v>57</x:v>
      </x:c>
      <x:c r="M92" s="25" t="n">
        <x:v>62</x:v>
      </x:c>
      <x:c r="N92" s="25" t="n">
        <x:v>57</x:v>
      </x:c>
      <x:c r="O92" s="25" t="n">
        <x:v>56</x:v>
      </x:c>
      <x:c r="P92" s="25" t="n"/>
      <x:c r="Q92" s="25" t="n"/>
      <x:c r="R92" s="25" t="n"/>
      <x:c r="S92" s="20" t="n">
        <x:v>443</x:v>
      </x:c>
      <x:c r="T92" s="20" t="n">
        <x:v>8</x:v>
      </x:c>
      <x:c r="U92" s="25" t="n">
        <x:v>55</x:v>
      </x:c>
      <x:c r="V92" s="25" t="n">
        <x:v>100</x:v>
      </x:c>
      <x:c r="W92" s="20" t="inlineStr">
        <x:is>
          <x:t xml:space="preserve">B</x:t>
        </x:is>
      </x:c>
      <x:c r="X92" s="20" t="inlineStr">
        <x:is>
          <x:t xml:space="preserve">B</x:t>
        </x:is>
      </x:c>
      <x:c r="Y92" s="25" t="n">
        <x:v>49.8</x:v>
      </x:c>
      <x:c r="Z92" s="20" t="inlineStr">
        <x:is>
          <x:t xml:space="preserve">https://www.fldoe.org/file/18534/SchoolGrades25.xlsx</x:t>
        </x:is>
      </x:c>
    </x:row>
    <x:row r="93">
      <x:c r="A93" s="20" t="inlineStr">
        <x:is>
          <x:t xml:space="preserve">490601</x:t>
        </x:is>
      </x:c>
      <x:c r="B93" s="20" t="inlineStr">
        <x:is>
          <x:t xml:space="preserve">49</x:t>
        </x:is>
      </x:c>
      <x:c r="C93" s="20" t="inlineStr">
        <x:is>
          <x:t xml:space="preserve">OSCEOLA</x:t>
        </x:is>
      </x:c>
      <x:c r="D93" s="20" t="inlineStr">
        <x:is>
          <x:t xml:space="preserve">0601</x:t>
        </x:is>
      </x:c>
      <x:c r="E93" s="20" t="inlineStr">
        <x:is>
          <x:t xml:space="preserve">GATEWAY HIGH SCHOOL</x:t>
        </x:is>
      </x:c>
      <x:c r="F93" s="20" t="inlineStr">
        <x:is>
          <x:t xml:space="preserve">03</x:t>
        </x:is>
      </x:c>
      <x:c r="G93" s="20" t="inlineStr">
        <x:is>
          <x:t xml:space="preserve">Senior High</x:t>
        </x:is>
      </x:c>
      <x:c r="H93" s="20" t="inlineStr">
        <x:is>
          <x:t xml:space="preserve">NO</x:t>
        </x:is>
      </x:c>
      <x:c r="I93" s="20" t="inlineStr">
        <x:is>
          <x:t xml:space="preserve">YES</x:t>
        </x:is>
      </x:c>
      <x:c r="J93" s="20" t="inlineStr">
        <x:is>
          <x:t xml:space="preserve">N</x:t>
        </x:is>
      </x:c>
      <x:c r="K93" s="25" t="n">
        <x:v>59</x:v>
      </x:c>
      <x:c r="L93" s="25" t="n">
        <x:v>64</x:v>
      </x:c>
      <x:c r="M93" s="25" t="n">
        <x:v>43</x:v>
      </x:c>
      <x:c r="N93" s="25" t="n">
        <x:v>49</x:v>
      </x:c>
      <x:c r="O93" s="25" t="n">
        <x:v>78</x:v>
      </x:c>
      <x:c r="P93" s="25" t="n">
        <x:v>71</x:v>
      </x:c>
      <x:c r="Q93" s="25" t="n">
        <x:v>94</x:v>
      </x:c>
      <x:c r="R93" s="25" t="n">
        <x:v>52</x:v>
      </x:c>
      <x:c r="S93" s="20" t="n">
        <x:v>636</x:v>
      </x:c>
      <x:c r="T93" s="20" t="n">
        <x:v>10</x:v>
      </x:c>
      <x:c r="U93" s="25" t="n">
        <x:v>64</x:v>
      </x:c>
      <x:c r="V93" s="25" t="n">
        <x:v>95</x:v>
      </x:c>
      <x:c r="W93" s="20" t="inlineStr">
        <x:is>
          <x:t xml:space="preserve">A</x:t>
        </x:is>
      </x:c>
      <x:c r="X93" s="20" t="inlineStr">
        <x:is>
          <x:t xml:space="preserve">B</x:t>
        </x:is>
      </x:c>
      <x:c r="Y93" s="25" t="n">
        <x:v>71.59999999999999</x:v>
      </x:c>
      <x:c r="Z93" s="20" t="inlineStr">
        <x:is>
          <x:t xml:space="preserve">https://www.fldoe.org/file/18534/SchoolGrades25.xlsx</x:t>
        </x:is>
      </x:c>
    </x:row>
    <x:row r="94">
      <x:c r="A94" s="20" t="inlineStr">
        <x:is>
          <x:t xml:space="preserve">490701</x:t>
        </x:is>
      </x:c>
      <x:c r="B94" s="20" t="inlineStr">
        <x:is>
          <x:t xml:space="preserve">49</x:t>
        </x:is>
      </x:c>
      <x:c r="C94" s="20" t="inlineStr">
        <x:is>
          <x:t xml:space="preserve">OSCEOLA</x:t>
        </x:is>
      </x:c>
      <x:c r="D94" s="20" t="inlineStr">
        <x:is>
          <x:t xml:space="preserve">0701</x:t>
        </x:is>
      </x:c>
      <x:c r="E94" s="20" t="inlineStr">
        <x:is>
          <x:t xml:space="preserve">MILL CREEK ELEMENTARY SCHOOL</x:t>
        </x:is>
      </x:c>
      <x:c r="F94" s="20" t="inlineStr">
        <x:is>
          <x:t xml:space="preserve">01</x:t>
        </x:is>
      </x:c>
      <x:c r="G94" s="20" t="inlineStr">
        <x:is>
          <x:t xml:space="preserve">Elementary</x:t>
        </x:is>
      </x:c>
      <x:c r="H94" s="20" t="inlineStr">
        <x:is>
          <x:t xml:space="preserve">NO</x:t>
        </x:is>
      </x:c>
      <x:c r="I94" s="20" t="inlineStr">
        <x:is>
          <x:t xml:space="preserve">YES</x:t>
        </x:is>
      </x:c>
      <x:c r="J94" s="20" t="inlineStr">
        <x:is>
          <x:t xml:space="preserve">N</x:t>
        </x:is>
      </x:c>
      <x:c r="K94" s="25" t="n">
        <x:v>39</x:v>
      </x:c>
      <x:c r="L94" s="25" t="n">
        <x:v>46</x:v>
      </x:c>
      <x:c r="M94" s="25" t="n">
        <x:v>39</x:v>
      </x:c>
      <x:c r="N94" s="25" t="n">
        <x:v>35</x:v>
      </x:c>
      <x:c r="O94" s="25" t="n">
        <x:v>32</x:v>
      </x:c>
      <x:c r="P94" s="25" t="n"/>
      <x:c r="Q94" s="25" t="n"/>
      <x:c r="R94" s="25" t="n"/>
      <x:c r="S94" s="20" t="n">
        <x:v>324</x:v>
      </x:c>
      <x:c r="T94" s="20" t="n">
        <x:v>8</x:v>
      </x:c>
      <x:c r="U94" s="25" t="n">
        <x:v>41</x:v>
      </x:c>
      <x:c r="V94" s="25" t="n">
        <x:v>99</x:v>
      </x:c>
      <x:c r="W94" s="20" t="inlineStr">
        <x:is>
          <x:t xml:space="preserve">C</x:t>
        </x:is>
      </x:c>
      <x:c r="X94" s="20" t="inlineStr">
        <x:is>
          <x:t xml:space="preserve">C</x:t>
        </x:is>
      </x:c>
      <x:c r="Y94" s="25" t="n">
        <x:v>100</x:v>
      </x:c>
      <x:c r="Z94" s="20" t="inlineStr">
        <x:is>
          <x:t xml:space="preserve">https://www.fldoe.org/file/18534/SchoolGrades25.xlsx</x:t>
        </x:is>
      </x:c>
    </x:row>
    <x:row r="95">
      <x:c r="A95" s="20" t="inlineStr">
        <x:is>
          <x:t xml:space="preserve">490711</x:t>
        </x:is>
      </x:c>
      <x:c r="B95" s="20" t="inlineStr">
        <x:is>
          <x:t xml:space="preserve">49</x:t>
        </x:is>
      </x:c>
      <x:c r="C95" s="20" t="inlineStr">
        <x:is>
          <x:t xml:space="preserve">OSCEOLA</x:t>
        </x:is>
      </x:c>
      <x:c r="D95" s="20" t="inlineStr">
        <x:is>
          <x:t xml:space="preserve">0711</x:t>
        </x:is>
      </x:c>
      <x:c r="E95" s="20" t="inlineStr">
        <x:is>
          <x:t xml:space="preserve">CELEBRATION K-8</x:t>
        </x:is>
      </x:c>
      <x:c r="F95" s="20" t="inlineStr">
        <x:is>
          <x:t xml:space="preserve">04</x:t>
        </x:is>
      </x:c>
      <x:c r="G95" s="20" t="inlineStr">
        <x:is>
          <x:t xml:space="preserve">Combination</x:t>
        </x:is>
      </x:c>
      <x:c r="H95" s="20" t="inlineStr">
        <x:is>
          <x:t xml:space="preserve">NO</x:t>
        </x:is>
      </x:c>
      <x:c r="I95" s="20" t="inlineStr">
        <x:is>
          <x:t xml:space="preserve">NO</x:t>
        </x:is>
      </x:c>
      <x:c r="J95" s="20" t="inlineStr">
        <x:is>
          <x:t xml:space="preserve">N</x:t>
        </x:is>
      </x:c>
      <x:c r="K95" s="25" t="n">
        <x:v>70</x:v>
      </x:c>
      <x:c r="L95" s="25" t="n">
        <x:v>67</x:v>
      </x:c>
      <x:c r="M95" s="25" t="n">
        <x:v>76</x:v>
      </x:c>
      <x:c r="N95" s="25" t="n">
        <x:v>77</x:v>
      </x:c>
      <x:c r="O95" s="25" t="n">
        <x:v>69</x:v>
      </x:c>
      <x:c r="P95" s="25" t="n">
        <x:v>89</x:v>
      </x:c>
      <x:c r="Q95" s="25" t="n"/>
      <x:c r="R95" s="25" t="n"/>
      <x:c r="S95" s="20" t="n">
        <x:v>749</x:v>
      </x:c>
      <x:c r="T95" s="20" t="n">
        <x:v>10</x:v>
      </x:c>
      <x:c r="U95" s="25" t="n">
        <x:v>75</x:v>
      </x:c>
      <x:c r="V95" s="25" t="n">
        <x:v>100</x:v>
      </x:c>
      <x:c r="W95" s="20" t="inlineStr">
        <x:is>
          <x:t xml:space="preserve">A</x:t>
        </x:is>
      </x:c>
      <x:c r="X95" s="20" t="inlineStr">
        <x:is>
          <x:t xml:space="preserve">A</x:t>
        </x:is>
      </x:c>
      <x:c r="Y95" s="25" t="n">
        <x:v>33.8</x:v>
      </x:c>
      <x:c r="Z95" s="20" t="inlineStr">
        <x:is>
          <x:t xml:space="preserve">https://www.fldoe.org/file/18534/SchoolGrades25.xlsx</x:t>
        </x:is>
      </x:c>
    </x:row>
    <x:row r="96">
      <x:c r="A96" s="20" t="inlineStr">
        <x:is>
          <x:t xml:space="preserve">490801</x:t>
        </x:is>
      </x:c>
      <x:c r="B96" s="20" t="inlineStr">
        <x:is>
          <x:t xml:space="preserve">49</x:t>
        </x:is>
      </x:c>
      <x:c r="C96" s="20" t="inlineStr">
        <x:is>
          <x:t xml:space="preserve">OSCEOLA</x:t>
        </x:is>
      </x:c>
      <x:c r="D96" s="20" t="inlineStr">
        <x:is>
          <x:t xml:space="preserve">0801</x:t>
        </x:is>
      </x:c>
      <x:c r="E96" s="20" t="inlineStr">
        <x:is>
          <x:t xml:space="preserve">LAKEVIEW ELEMENTARY SCHOOL</x:t>
        </x:is>
      </x:c>
      <x:c r="F96" s="20" t="inlineStr">
        <x:is>
          <x:t xml:space="preserve">01</x:t>
        </x:is>
      </x:c>
      <x:c r="G96" s="20" t="inlineStr">
        <x:is>
          <x:t xml:space="preserve">Elementary</x:t>
        </x:is>
      </x:c>
      <x:c r="H96" s="20" t="inlineStr">
        <x:is>
          <x:t xml:space="preserve">NO</x:t>
        </x:is>
      </x:c>
      <x:c r="I96" s="20" t="inlineStr">
        <x:is>
          <x:t xml:space="preserve">YES</x:t>
        </x:is>
      </x:c>
      <x:c r="J96" s="20" t="inlineStr">
        <x:is>
          <x:t xml:space="preserve">N</x:t>
        </x:is>
      </x:c>
      <x:c r="K96" s="25" t="n">
        <x:v>53</x:v>
      </x:c>
      <x:c r="L96" s="25" t="n">
        <x:v>50</x:v>
      </x:c>
      <x:c r="M96" s="25" t="n">
        <x:v>52</x:v>
      </x:c>
      <x:c r="N96" s="25" t="n">
        <x:v>51</x:v>
      </x:c>
      <x:c r="O96" s="25" t="n">
        <x:v>64</x:v>
      </x:c>
      <x:c r="P96" s="25" t="n"/>
      <x:c r="Q96" s="25" t="n"/>
      <x:c r="R96" s="25" t="n"/>
      <x:c r="S96" s="20" t="n">
        <x:v>423</x:v>
      </x:c>
      <x:c r="T96" s="20" t="n">
        <x:v>8</x:v>
      </x:c>
      <x:c r="U96" s="25" t="n">
        <x:v>53</x:v>
      </x:c>
      <x:c r="V96" s="25" t="n">
        <x:v>99</x:v>
      </x:c>
      <x:c r="W96" s="20" t="inlineStr">
        <x:is>
          <x:t xml:space="preserve">C</x:t>
        </x:is>
      </x:c>
      <x:c r="X96" s="20" t="inlineStr">
        <x:is>
          <x:t xml:space="preserve">B</x:t>
        </x:is>
      </x:c>
      <x:c r="Y96" s="25" t="n">
        <x:v>90.09999999999999</x:v>
      </x:c>
      <x:c r="Z96" s="20" t="inlineStr">
        <x:is>
          <x:t xml:space="preserve">https://www.fldoe.org/file/18534/SchoolGrades25.xlsx</x:t>
        </x:is>
      </x:c>
    </x:row>
    <x:row r="97">
      <x:c r="A97" s="20" t="inlineStr">
        <x:is>
          <x:t xml:space="preserve">490811</x:t>
        </x:is>
      </x:c>
      <x:c r="B97" s="20" t="inlineStr">
        <x:is>
          <x:t xml:space="preserve">49</x:t>
        </x:is>
      </x:c>
      <x:c r="C97" s="20" t="inlineStr">
        <x:is>
          <x:t xml:space="preserve">OSCEOLA</x:t>
        </x:is>
      </x:c>
      <x:c r="D97" s="20" t="inlineStr">
        <x:is>
          <x:t xml:space="preserve">0811</x:t>
        </x:is>
      </x:c>
      <x:c r="E97" s="20" t="inlineStr">
        <x:is>
          <x:t xml:space="preserve">PLEASANT HILL ELEMENTARY SCHOOL</x:t>
        </x:is>
      </x:c>
      <x:c r="F97" s="20" t="inlineStr">
        <x:is>
          <x:t xml:space="preserve">01</x:t>
        </x:is>
      </x:c>
      <x:c r="G97" s="20" t="inlineStr">
        <x:is>
          <x:t xml:space="preserve">Elementary</x:t>
        </x:is>
      </x:c>
      <x:c r="H97" s="20" t="inlineStr">
        <x:is>
          <x:t xml:space="preserve">NO</x:t>
        </x:is>
      </x:c>
      <x:c r="I97" s="20" t="inlineStr">
        <x:is>
          <x:t xml:space="preserve">YES</x:t>
        </x:is>
      </x:c>
      <x:c r="J97" s="20" t="inlineStr">
        <x:is>
          <x:t xml:space="preserve">N</x:t>
        </x:is>
      </x:c>
      <x:c r="K97" s="25" t="n">
        <x:v>39</x:v>
      </x:c>
      <x:c r="L97" s="25" t="n">
        <x:v>52</x:v>
      </x:c>
      <x:c r="M97" s="25" t="n">
        <x:v>45</x:v>
      </x:c>
      <x:c r="N97" s="25" t="n">
        <x:v>43</x:v>
      </x:c>
      <x:c r="O97" s="25" t="n">
        <x:v>45</x:v>
      </x:c>
      <x:c r="P97" s="25" t="n"/>
      <x:c r="Q97" s="25" t="n"/>
      <x:c r="R97" s="25" t="n"/>
      <x:c r="S97" s="20" t="n">
        <x:v>344</x:v>
      </x:c>
      <x:c r="T97" s="20" t="n">
        <x:v>8</x:v>
      </x:c>
      <x:c r="U97" s="25" t="n">
        <x:v>43</x:v>
      </x:c>
      <x:c r="V97" s="25" t="n">
        <x:v>96</x:v>
      </x:c>
      <x:c r="W97" s="20" t="inlineStr">
        <x:is>
          <x:t xml:space="preserve">C</x:t>
        </x:is>
      </x:c>
      <x:c r="X97" s="20" t="inlineStr">
        <x:is>
          <x:t xml:space="preserve">C</x:t>
        </x:is>
      </x:c>
      <x:c r="Y97" s="25" t="n">
        <x:v>100</x:v>
      </x:c>
      <x:c r="Z97" s="20" t="inlineStr">
        <x:is>
          <x:t xml:space="preserve">https://www.fldoe.org/file/18534/SchoolGrades25.xlsx</x:t>
        </x:is>
      </x:c>
    </x:row>
    <x:row r="98">
      <x:c r="A98" s="20" t="inlineStr">
        <x:is>
          <x:t xml:space="preserve">490821</x:t>
        </x:is>
      </x:c>
      <x:c r="B98" s="20" t="inlineStr">
        <x:is>
          <x:t xml:space="preserve">49</x:t>
        </x:is>
      </x:c>
      <x:c r="C98" s="20" t="inlineStr">
        <x:is>
          <x:t xml:space="preserve">OSCEOLA</x:t>
        </x:is>
      </x:c>
      <x:c r="D98" s="20" t="inlineStr">
        <x:is>
          <x:t xml:space="preserve">0821</x:t>
        </x:is>
      </x:c>
      <x:c r="E98" s="20" t="inlineStr">
        <x:is>
          <x:t xml:space="preserve">PARKWAY MIDDLE SCHOOL</x:t>
        </x:is>
      </x:c>
      <x:c r="F98" s="20" t="inlineStr">
        <x:is>
          <x:t xml:space="preserve">02</x:t>
        </x:is>
      </x:c>
      <x:c r="G98" s="20" t="inlineStr">
        <x:is>
          <x:t xml:space="preserve">Middle/Junior</x:t>
        </x:is>
      </x:c>
      <x:c r="H98" s="20" t="inlineStr">
        <x:is>
          <x:t xml:space="preserve">NO</x:t>
        </x:is>
      </x:c>
      <x:c r="I98" s="20" t="inlineStr">
        <x:is>
          <x:t xml:space="preserve">YES</x:t>
        </x:is>
      </x:c>
      <x:c r="J98" s="20" t="inlineStr">
        <x:is>
          <x:t xml:space="preserve">N</x:t>
        </x:is>
      </x:c>
      <x:c r="K98" s="25" t="n">
        <x:v>39</x:v>
      </x:c>
      <x:c r="L98" s="25" t="n">
        <x:v>55</x:v>
      </x:c>
      <x:c r="M98" s="25" t="n">
        <x:v>43</x:v>
      </x:c>
      <x:c r="N98" s="25" t="n">
        <x:v>61</x:v>
      </x:c>
      <x:c r="O98" s="25" t="n">
        <x:v>35</x:v>
      </x:c>
      <x:c r="P98" s="25" t="n">
        <x:v>70</x:v>
      </x:c>
      <x:c r="Q98" s="25" t="n"/>
      <x:c r="R98" s="25" t="n"/>
      <x:c r="S98" s="20" t="n">
        <x:v>517</x:v>
      </x:c>
      <x:c r="T98" s="20" t="n">
        <x:v>9</x:v>
      </x:c>
      <x:c r="U98" s="25" t="n">
        <x:v>57</x:v>
      </x:c>
      <x:c r="V98" s="25" t="n">
        <x:v>100</x:v>
      </x:c>
      <x:c r="W98" s="20" t="inlineStr">
        <x:is>
          <x:t xml:space="preserve">B</x:t>
        </x:is>
      </x:c>
      <x:c r="X98" s="20" t="inlineStr">
        <x:is>
          <x:t xml:space="preserve">C</x:t>
        </x:is>
      </x:c>
      <x:c r="Y98" s="25" t="n">
        <x:v>96</x:v>
      </x:c>
      <x:c r="Z98" s="20" t="inlineStr">
        <x:is>
          <x:t xml:space="preserve">https://www.fldoe.org/file/18534/SchoolGrades25.xlsx</x:t>
        </x:is>
      </x:c>
    </x:row>
    <x:row r="99">
      <x:c r="A99" s="20" t="inlineStr">
        <x:is>
          <x:t xml:space="preserve">490831</x:t>
        </x:is>
      </x:c>
      <x:c r="B99" s="20" t="inlineStr">
        <x:is>
          <x:t xml:space="preserve">49</x:t>
        </x:is>
      </x:c>
      <x:c r="C99" s="20" t="inlineStr">
        <x:is>
          <x:t xml:space="preserve">OSCEOLA</x:t>
        </x:is>
      </x:c>
      <x:c r="D99" s="20" t="inlineStr">
        <x:is>
          <x:t xml:space="preserve">0831</x:t>
        </x:is>
      </x:c>
      <x:c r="E99" s="20" t="inlineStr">
        <x:is>
          <x:t xml:space="preserve">DEERWOOD ELEMENTARY SCHOOL</x:t>
        </x:is>
      </x:c>
      <x:c r="F99" s="20" t="inlineStr">
        <x:is>
          <x:t xml:space="preserve">01</x:t>
        </x:is>
      </x:c>
      <x:c r="G99" s="20" t="inlineStr">
        <x:is>
          <x:t xml:space="preserve">Elementary</x:t>
        </x:is>
      </x:c>
      <x:c r="H99" s="20" t="inlineStr">
        <x:is>
          <x:t xml:space="preserve">NO</x:t>
        </x:is>
      </x:c>
      <x:c r="I99" s="20" t="inlineStr">
        <x:is>
          <x:t xml:space="preserve">YES</x:t>
        </x:is>
      </x:c>
      <x:c r="J99" s="20" t="inlineStr">
        <x:is>
          <x:t xml:space="preserve">N</x:t>
        </x:is>
      </x:c>
      <x:c r="K99" s="25" t="n">
        <x:v>44</x:v>
      </x:c>
      <x:c r="L99" s="25" t="n">
        <x:v>63</x:v>
      </x:c>
      <x:c r="M99" s="25" t="n">
        <x:v>41</x:v>
      </x:c>
      <x:c r="N99" s="25" t="n">
        <x:v>52</x:v>
      </x:c>
      <x:c r="O99" s="25" t="n">
        <x:v>47</x:v>
      </x:c>
      <x:c r="P99" s="25" t="n"/>
      <x:c r="Q99" s="25" t="n"/>
      <x:c r="R99" s="25" t="n"/>
      <x:c r="S99" s="20" t="n">
        <x:v>411</x:v>
      </x:c>
      <x:c r="T99" s="20" t="n">
        <x:v>8</x:v>
      </x:c>
      <x:c r="U99" s="25" t="n">
        <x:v>51</x:v>
      </x:c>
      <x:c r="V99" s="25" t="n">
        <x:v>96</x:v>
      </x:c>
      <x:c r="W99" s="20" t="inlineStr">
        <x:is>
          <x:t xml:space="preserve">C</x:t>
        </x:is>
      </x:c>
      <x:c r="X99" s="20" t="inlineStr">
        <x:is>
          <x:t xml:space="preserve">C</x:t>
        </x:is>
      </x:c>
      <x:c r="Y99" s="25" t="n">
        <x:v>100</x:v>
      </x:c>
      <x:c r="Z99" s="20" t="inlineStr">
        <x:is>
          <x:t xml:space="preserve">https://www.fldoe.org/file/18534/SchoolGrades25.xlsx</x:t>
        </x:is>
      </x:c>
    </x:row>
    <x:row r="100">
      <x:c r="A100" s="20" t="inlineStr">
        <x:is>
          <x:t xml:space="preserve">490841</x:t>
        </x:is>
      </x:c>
      <x:c r="B100" s="20" t="inlineStr">
        <x:is>
          <x:t xml:space="preserve">49</x:t>
        </x:is>
      </x:c>
      <x:c r="C100" s="20" t="inlineStr">
        <x:is>
          <x:t xml:space="preserve">OSCEOLA</x:t>
        </x:is>
      </x:c>
      <x:c r="D100" s="20" t="inlineStr">
        <x:is>
          <x:t xml:space="preserve">0841</x:t>
        </x:is>
      </x:c>
      <x:c r="E100" s="20" t="inlineStr">
        <x:is>
          <x:t xml:space="preserve">POINCIANA HIGH SCHOOL</x:t>
        </x:is>
      </x:c>
      <x:c r="F100" s="20" t="inlineStr">
        <x:is>
          <x:t xml:space="preserve">03</x:t>
        </x:is>
      </x:c>
      <x:c r="G100" s="20" t="inlineStr">
        <x:is>
          <x:t xml:space="preserve">Senior High</x:t>
        </x:is>
      </x:c>
      <x:c r="H100" s="20" t="inlineStr">
        <x:is>
          <x:t xml:space="preserve">NO</x:t>
        </x:is>
      </x:c>
      <x:c r="I100" s="20" t="inlineStr">
        <x:is>
          <x:t xml:space="preserve">YES</x:t>
        </x:is>
      </x:c>
      <x:c r="J100" s="20" t="inlineStr">
        <x:is>
          <x:t xml:space="preserve">N</x:t>
        </x:is>
      </x:c>
      <x:c r="K100" s="25" t="n">
        <x:v>54</x:v>
      </x:c>
      <x:c r="L100" s="25" t="n">
        <x:v>62</x:v>
      </x:c>
      <x:c r="M100" s="25" t="n">
        <x:v>39</x:v>
      </x:c>
      <x:c r="N100" s="25" t="n">
        <x:v>50</x:v>
      </x:c>
      <x:c r="O100" s="25" t="n">
        <x:v>66</x:v>
      </x:c>
      <x:c r="P100" s="25" t="n">
        <x:v>79</x:v>
      </x:c>
      <x:c r="Q100" s="25" t="n">
        <x:v>97</x:v>
      </x:c>
      <x:c r="R100" s="25" t="n">
        <x:v>62</x:v>
      </x:c>
      <x:c r="S100" s="20" t="n">
        <x:v>635</x:v>
      </x:c>
      <x:c r="T100" s="20" t="n">
        <x:v>10</x:v>
      </x:c>
      <x:c r="U100" s="25" t="n">
        <x:v>64</x:v>
      </x:c>
      <x:c r="V100" s="25" t="n">
        <x:v>96</x:v>
      </x:c>
      <x:c r="W100" s="20" t="inlineStr">
        <x:is>
          <x:t xml:space="preserve">A</x:t>
        </x:is>
      </x:c>
      <x:c r="X100" s="20" t="inlineStr">
        <x:is>
          <x:t xml:space="preserve">C</x:t>
        </x:is>
      </x:c>
      <x:c r="Y100" s="25" t="n">
        <x:v>85.2</x:v>
      </x:c>
      <x:c r="Z100" s="20" t="inlineStr">
        <x:is>
          <x:t xml:space="preserve">https://www.fldoe.org/file/18534/SchoolGrades25.xlsx</x:t>
        </x:is>
      </x:c>
    </x:row>
    <x:row r="101">
      <x:c r="A101" s="20" t="inlineStr">
        <x:is>
          <x:t xml:space="preserve">490842</x:t>
        </x:is>
      </x:c>
      <x:c r="B101" s="20" t="inlineStr">
        <x:is>
          <x:t xml:space="preserve">49</x:t>
        </x:is>
      </x:c>
      <x:c r="C101" s="20" t="inlineStr">
        <x:is>
          <x:t xml:space="preserve">OSCEOLA</x:t>
        </x:is>
      </x:c>
      <x:c r="D101" s="20" t="inlineStr">
        <x:is>
          <x:t xml:space="preserve">0842</x:t>
        </x:is>
      </x:c>
      <x:c r="E101" s="20" t="inlineStr">
        <x:is>
          <x:t xml:space="preserve">LIBERTY HIGH SCHOOL</x:t>
        </x:is>
      </x:c>
      <x:c r="F101" s="20" t="inlineStr">
        <x:is>
          <x:t xml:space="preserve">03</x:t>
        </x:is>
      </x:c>
      <x:c r="G101" s="20" t="inlineStr">
        <x:is>
          <x:t xml:space="preserve">Senior High</x:t>
        </x:is>
      </x:c>
      <x:c r="H101" s="20" t="inlineStr">
        <x:is>
          <x:t xml:space="preserve">NO</x:t>
        </x:is>
      </x:c>
      <x:c r="I101" s="20" t="inlineStr">
        <x:is>
          <x:t xml:space="preserve">YES</x:t>
        </x:is>
      </x:c>
      <x:c r="J101" s="20" t="inlineStr">
        <x:is>
          <x:t xml:space="preserve">N</x:t>
        </x:is>
      </x:c>
      <x:c r="K101" s="25" t="n">
        <x:v>46</x:v>
      </x:c>
      <x:c r="L101" s="25" t="n">
        <x:v>57</x:v>
      </x:c>
      <x:c r="M101" s="25" t="n">
        <x:v>37</x:v>
      </x:c>
      <x:c r="N101" s="25" t="n">
        <x:v>48</x:v>
      </x:c>
      <x:c r="O101" s="25" t="n">
        <x:v>59</x:v>
      </x:c>
      <x:c r="P101" s="25" t="n">
        <x:v>74</x:v>
      </x:c>
      <x:c r="Q101" s="25" t="n">
        <x:v>88</x:v>
      </x:c>
      <x:c r="R101" s="25" t="n">
        <x:v>37</x:v>
      </x:c>
      <x:c r="S101" s="20" t="n">
        <x:v>569</x:v>
      </x:c>
      <x:c r="T101" s="20" t="n">
        <x:v>10</x:v>
      </x:c>
      <x:c r="U101" s="25" t="n">
        <x:v>57</x:v>
      </x:c>
      <x:c r="V101" s="25" t="n">
        <x:v>96</x:v>
      </x:c>
      <x:c r="W101" s="20" t="inlineStr">
        <x:is>
          <x:t xml:space="preserve">B</x:t>
        </x:is>
      </x:c>
      <x:c r="X101" s="20" t="inlineStr">
        <x:is>
          <x:t xml:space="preserve">C</x:t>
        </x:is>
      </x:c>
      <x:c r="Y101" s="25" t="n">
        <x:v>98</x:v>
      </x:c>
      <x:c r="Z101" s="20" t="inlineStr">
        <x:is>
          <x:t xml:space="preserve">https://www.fldoe.org/file/18534/SchoolGrades25.xlsx</x:t>
        </x:is>
      </x:c>
    </x:row>
    <x:row r="102">
      <x:c r="A102" s="20" t="inlineStr">
        <x:is>
          <x:t xml:space="preserve">490851</x:t>
        </x:is>
      </x:c>
      <x:c r="B102" s="20" t="inlineStr">
        <x:is>
          <x:t xml:space="preserve">49</x:t>
        </x:is>
      </x:c>
      <x:c r="C102" s="20" t="inlineStr">
        <x:is>
          <x:t xml:space="preserve">OSCEOLA</x:t>
        </x:is>
      </x:c>
      <x:c r="D102" s="20" t="inlineStr">
        <x:is>
          <x:t xml:space="preserve">0851</x:t>
        </x:is>
      </x:c>
      <x:c r="E102" s="20" t="inlineStr">
        <x:is>
          <x:t xml:space="preserve">CYPRESS ELEMENTARY SCHOOL</x:t>
        </x:is>
      </x:c>
      <x:c r="F102" s="20" t="inlineStr">
        <x:is>
          <x:t xml:space="preserve">01</x:t>
        </x:is>
      </x:c>
      <x:c r="G102" s="20" t="inlineStr">
        <x:is>
          <x:t xml:space="preserve">Elementary</x:t>
        </x:is>
      </x:c>
      <x:c r="H102" s="20" t="inlineStr">
        <x:is>
          <x:t xml:space="preserve">NO</x:t>
        </x:is>
      </x:c>
      <x:c r="I102" s="20" t="inlineStr">
        <x:is>
          <x:t xml:space="preserve">YES</x:t>
        </x:is>
      </x:c>
      <x:c r="J102" s="20" t="inlineStr">
        <x:is>
          <x:t xml:space="preserve">N</x:t>
        </x:is>
      </x:c>
      <x:c r="K102" s="25" t="n">
        <x:v>48</x:v>
      </x:c>
      <x:c r="L102" s="25" t="n">
        <x:v>59</x:v>
      </x:c>
      <x:c r="M102" s="25" t="n">
        <x:v>48</x:v>
      </x:c>
      <x:c r="N102" s="25" t="n">
        <x:v>69</x:v>
      </x:c>
      <x:c r="O102" s="25" t="n">
        <x:v>42</x:v>
      </x:c>
      <x:c r="P102" s="25" t="n"/>
      <x:c r="Q102" s="25" t="n"/>
      <x:c r="R102" s="25" t="n"/>
      <x:c r="S102" s="20" t="n">
        <x:v>440</x:v>
      </x:c>
      <x:c r="T102" s="20" t="n">
        <x:v>8</x:v>
      </x:c>
      <x:c r="U102" s="25" t="n">
        <x:v>55</x:v>
      </x:c>
      <x:c r="V102" s="25" t="n">
        <x:v>99</x:v>
      </x:c>
      <x:c r="W102" s="20" t="inlineStr">
        <x:is>
          <x:t xml:space="preserve">B</x:t>
        </x:is>
      </x:c>
      <x:c r="X102" s="20" t="inlineStr">
        <x:is>
          <x:t xml:space="preserve">C</x:t>
        </x:is>
      </x:c>
      <x:c r="Y102" s="25" t="n">
        <x:v>100</x:v>
      </x:c>
      <x:c r="Z102" s="20" t="inlineStr">
        <x:is>
          <x:t xml:space="preserve">https://www.fldoe.org/file/18534/SchoolGrades25.xlsx</x:t>
        </x:is>
      </x:c>
    </x:row>
    <x:row r="103">
      <x:c r="A103" s="20" t="inlineStr">
        <x:is>
          <x:t xml:space="preserve">490852</x:t>
        </x:is>
      </x:c>
      <x:c r="B103" s="20" t="inlineStr">
        <x:is>
          <x:t xml:space="preserve">49</x:t>
        </x:is>
      </x:c>
      <x:c r="C103" s="20" t="inlineStr">
        <x:is>
          <x:t xml:space="preserve">OSCEOLA</x:t>
        </x:is>
      </x:c>
      <x:c r="D103" s="20" t="inlineStr">
        <x:is>
          <x:t xml:space="preserve">0852</x:t>
        </x:is>
      </x:c>
      <x:c r="E103" s="20" t="inlineStr">
        <x:is>
          <x:t xml:space="preserve">ACADEMIR PREPARATORY OF CHAMPIONSGATE</x:t>
        </x:is>
      </x:c>
      <x:c r="F103" s="20" t="inlineStr">
        <x:is>
          <x:t xml:space="preserve">01</x:t>
        </x:is>
      </x:c>
      <x:c r="G103" s="20" t="inlineStr">
        <x:is>
          <x:t xml:space="preserve">Elementary</x:t>
        </x:is>
      </x:c>
      <x:c r="H103" s="20" t="inlineStr">
        <x:is>
          <x:t xml:space="preserve">YES</x:t>
        </x:is>
      </x:c>
      <x:c r="I103" s="20" t="inlineStr">
        <x:is>
          <x:t xml:space="preserve">NO</x:t>
        </x:is>
      </x:c>
      <x:c r="J103" s="20" t="inlineStr">
        <x:is>
          <x:t xml:space="preserve">N</x:t>
        </x:is>
      </x:c>
      <x:c r="K103" s="25" t="n">
        <x:v>46</x:v>
      </x:c>
      <x:c r="L103" s="25" t="n">
        <x:v>52</x:v>
      </x:c>
      <x:c r="M103" s="25" t="n">
        <x:v>56</x:v>
      </x:c>
      <x:c r="N103" s="25" t="n">
        <x:v>60</x:v>
      </x:c>
      <x:c r="O103" s="25" t="n">
        <x:v>39</x:v>
      </x:c>
      <x:c r="P103" s="25" t="n"/>
      <x:c r="Q103" s="25" t="n"/>
      <x:c r="R103" s="25" t="n"/>
      <x:c r="S103" s="20" t="n">
        <x:v>438</x:v>
      </x:c>
      <x:c r="T103" s="20" t="n">
        <x:v>8</x:v>
      </x:c>
      <x:c r="U103" s="25" t="n">
        <x:v>55</x:v>
      </x:c>
      <x:c r="V103" s="25" t="n">
        <x:v>99</x:v>
      </x:c>
      <x:c r="W103" s="20" t="inlineStr">
        <x:is>
          <x:t xml:space="preserve">B</x:t>
        </x:is>
      </x:c>
      <x:c r="X103" s="20" t="inlineStr">
        <x:is>
          <x:t xml:space="preserve">C</x:t>
        </x:is>
      </x:c>
      <x:c r="Y103" s="25" t="n">
        <x:v>62.7</x:v>
      </x:c>
      <x:c r="Z103" s="20" t="inlineStr">
        <x:is>
          <x:t xml:space="preserve">https://www.fldoe.org/file/18534/SchoolGrades25.xlsx</x:t>
        </x:is>
      </x:c>
    </x:row>
    <x:row r="104">
      <x:c r="A104" s="20" t="inlineStr">
        <x:is>
          <x:t xml:space="preserve">490853</x:t>
        </x:is>
      </x:c>
      <x:c r="B104" s="20" t="inlineStr">
        <x:is>
          <x:t xml:space="preserve">49</x:t>
        </x:is>
      </x:c>
      <x:c r="C104" s="20" t="inlineStr">
        <x:is>
          <x:t xml:space="preserve">OSCEOLA</x:t>
        </x:is>
      </x:c>
      <x:c r="D104" s="20" t="inlineStr">
        <x:is>
          <x:t xml:space="preserve">0853</x:t>
        </x:is>
      </x:c>
      <x:c r="E104" s="20" t="inlineStr">
        <x:is>
          <x:t xml:space="preserve">NEW DIMENSIONS HIGH SCHOOL</x:t>
        </x:is>
      </x:c>
      <x:c r="F104" s="20" t="inlineStr">
        <x:is>
          <x:t xml:space="preserve">03</x:t>
        </x:is>
      </x:c>
      <x:c r="G104" s="20" t="inlineStr">
        <x:is>
          <x:t xml:space="preserve">Senior High</x:t>
        </x:is>
      </x:c>
      <x:c r="H104" s="20" t="inlineStr">
        <x:is>
          <x:t xml:space="preserve">YES</x:t>
        </x:is>
      </x:c>
      <x:c r="I104" s="20" t="inlineStr">
        <x:is>
          <x:t xml:space="preserve">YES</x:t>
        </x:is>
      </x:c>
      <x:c r="J104" s="20" t="inlineStr">
        <x:is>
          <x:t xml:space="preserve">N</x:t>
        </x:is>
      </x:c>
      <x:c r="K104" s="25" t="n">
        <x:v>70</x:v>
      </x:c>
      <x:c r="L104" s="25" t="n">
        <x:v>69</x:v>
      </x:c>
      <x:c r="M104" s="25" t="n">
        <x:v>61</x:v>
      </x:c>
      <x:c r="N104" s="25" t="n">
        <x:v>71</x:v>
      </x:c>
      <x:c r="O104" s="25" t="n">
        <x:v>77</x:v>
      </x:c>
      <x:c r="P104" s="25" t="n">
        <x:v>74</x:v>
      </x:c>
      <x:c r="Q104" s="25" t="n">
        <x:v>97</x:v>
      </x:c>
      <x:c r="R104" s="25" t="n">
        <x:v>98</x:v>
      </x:c>
      <x:c r="S104" s="20" t="n">
        <x:v>771</x:v>
      </x:c>
      <x:c r="T104" s="20" t="n">
        <x:v>10</x:v>
      </x:c>
      <x:c r="U104" s="25" t="n">
        <x:v>77</x:v>
      </x:c>
      <x:c r="V104" s="25" t="n">
        <x:v>99</x:v>
      </x:c>
      <x:c r="W104" s="20" t="inlineStr">
        <x:is>
          <x:t xml:space="preserve">A</x:t>
        </x:is>
      </x:c>
      <x:c r="X104" s="20" t="inlineStr">
        <x:is>
          <x:t xml:space="preserve">A</x:t>
        </x:is>
      </x:c>
      <x:c r="Y104" s="25" t="n">
        <x:v>84.09999999999999</x:v>
      </x:c>
      <x:c r="Z104" s="20" t="inlineStr">
        <x:is>
          <x:t xml:space="preserve">https://www.fldoe.org/file/18534/SchoolGrades25.xlsx</x:t>
        </x:is>
      </x:c>
    </x:row>
    <x:row r="105">
      <x:c r="A105" s="20" t="inlineStr">
        <x:is>
          <x:t xml:space="preserve">490862</x:t>
        </x:is>
      </x:c>
      <x:c r="B105" s="20" t="inlineStr">
        <x:is>
          <x:t xml:space="preserve">49</x:t>
        </x:is>
      </x:c>
      <x:c r="C105" s="20" t="inlineStr">
        <x:is>
          <x:t xml:space="preserve">OSCEOLA</x:t>
        </x:is>
      </x:c>
      <x:c r="D105" s="20" t="inlineStr">
        <x:is>
          <x:t xml:space="preserve">0862</x:t>
        </x:is>
      </x:c>
      <x:c r="E105" s="20" t="inlineStr">
        <x:is>
          <x:t xml:space="preserve">PROFESSIONAL &amp; TECHNICAL HIGH SCHOOL</x:t>
        </x:is>
      </x:c>
      <x:c r="F105" s="20" t="inlineStr">
        <x:is>
          <x:t xml:space="preserve">03</x:t>
        </x:is>
      </x:c>
      <x:c r="G105" s="20" t="inlineStr">
        <x:is>
          <x:t xml:space="preserve">Senior High</x:t>
        </x:is>
      </x:c>
      <x:c r="H105" s="20" t="inlineStr">
        <x:is>
          <x:t xml:space="preserve">NO</x:t>
        </x:is>
      </x:c>
      <x:c r="I105" s="20" t="inlineStr">
        <x:is>
          <x:t xml:space="preserve">YES</x:t>
        </x:is>
      </x:c>
      <x:c r="J105" s="20" t="inlineStr">
        <x:is>
          <x:t xml:space="preserve">N</x:t>
        </x:is>
      </x:c>
      <x:c r="K105" s="25" t="n">
        <x:v>92</x:v>
      </x:c>
      <x:c r="L105" s="25" t="n">
        <x:v>70</x:v>
      </x:c>
      <x:c r="M105" s="25" t="n">
        <x:v>79</x:v>
      </x:c>
      <x:c r="N105" s="25" t="n">
        <x:v>64</x:v>
      </x:c>
      <x:c r="O105" s="25" t="n">
        <x:v>92</x:v>
      </x:c>
      <x:c r="P105" s="25" t="n">
        <x:v>97</x:v>
      </x:c>
      <x:c r="Q105" s="25" t="n">
        <x:v>100</x:v>
      </x:c>
      <x:c r="R105" s="25" t="n">
        <x:v>100</x:v>
      </x:c>
      <x:c r="S105" s="20" t="n">
        <x:v>838</x:v>
      </x:c>
      <x:c r="T105" s="20" t="n">
        <x:v>10</x:v>
      </x:c>
      <x:c r="U105" s="25" t="n">
        <x:v>84</x:v>
      </x:c>
      <x:c r="V105" s="25" t="n">
        <x:v>100</x:v>
      </x:c>
      <x:c r="W105" s="20" t="inlineStr">
        <x:is>
          <x:t xml:space="preserve">A</x:t>
        </x:is>
      </x:c>
      <x:c r="X105" s="20" t="inlineStr">
        <x:is>
          <x:t xml:space="preserve">A</x:t>
        </x:is>
      </x:c>
      <x:c r="Y105" s="25" t="n">
        <x:v>61.3</x:v>
      </x:c>
      <x:c r="Z105" s="20" t="inlineStr">
        <x:is>
          <x:t xml:space="preserve">https://www.fldoe.org/file/18534/SchoolGrades25.xlsx</x:t>
        </x:is>
      </x:c>
    </x:row>
    <x:row r="106">
      <x:c r="A106" s="20" t="inlineStr">
        <x:is>
          <x:t xml:space="preserve">490863</x:t>
        </x:is>
      </x:c>
      <x:c r="B106" s="20" t="inlineStr">
        <x:is>
          <x:t xml:space="preserve">49</x:t>
        </x:is>
      </x:c>
      <x:c r="C106" s="20" t="inlineStr">
        <x:is>
          <x:t xml:space="preserve">OSCEOLA</x:t>
        </x:is>
      </x:c>
      <x:c r="D106" s="20" t="inlineStr">
        <x:is>
          <x:t xml:space="preserve">0863</x:t>
        </x:is>
      </x:c>
      <x:c r="E106" s="20" t="inlineStr">
        <x:is>
          <x:t xml:space="preserve">FOUR CORNERS CHARTER SCHOOL</x:t>
        </x:is>
      </x:c>
      <x:c r="F106" s="20" t="inlineStr">
        <x:is>
          <x:t xml:space="preserve">01</x:t>
        </x:is>
      </x:c>
      <x:c r="G106" s="20" t="inlineStr">
        <x:is>
          <x:t xml:space="preserve">Elementary</x:t>
        </x:is>
      </x:c>
      <x:c r="H106" s="20" t="inlineStr">
        <x:is>
          <x:t xml:space="preserve">YES</x:t>
        </x:is>
      </x:c>
      <x:c r="I106" s="20" t="inlineStr">
        <x:is>
          <x:t xml:space="preserve">YES</x:t>
        </x:is>
      </x:c>
      <x:c r="J106" s="20" t="inlineStr">
        <x:is>
          <x:t xml:space="preserve">N</x:t>
        </x:is>
      </x:c>
      <x:c r="K106" s="25" t="n">
        <x:v>65</x:v>
      </x:c>
      <x:c r="L106" s="25" t="n">
        <x:v>67</x:v>
      </x:c>
      <x:c r="M106" s="25" t="n">
        <x:v>66</x:v>
      </x:c>
      <x:c r="N106" s="25" t="n">
        <x:v>60</x:v>
      </x:c>
      <x:c r="O106" s="25" t="n">
        <x:v>73</x:v>
      </x:c>
      <x:c r="P106" s="25" t="n"/>
      <x:c r="Q106" s="25" t="n"/>
      <x:c r="R106" s="25" t="n"/>
      <x:c r="S106" s="20" t="n">
        <x:v>513</x:v>
      </x:c>
      <x:c r="T106" s="20" t="n">
        <x:v>8</x:v>
      </x:c>
      <x:c r="U106" s="25" t="n">
        <x:v>64</x:v>
      </x:c>
      <x:c r="V106" s="25" t="n">
        <x:v>99</x:v>
      </x:c>
      <x:c r="W106" s="20" t="inlineStr">
        <x:is>
          <x:t xml:space="preserve">A</x:t>
        </x:is>
      </x:c>
      <x:c r="X106" s="20" t="inlineStr">
        <x:is>
          <x:t xml:space="preserve">B</x:t>
        </x:is>
      </x:c>
      <x:c r="Y106" s="25" t="n">
        <x:v>79.40000000000001</x:v>
      </x:c>
      <x:c r="Z106" s="20" t="inlineStr">
        <x:is>
          <x:t xml:space="preserve">https://www.fldoe.org/file/18534/SchoolGrades25.xlsx</x:t>
        </x:is>
      </x:c>
    </x:row>
    <x:row r="107">
      <x:c r="A107" s="20" t="inlineStr">
        <x:is>
          <x:t xml:space="preserve">490866</x:t>
        </x:is>
      </x:c>
      <x:c r="B107" s="20" t="inlineStr">
        <x:is>
          <x:t xml:space="preserve">49</x:t>
        </x:is>
      </x:c>
      <x:c r="C107" s="20" t="inlineStr">
        <x:is>
          <x:t xml:space="preserve">OSCEOLA</x:t>
        </x:is>
      </x:c>
      <x:c r="D107" s="20" t="inlineStr">
        <x:is>
          <x:t xml:space="preserve">0866</x:t>
        </x:is>
      </x:c>
      <x:c r="E107" s="20" t="inlineStr">
        <x:is>
          <x:t xml:space="preserve">KISSIMMEE CHARTER ACADEMY</x:t>
        </x:is>
      </x:c>
      <x:c r="F107" s="20" t="inlineStr">
        <x:is>
          <x:t xml:space="preserve">04</x:t>
        </x:is>
      </x:c>
      <x:c r="G107" s="20" t="inlineStr">
        <x:is>
          <x:t xml:space="preserve">Combination</x:t>
        </x:is>
      </x:c>
      <x:c r="H107" s="20" t="inlineStr">
        <x:is>
          <x:t xml:space="preserve">YES</x:t>
        </x:is>
      </x:c>
      <x:c r="I107" s="20" t="inlineStr">
        <x:is>
          <x:t xml:space="preserve">YES</x:t>
        </x:is>
      </x:c>
      <x:c r="J107" s="20" t="inlineStr">
        <x:is>
          <x:t xml:space="preserve">N</x:t>
        </x:is>
      </x:c>
      <x:c r="K107" s="25" t="n">
        <x:v>47</x:v>
      </x:c>
      <x:c r="L107" s="25" t="n">
        <x:v>55</x:v>
      </x:c>
      <x:c r="M107" s="25" t="n">
        <x:v>39</x:v>
      </x:c>
      <x:c r="N107" s="25" t="n">
        <x:v>51</x:v>
      </x:c>
      <x:c r="O107" s="25" t="n">
        <x:v>37</x:v>
      </x:c>
      <x:c r="P107" s="25" t="n">
        <x:v>47</x:v>
      </x:c>
      <x:c r="Q107" s="25" t="n"/>
      <x:c r="R107" s="25" t="n"/>
      <x:c r="S107" s="20" t="n">
        <x:v>511</x:v>
      </x:c>
      <x:c r="T107" s="20" t="n">
        <x:v>10</x:v>
      </x:c>
      <x:c r="U107" s="25" t="n">
        <x:v>51</x:v>
      </x:c>
      <x:c r="V107" s="25" t="n">
        <x:v>99</x:v>
      </x:c>
      <x:c r="W107" s="20" t="inlineStr">
        <x:is>
          <x:t xml:space="preserve">C</x:t>
        </x:is>
      </x:c>
      <x:c r="X107" s="20" t="inlineStr">
        <x:is>
          <x:t xml:space="preserve">C</x:t>
        </x:is>
      </x:c>
      <x:c r="Y107" s="25" t="n">
        <x:v>81.90000000000001</x:v>
      </x:c>
      <x:c r="Z107" s="20" t="inlineStr">
        <x:is>
          <x:t xml:space="preserve">https://www.fldoe.org/file/18534/SchoolGrades25.xlsx</x:t>
        </x:is>
      </x:c>
    </x:row>
    <x:row r="108">
      <x:c r="A108" s="20" t="inlineStr">
        <x:is>
          <x:t xml:space="preserve">490881</x:t>
        </x:is>
      </x:c>
      <x:c r="B108" s="20" t="inlineStr">
        <x:is>
          <x:t xml:space="preserve">49</x:t>
        </x:is>
      </x:c>
      <x:c r="C108" s="20" t="inlineStr">
        <x:is>
          <x:t xml:space="preserve">OSCEOLA</x:t>
        </x:is>
      </x:c>
      <x:c r="D108" s="20" t="inlineStr">
        <x:is>
          <x:t xml:space="preserve">0881</x:t>
        </x:is>
      </x:c>
      <x:c r="E108" s="20" t="inlineStr">
        <x:is>
          <x:t xml:space="preserve">P. M. WELLS CHARTER ACADEMY</x:t>
        </x:is>
      </x:c>
      <x:c r="F108" s="20" t="inlineStr">
        <x:is>
          <x:t xml:space="preserve">04</x:t>
        </x:is>
      </x:c>
      <x:c r="G108" s="20" t="inlineStr">
        <x:is>
          <x:t xml:space="preserve">Combination</x:t>
        </x:is>
      </x:c>
      <x:c r="H108" s="20" t="inlineStr">
        <x:is>
          <x:t xml:space="preserve">YES</x:t>
        </x:is>
      </x:c>
      <x:c r="I108" s="20" t="inlineStr">
        <x:is>
          <x:t xml:space="preserve">YES</x:t>
        </x:is>
      </x:c>
      <x:c r="J108" s="20" t="inlineStr">
        <x:is>
          <x:t xml:space="preserve">N</x:t>
        </x:is>
      </x:c>
      <x:c r="K108" s="25" t="n">
        <x:v>50</x:v>
      </x:c>
      <x:c r="L108" s="25" t="n">
        <x:v>53</x:v>
      </x:c>
      <x:c r="M108" s="25" t="n">
        <x:v>40</x:v>
      </x:c>
      <x:c r="N108" s="25" t="n">
        <x:v>47</x:v>
      </x:c>
      <x:c r="O108" s="25" t="n">
        <x:v>54</x:v>
      </x:c>
      <x:c r="P108" s="25" t="n">
        <x:v>59</x:v>
      </x:c>
      <x:c r="Q108" s="25" t="n"/>
      <x:c r="R108" s="25" t="n"/>
      <x:c r="S108" s="20" t="n">
        <x:v>512</x:v>
      </x:c>
      <x:c r="T108" s="20" t="n">
        <x:v>10</x:v>
      </x:c>
      <x:c r="U108" s="25" t="n">
        <x:v>51</x:v>
      </x:c>
      <x:c r="V108" s="25" t="n">
        <x:v>100</x:v>
      </x:c>
      <x:c r="W108" s="20" t="inlineStr">
        <x:is>
          <x:t xml:space="preserve">C</x:t>
        </x:is>
      </x:c>
      <x:c r="X108" s="20" t="inlineStr">
        <x:is>
          <x:t xml:space="preserve">C</x:t>
        </x:is>
      </x:c>
      <x:c r="Y108" s="25" t="n">
        <x:v>85.90000000000001</x:v>
      </x:c>
      <x:c r="Z108" s="20" t="inlineStr">
        <x:is>
          <x:t xml:space="preserve">https://www.fldoe.org/file/18534/SchoolGrades25.xlsx</x:t>
        </x:is>
      </x:c>
    </x:row>
    <x:row r="109">
      <x:c r="A109" s="20" t="inlineStr">
        <x:is>
          <x:t xml:space="preserve">490901</x:t>
        </x:is>
      </x:c>
      <x:c r="B109" s="20" t="inlineStr">
        <x:is>
          <x:t xml:space="preserve">49</x:t>
        </x:is>
      </x:c>
      <x:c r="C109" s="20" t="inlineStr">
        <x:is>
          <x:t xml:space="preserve">OSCEOLA</x:t>
        </x:is>
      </x:c>
      <x:c r="D109" s="20" t="inlineStr">
        <x:is>
          <x:t xml:space="preserve">0901</x:t>
        </x:is>
      </x:c>
      <x:c r="E109" s="20" t="inlineStr">
        <x:is>
          <x:t xml:space="preserve">POINCIANA ACADEMY OF FINE ARTS</x:t>
        </x:is>
      </x:c>
      <x:c r="F109" s="20" t="inlineStr">
        <x:is>
          <x:t xml:space="preserve">01</x:t>
        </x:is>
      </x:c>
      <x:c r="G109" s="20" t="inlineStr">
        <x:is>
          <x:t xml:space="preserve">Elementary</x:t>
        </x:is>
      </x:c>
      <x:c r="H109" s="20" t="inlineStr">
        <x:is>
          <x:t xml:space="preserve">NO</x:t>
        </x:is>
      </x:c>
      <x:c r="I109" s="20" t="inlineStr">
        <x:is>
          <x:t xml:space="preserve">YES</x:t>
        </x:is>
      </x:c>
      <x:c r="J109" s="20" t="inlineStr">
        <x:is>
          <x:t xml:space="preserve">N</x:t>
        </x:is>
      </x:c>
      <x:c r="K109" s="25" t="n">
        <x:v>45</x:v>
      </x:c>
      <x:c r="L109" s="25" t="n">
        <x:v>58</x:v>
      </x:c>
      <x:c r="M109" s="25" t="n">
        <x:v>35</x:v>
      </x:c>
      <x:c r="N109" s="25" t="n">
        <x:v>49</x:v>
      </x:c>
      <x:c r="O109" s="25" t="n">
        <x:v>39</x:v>
      </x:c>
      <x:c r="P109" s="25" t="n"/>
      <x:c r="Q109" s="25" t="n"/>
      <x:c r="R109" s="25" t="n"/>
      <x:c r="S109" s="20" t="n">
        <x:v>379</x:v>
      </x:c>
      <x:c r="T109" s="20" t="n">
        <x:v>8</x:v>
      </x:c>
      <x:c r="U109" s="25" t="n">
        <x:v>47</x:v>
      </x:c>
      <x:c r="V109" s="25" t="n">
        <x:v>98</x:v>
      </x:c>
      <x:c r="W109" s="20" t="inlineStr">
        <x:is>
          <x:t xml:space="preserve">C</x:t>
        </x:is>
      </x:c>
      <x:c r="X109" s="20" t="inlineStr">
        <x:is>
          <x:t xml:space="preserve">C</x:t>
        </x:is>
      </x:c>
      <x:c r="Y109" s="25" t="n">
        <x:v>100</x:v>
      </x:c>
      <x:c r="Z109" s="20" t="inlineStr">
        <x:is>
          <x:t xml:space="preserve">https://www.fldoe.org/file/18534/SchoolGrades25.xlsx</x:t>
        </x:is>
      </x:c>
    </x:row>
    <x:row r="110">
      <x:c r="A110" s="20" t="inlineStr">
        <x:is>
          <x:t xml:space="preserve">490902</x:t>
        </x:is>
      </x:c>
      <x:c r="B110" s="20" t="inlineStr">
        <x:is>
          <x:t xml:space="preserve">49</x:t>
        </x:is>
      </x:c>
      <x:c r="C110" s="20" t="inlineStr">
        <x:is>
          <x:t xml:space="preserve">OSCEOLA</x:t>
        </x:is>
      </x:c>
      <x:c r="D110" s="20" t="inlineStr">
        <x:is>
          <x:t xml:space="preserve">0902</x:t>
        </x:is>
      </x:c>
      <x:c r="E110" s="20" t="inlineStr">
        <x:is>
          <x:t xml:space="preserve">CELEBRATION HIGH SCHOOL</x:t>
        </x:is>
      </x:c>
      <x:c r="F110" s="20" t="inlineStr">
        <x:is>
          <x:t xml:space="preserve">03</x:t>
        </x:is>
      </x:c>
      <x:c r="G110" s="20" t="inlineStr">
        <x:is>
          <x:t xml:space="preserve">Senior High</x:t>
        </x:is>
      </x:c>
      <x:c r="H110" s="20" t="inlineStr">
        <x:is>
          <x:t xml:space="preserve">NO</x:t>
        </x:is>
      </x:c>
      <x:c r="I110" s="20" t="inlineStr">
        <x:is>
          <x:t xml:space="preserve">NO</x:t>
        </x:is>
      </x:c>
      <x:c r="J110" s="20" t="inlineStr">
        <x:is>
          <x:t xml:space="preserve">N</x:t>
        </x:is>
      </x:c>
      <x:c r="K110" s="25" t="n">
        <x:v>63</x:v>
      </x:c>
      <x:c r="L110" s="25" t="n">
        <x:v>59</x:v>
      </x:c>
      <x:c r="M110" s="25" t="n">
        <x:v>46</x:v>
      </x:c>
      <x:c r="N110" s="25" t="n">
        <x:v>49</x:v>
      </x:c>
      <x:c r="O110" s="25" t="n">
        <x:v>76</x:v>
      </x:c>
      <x:c r="P110" s="25" t="n">
        <x:v>69</x:v>
      </x:c>
      <x:c r="Q110" s="25" t="n">
        <x:v>91</x:v>
      </x:c>
      <x:c r="R110" s="25" t="n">
        <x:v>55</x:v>
      </x:c>
      <x:c r="S110" s="20" t="n">
        <x:v>610</x:v>
      </x:c>
      <x:c r="T110" s="20" t="n">
        <x:v>10</x:v>
      </x:c>
      <x:c r="U110" s="25" t="n">
        <x:v>61</x:v>
      </x:c>
      <x:c r="V110" s="25" t="n">
        <x:v>97</x:v>
      </x:c>
      <x:c r="W110" s="20" t="inlineStr">
        <x:is>
          <x:t xml:space="preserve">B</x:t>
        </x:is>
      </x:c>
      <x:c r="X110" s="20" t="inlineStr">
        <x:is>
          <x:t xml:space="preserve">B</x:t>
        </x:is>
      </x:c>
      <x:c r="Y110" s="25" t="n">
        <x:v>46</x:v>
      </x:c>
      <x:c r="Z110" s="20" t="inlineStr">
        <x:is>
          <x:t xml:space="preserve">https://www.fldoe.org/file/18534/SchoolGrades25.xlsx</x:t>
        </x:is>
      </x:c>
    </x:row>
    <x:row r="111">
      <x:c r="A111" s="20" t="inlineStr">
        <x:is>
          <x:t xml:space="preserve">490903</x:t>
        </x:is>
      </x:c>
      <x:c r="B111" s="20" t="inlineStr">
        <x:is>
          <x:t xml:space="preserve">49</x:t>
        </x:is>
      </x:c>
      <x:c r="C111" s="20" t="inlineStr">
        <x:is>
          <x:t xml:space="preserve">OSCEOLA</x:t>
        </x:is>
      </x:c>
      <x:c r="D111" s="20" t="inlineStr">
        <x:is>
          <x:t xml:space="preserve">0903</x:t>
        </x:is>
      </x:c>
      <x:c r="E111" s="20" t="inlineStr">
        <x:is>
          <x:t xml:space="preserve">ISLAND VILLAGE ELEMENTARY SCHOOL</x:t>
        </x:is>
      </x:c>
      <x:c r="F111" s="20" t="inlineStr">
        <x:is>
          <x:t xml:space="preserve">01</x:t>
        </x:is>
      </x:c>
      <x:c r="G111" s="20" t="inlineStr">
        <x:is>
          <x:t xml:space="preserve">Elementary</x:t>
        </x:is>
      </x:c>
      <x:c r="H111" s="20" t="inlineStr">
        <x:is>
          <x:t xml:space="preserve">NO</x:t>
        </x:is>
      </x:c>
      <x:c r="I111" s="20" t="inlineStr">
        <x:is>
          <x:t xml:space="preserve">YES</x:t>
        </x:is>
      </x:c>
      <x:c r="J111" s="20" t="inlineStr">
        <x:is>
          <x:t xml:space="preserve">N</x:t>
        </x:is>
      </x:c>
      <x:c r="K111" s="25" t="n">
        <x:v>47</x:v>
      </x:c>
      <x:c r="L111" s="25" t="n">
        <x:v>53</x:v>
      </x:c>
      <x:c r="M111" s="25" t="n">
        <x:v>49</x:v>
      </x:c>
      <x:c r="N111" s="25" t="n">
        <x:v>49</x:v>
      </x:c>
      <x:c r="O111" s="25" t="n">
        <x:v>45</x:v>
      </x:c>
      <x:c r="P111" s="25" t="n"/>
      <x:c r="Q111" s="25" t="n"/>
      <x:c r="R111" s="25" t="n"/>
      <x:c r="S111" s="20" t="n">
        <x:v>371</x:v>
      </x:c>
      <x:c r="T111" s="20" t="n">
        <x:v>8</x:v>
      </x:c>
      <x:c r="U111" s="25" t="n">
        <x:v>46</x:v>
      </x:c>
      <x:c r="V111" s="25" t="n">
        <x:v>98</x:v>
      </x:c>
      <x:c r="W111" s="20" t="inlineStr">
        <x:is>
          <x:t xml:space="preserve">C</x:t>
        </x:is>
      </x:c>
      <x:c r="X111" s="20" t="inlineStr">
        <x:is>
          <x:t xml:space="preserve">B</x:t>
        </x:is>
      </x:c>
      <x:c r="Y111" s="25" t="n">
        <x:v>65.90000000000001</x:v>
      </x:c>
      <x:c r="Z111" s="20" t="inlineStr">
        <x:is>
          <x:t xml:space="preserve">https://www.fldoe.org/file/18534/SchoolGrades25.xlsx</x:t>
        </x:is>
      </x:c>
    </x:row>
    <x:row r="112">
      <x:c r="A112" s="20" t="inlineStr">
        <x:is>
          <x:t xml:space="preserve">490904</x:t>
        </x:is>
      </x:c>
      <x:c r="B112" s="20" t="inlineStr">
        <x:is>
          <x:t xml:space="preserve">49</x:t>
        </x:is>
      </x:c>
      <x:c r="C112" s="20" t="inlineStr">
        <x:is>
          <x:t xml:space="preserve">OSCEOLA</x:t>
        </x:is>
      </x:c>
      <x:c r="D112" s="20" t="inlineStr">
        <x:is>
          <x:t xml:space="preserve">0904</x:t>
        </x:is>
      </x:c>
      <x:c r="E112" s="20" t="inlineStr">
        <x:is>
          <x:t xml:space="preserve">PARTIN SETTLEMENT ELEMENTARY SCHOOL</x:t>
        </x:is>
      </x:c>
      <x:c r="F112" s="20" t="inlineStr">
        <x:is>
          <x:t xml:space="preserve">01</x:t>
        </x:is>
      </x:c>
      <x:c r="G112" s="20" t="inlineStr">
        <x:is>
          <x:t xml:space="preserve">Elementary</x:t>
        </x:is>
      </x:c>
      <x:c r="H112" s="20" t="inlineStr">
        <x:is>
          <x:t xml:space="preserve">NO</x:t>
        </x:is>
      </x:c>
      <x:c r="I112" s="20" t="inlineStr">
        <x:is>
          <x:t xml:space="preserve">YES</x:t>
        </x:is>
      </x:c>
      <x:c r="J112" s="20" t="inlineStr">
        <x:is>
          <x:t xml:space="preserve">N</x:t>
        </x:is>
      </x:c>
      <x:c r="K112" s="25" t="n">
        <x:v>53</x:v>
      </x:c>
      <x:c r="L112" s="25" t="n">
        <x:v>53</x:v>
      </x:c>
      <x:c r="M112" s="25" t="n">
        <x:v>49</x:v>
      </x:c>
      <x:c r="N112" s="25" t="n">
        <x:v>51</x:v>
      </x:c>
      <x:c r="O112" s="25" t="n">
        <x:v>55</x:v>
      </x:c>
      <x:c r="P112" s="25" t="n"/>
      <x:c r="Q112" s="25" t="n"/>
      <x:c r="R112" s="25" t="n"/>
      <x:c r="S112" s="20" t="n">
        <x:v>421</x:v>
      </x:c>
      <x:c r="T112" s="20" t="n">
        <x:v>8</x:v>
      </x:c>
      <x:c r="U112" s="25" t="n">
        <x:v>53</x:v>
      </x:c>
      <x:c r="V112" s="25" t="n">
        <x:v>99</x:v>
      </x:c>
      <x:c r="W112" s="20" t="inlineStr">
        <x:is>
          <x:t xml:space="preserve">C</x:t>
        </x:is>
      </x:c>
      <x:c r="X112" s="20" t="inlineStr">
        <x:is>
          <x:t xml:space="preserve">C</x:t>
        </x:is>
      </x:c>
      <x:c r="Y112" s="25" t="n">
        <x:v>93.8</x:v>
      </x:c>
      <x:c r="Z112" s="20" t="inlineStr">
        <x:is>
          <x:t xml:space="preserve">https://www.fldoe.org/file/18534/SchoolGrades25.xlsx</x:t>
        </x:is>
      </x:c>
    </x:row>
    <x:row r="113">
      <x:c r="A113" s="20" t="inlineStr">
        <x:is>
          <x:t xml:space="preserve">490921</x:t>
        </x:is>
      </x:c>
      <x:c r="B113" s="20" t="inlineStr">
        <x:is>
          <x:t xml:space="preserve">49</x:t>
        </x:is>
      </x:c>
      <x:c r="C113" s="20" t="inlineStr">
        <x:is>
          <x:t xml:space="preserve">OSCEOLA</x:t>
        </x:is>
      </x:c>
      <x:c r="D113" s="20" t="inlineStr">
        <x:is>
          <x:t xml:space="preserve">0921</x:t>
        </x:is>
      </x:c>
      <x:c r="E113" s="20" t="inlineStr">
        <x:is>
          <x:t xml:space="preserve">OSCEOLA COUNTY SCHOOL FOR THE ARTS</x:t>
        </x:is>
      </x:c>
      <x:c r="F113" s="20" t="inlineStr">
        <x:is>
          <x:t xml:space="preserve">04</x:t>
        </x:is>
      </x:c>
      <x:c r="G113" s="20" t="inlineStr">
        <x:is>
          <x:t xml:space="preserve">Combination</x:t>
        </x:is>
      </x:c>
      <x:c r="H113" s="20" t="inlineStr">
        <x:is>
          <x:t xml:space="preserve">NO</x:t>
        </x:is>
      </x:c>
      <x:c r="I113" s="20" t="inlineStr">
        <x:is>
          <x:t xml:space="preserve">NO</x:t>
        </x:is>
      </x:c>
      <x:c r="J113" s="20" t="inlineStr">
        <x:is>
          <x:t xml:space="preserve">N</x:t>
        </x:is>
      </x:c>
      <x:c r="K113" s="25" t="n">
        <x:v>88</x:v>
      </x:c>
      <x:c r="L113" s="25" t="n">
        <x:v>70</x:v>
      </x:c>
      <x:c r="M113" s="25" t="n">
        <x:v>86</x:v>
      </x:c>
      <x:c r="N113" s="25" t="n">
        <x:v>68</x:v>
      </x:c>
      <x:c r="O113" s="25" t="n">
        <x:v>90</x:v>
      </x:c>
      <x:c r="P113" s="25" t="n">
        <x:v>97</x:v>
      </x:c>
      <x:c r="Q113" s="25" t="n">
        <x:v>100</x:v>
      </x:c>
      <x:c r="R113" s="25" t="n">
        <x:v>80</x:v>
      </x:c>
      <x:c r="S113" s="20" t="n">
        <x:v>919</x:v>
      </x:c>
      <x:c r="T113" s="20" t="n">
        <x:v>11</x:v>
      </x:c>
      <x:c r="U113" s="25" t="n">
        <x:v>84</x:v>
      </x:c>
      <x:c r="V113" s="25" t="n">
        <x:v>100</x:v>
      </x:c>
      <x:c r="W113" s="20" t="inlineStr">
        <x:is>
          <x:t xml:space="preserve">A</x:t>
        </x:is>
      </x:c>
      <x:c r="X113" s="20" t="inlineStr">
        <x:is>
          <x:t xml:space="preserve">A</x:t>
        </x:is>
      </x:c>
      <x:c r="Y113" s="25" t="n">
        <x:v>38.3</x:v>
      </x:c>
      <x:c r="Z113" s="20" t="inlineStr">
        <x:is>
          <x:t xml:space="preserve">https://www.fldoe.org/file/18534/SchoolGrades25.xlsx</x:t>
        </x:is>
      </x:c>
    </x:row>
    <x:row r="114">
      <x:c r="A114" s="20" t="inlineStr">
        <x:is>
          <x:t xml:space="preserve">490922</x:t>
        </x:is>
      </x:c>
      <x:c r="B114" s="20" t="inlineStr">
        <x:is>
          <x:t xml:space="preserve">49</x:t>
        </x:is>
      </x:c>
      <x:c r="C114" s="20" t="inlineStr">
        <x:is>
          <x:t xml:space="preserve">OSCEOLA</x:t>
        </x:is>
      </x:c>
      <x:c r="D114" s="20" t="inlineStr">
        <x:is>
          <x:t xml:space="preserve">0922</x:t>
        </x:is>
      </x:c>
      <x:c r="E114" s="20" t="inlineStr">
        <x:is>
          <x:t xml:space="preserve">HARMONY HIGH SCHOOL</x:t>
        </x:is>
      </x:c>
      <x:c r="F114" s="20" t="inlineStr">
        <x:is>
          <x:t xml:space="preserve">03</x:t>
        </x:is>
      </x:c>
      <x:c r="G114" s="20" t="inlineStr">
        <x:is>
          <x:t xml:space="preserve">Senior High</x:t>
        </x:is>
      </x:c>
      <x:c r="H114" s="20" t="inlineStr">
        <x:is>
          <x:t xml:space="preserve">NO</x:t>
        </x:is>
      </x:c>
      <x:c r="I114" s="20" t="inlineStr">
        <x:is>
          <x:t xml:space="preserve">NO</x:t>
        </x:is>
      </x:c>
      <x:c r="J114" s="20" t="inlineStr">
        <x:is>
          <x:t xml:space="preserve">N</x:t>
        </x:is>
      </x:c>
      <x:c r="K114" s="25" t="n">
        <x:v>59</x:v>
      </x:c>
      <x:c r="L114" s="25" t="n">
        <x:v>57</x:v>
      </x:c>
      <x:c r="M114" s="25" t="n">
        <x:v>51</x:v>
      </x:c>
      <x:c r="N114" s="25" t="n">
        <x:v>56</x:v>
      </x:c>
      <x:c r="O114" s="25" t="n">
        <x:v>81</x:v>
      </x:c>
      <x:c r="P114" s="25" t="n">
        <x:v>69</x:v>
      </x:c>
      <x:c r="Q114" s="25" t="n">
        <x:v>91</x:v>
      </x:c>
      <x:c r="R114" s="25" t="n">
        <x:v>59</x:v>
      </x:c>
      <x:c r="S114" s="20" t="n">
        <x:v>635</x:v>
      </x:c>
      <x:c r="T114" s="20" t="n">
        <x:v>10</x:v>
      </x:c>
      <x:c r="U114" s="25" t="n">
        <x:v>64</x:v>
      </x:c>
      <x:c r="V114" s="25" t="n">
        <x:v>98</x:v>
      </x:c>
      <x:c r="W114" s="20" t="inlineStr">
        <x:is>
          <x:t xml:space="preserve">A</x:t>
        </x:is>
      </x:c>
      <x:c r="X114" s="20" t="inlineStr">
        <x:is>
          <x:t xml:space="preserve">B</x:t>
        </x:is>
      </x:c>
      <x:c r="Y114" s="25" t="n">
        <x:v>41.1</x:v>
      </x:c>
      <x:c r="Z114" s="20" t="inlineStr">
        <x:is>
          <x:t xml:space="preserve">https://www.fldoe.org/file/18534/SchoolGrades25.xlsx</x:t>
        </x:is>
      </x:c>
    </x:row>
    <x:row r="115">
      <x:c r="A115" s="20" t="inlineStr">
        <x:is>
          <x:t xml:space="preserve">490931</x:t>
        </x:is>
      </x:c>
      <x:c r="B115" s="20" t="inlineStr">
        <x:is>
          <x:t xml:space="preserve">49</x:t>
        </x:is>
      </x:c>
      <x:c r="C115" s="20" t="inlineStr">
        <x:is>
          <x:t xml:space="preserve">OSCEOLA</x:t>
        </x:is>
      </x:c>
      <x:c r="D115" s="20" t="inlineStr">
        <x:is>
          <x:t xml:space="preserve">0931</x:t>
        </x:is>
      </x:c>
      <x:c r="E115" s="20" t="inlineStr">
        <x:is>
          <x:t xml:space="preserve">FLORA RIDGE ELEMENTARY SCHOOL</x:t>
        </x:is>
      </x:c>
      <x:c r="F115" s="20" t="inlineStr">
        <x:is>
          <x:t xml:space="preserve">01</x:t>
        </x:is>
      </x:c>
      <x:c r="G115" s="20" t="inlineStr">
        <x:is>
          <x:t xml:space="preserve">Elementary</x:t>
        </x:is>
      </x:c>
      <x:c r="H115" s="20" t="inlineStr">
        <x:is>
          <x:t xml:space="preserve">NO</x:t>
        </x:is>
      </x:c>
      <x:c r="I115" s="20" t="inlineStr">
        <x:is>
          <x:t xml:space="preserve">YES</x:t>
        </x:is>
      </x:c>
      <x:c r="J115" s="20" t="inlineStr">
        <x:is>
          <x:t xml:space="preserve">N</x:t>
        </x:is>
      </x:c>
      <x:c r="K115" s="25" t="n">
        <x:v>43</x:v>
      </x:c>
      <x:c r="L115" s="25" t="n">
        <x:v>61</x:v>
      </x:c>
      <x:c r="M115" s="25" t="n">
        <x:v>40</x:v>
      </x:c>
      <x:c r="N115" s="25" t="n">
        <x:v>57</x:v>
      </x:c>
      <x:c r="O115" s="25" t="n">
        <x:v>38</x:v>
      </x:c>
      <x:c r="P115" s="25" t="n"/>
      <x:c r="Q115" s="25" t="n"/>
      <x:c r="R115" s="25" t="n"/>
      <x:c r="S115" s="20" t="n">
        <x:v>410</x:v>
      </x:c>
      <x:c r="T115" s="20" t="n">
        <x:v>8</x:v>
      </x:c>
      <x:c r="U115" s="25" t="n">
        <x:v>51</x:v>
      </x:c>
      <x:c r="V115" s="25" t="n">
        <x:v>100</x:v>
      </x:c>
      <x:c r="W115" s="20" t="inlineStr">
        <x:is>
          <x:t xml:space="preserve">C</x:t>
        </x:is>
      </x:c>
      <x:c r="X115" s="20" t="inlineStr">
        <x:is>
          <x:t xml:space="preserve">C</x:t>
        </x:is>
      </x:c>
      <x:c r="Y115" s="25" t="n">
        <x:v>80.59999999999999</x:v>
      </x:c>
      <x:c r="Z115" s="20" t="inlineStr">
        <x:is>
          <x:t xml:space="preserve">https://www.fldoe.org/file/18534/SchoolGrades25.xlsx</x:t>
        </x:is>
      </x:c>
    </x:row>
    <x:row r="116">
      <x:c r="A116" s="20" t="inlineStr">
        <x:is>
          <x:t xml:space="preserve">490932</x:t>
        </x:is>
      </x:c>
      <x:c r="B116" s="20" t="inlineStr">
        <x:is>
          <x:t xml:space="preserve">49</x:t>
        </x:is>
      </x:c>
      <x:c r="C116" s="20" t="inlineStr">
        <x:is>
          <x:t xml:space="preserve">OSCEOLA</x:t>
        </x:is>
      </x:c>
      <x:c r="D116" s="20" t="inlineStr">
        <x:is>
          <x:t xml:space="preserve">0932</x:t>
        </x:is>
      </x:c>
      <x:c r="E116" s="20" t="inlineStr">
        <x:is>
          <x:t xml:space="preserve">BELLALAGO CHARTER ACADEMY</x:t>
        </x:is>
      </x:c>
      <x:c r="F116" s="20" t="inlineStr">
        <x:is>
          <x:t xml:space="preserve">04</x:t>
        </x:is>
      </x:c>
      <x:c r="G116" s="20" t="inlineStr">
        <x:is>
          <x:t xml:space="preserve">Combination</x:t>
        </x:is>
      </x:c>
      <x:c r="H116" s="20" t="inlineStr">
        <x:is>
          <x:t xml:space="preserve">YES</x:t>
        </x:is>
      </x:c>
      <x:c r="I116" s="20" t="inlineStr">
        <x:is>
          <x:t xml:space="preserve">YES</x:t>
        </x:is>
      </x:c>
      <x:c r="J116" s="20" t="inlineStr">
        <x:is>
          <x:t xml:space="preserve">N</x:t>
        </x:is>
      </x:c>
      <x:c r="K116" s="25" t="n">
        <x:v>56</x:v>
      </x:c>
      <x:c r="L116" s="25" t="n">
        <x:v>56</x:v>
      </x:c>
      <x:c r="M116" s="25" t="n">
        <x:v>55</x:v>
      </x:c>
      <x:c r="N116" s="25" t="n">
        <x:v>58</x:v>
      </x:c>
      <x:c r="O116" s="25" t="n">
        <x:v>51</x:v>
      </x:c>
      <x:c r="P116" s="25" t="n">
        <x:v>71</x:v>
      </x:c>
      <x:c r="Q116" s="25" t="n"/>
      <x:c r="R116" s="25" t="n"/>
      <x:c r="S116" s="20" t="n">
        <x:v>580</x:v>
      </x:c>
      <x:c r="T116" s="20" t="n">
        <x:v>10</x:v>
      </x:c>
      <x:c r="U116" s="25" t="n">
        <x:v>58</x:v>
      </x:c>
      <x:c r="V116" s="25" t="n">
        <x:v>100</x:v>
      </x:c>
      <x:c r="W116" s="20" t="inlineStr">
        <x:is>
          <x:t xml:space="preserve">B</x:t>
        </x:is>
      </x:c>
      <x:c r="X116" s="20" t="inlineStr">
        <x:is>
          <x:t xml:space="preserve">B</x:t>
        </x:is>
      </x:c>
      <x:c r="Y116" s="25" t="n">
        <x:v>82.40000000000001</x:v>
      </x:c>
      <x:c r="Z116" s="20" t="inlineStr">
        <x:is>
          <x:t xml:space="preserve">https://www.fldoe.org/file/18534/SchoolGrades25.xlsx</x:t>
        </x:is>
      </x:c>
    </x:row>
    <x:row r="117">
      <x:c r="A117" s="20" t="inlineStr">
        <x:is>
          <x:t xml:space="preserve">490933</x:t>
        </x:is>
      </x:c>
      <x:c r="B117" s="20" t="inlineStr">
        <x:is>
          <x:t xml:space="preserve">49</x:t>
        </x:is>
      </x:c>
      <x:c r="C117" s="20" t="inlineStr">
        <x:is>
          <x:t xml:space="preserve">OSCEOLA</x:t>
        </x:is>
      </x:c>
      <x:c r="D117" s="20" t="inlineStr">
        <x:is>
          <x:t xml:space="preserve">0933</x:t>
        </x:is>
      </x:c>
      <x:c r="E117" s="20" t="inlineStr">
        <x:is>
          <x:t xml:space="preserve">NEPTUNE ELEMENTARY SCHOOL</x:t>
        </x:is>
      </x:c>
      <x:c r="F117" s="20" t="inlineStr">
        <x:is>
          <x:t xml:space="preserve">01</x:t>
        </x:is>
      </x:c>
      <x:c r="G117" s="20" t="inlineStr">
        <x:is>
          <x:t xml:space="preserve">Elementary</x:t>
        </x:is>
      </x:c>
      <x:c r="H117" s="20" t="inlineStr">
        <x:is>
          <x:t xml:space="preserve">NO</x:t>
        </x:is>
      </x:c>
      <x:c r="I117" s="20" t="inlineStr">
        <x:is>
          <x:t xml:space="preserve">YES</x:t>
        </x:is>
      </x:c>
      <x:c r="J117" s="20" t="inlineStr">
        <x:is>
          <x:t xml:space="preserve">N</x:t>
        </x:is>
      </x:c>
      <x:c r="K117" s="25" t="n">
        <x:v>47</x:v>
      </x:c>
      <x:c r="L117" s="25" t="n">
        <x:v>51</x:v>
      </x:c>
      <x:c r="M117" s="25" t="n">
        <x:v>58</x:v>
      </x:c>
      <x:c r="N117" s="25" t="n">
        <x:v>61</x:v>
      </x:c>
      <x:c r="O117" s="25" t="n">
        <x:v>45</x:v>
      </x:c>
      <x:c r="P117" s="25" t="n"/>
      <x:c r="Q117" s="25" t="n"/>
      <x:c r="R117" s="25" t="n"/>
      <x:c r="S117" s="20" t="n">
        <x:v>396</x:v>
      </x:c>
      <x:c r="T117" s="20" t="n">
        <x:v>8</x:v>
      </x:c>
      <x:c r="U117" s="25" t="n">
        <x:v>50</x:v>
      </x:c>
      <x:c r="V117" s="25" t="n">
        <x:v>100</x:v>
      </x:c>
      <x:c r="W117" s="20" t="inlineStr">
        <x:is>
          <x:t xml:space="preserve">C</x:t>
        </x:is>
      </x:c>
      <x:c r="X117" s="20" t="inlineStr">
        <x:is>
          <x:t xml:space="preserve">C</x:t>
        </x:is>
      </x:c>
      <x:c r="Y117" s="25" t="n">
        <x:v>85.59999999999999</x:v>
      </x:c>
      <x:c r="Z117" s="20" t="inlineStr">
        <x:is>
          <x:t xml:space="preserve">https://www.fldoe.org/file/18534/SchoolGrades25.xlsx</x:t>
        </x:is>
      </x:c>
    </x:row>
    <x:row r="118">
      <x:c r="A118" s="20" t="inlineStr">
        <x:is>
          <x:t xml:space="preserve">490957</x:t>
        </x:is>
      </x:c>
      <x:c r="B118" s="20" t="inlineStr">
        <x:is>
          <x:t xml:space="preserve">49</x:t>
        </x:is>
      </x:c>
      <x:c r="C118" s="20" t="inlineStr">
        <x:is>
          <x:t xml:space="preserve">OSCEOLA</x:t>
        </x:is>
      </x:c>
      <x:c r="D118" s="20" t="inlineStr">
        <x:is>
          <x:t xml:space="preserve">0957</x:t>
        </x:is>
      </x:c>
      <x:c r="E118" s="20" t="inlineStr">
        <x:is>
          <x:t xml:space="preserve">CHESTNUT ELEMENTARY SCHOOL FOR SCIENCE AND ENGINEERING</x:t>
        </x:is>
      </x:c>
      <x:c r="F118" s="20" t="inlineStr">
        <x:is>
          <x:t xml:space="preserve">01</x:t>
        </x:is>
      </x:c>
      <x:c r="G118" s="20" t="inlineStr">
        <x:is>
          <x:t xml:space="preserve">Elementary</x:t>
        </x:is>
      </x:c>
      <x:c r="H118" s="20" t="inlineStr">
        <x:is>
          <x:t xml:space="preserve">NO</x:t>
        </x:is>
      </x:c>
      <x:c r="I118" s="20" t="inlineStr">
        <x:is>
          <x:t xml:space="preserve">YES</x:t>
        </x:is>
      </x:c>
      <x:c r="J118" s="20" t="inlineStr">
        <x:is>
          <x:t xml:space="preserve">N</x:t>
        </x:is>
      </x:c>
      <x:c r="K118" s="25" t="n">
        <x:v>45</x:v>
      </x:c>
      <x:c r="L118" s="25" t="n">
        <x:v>54</x:v>
      </x:c>
      <x:c r="M118" s="25" t="n">
        <x:v>51</x:v>
      </x:c>
      <x:c r="N118" s="25" t="n">
        <x:v>53</x:v>
      </x:c>
      <x:c r="O118" s="25" t="n">
        <x:v>44</x:v>
      </x:c>
      <x:c r="P118" s="25" t="n"/>
      <x:c r="Q118" s="25" t="n"/>
      <x:c r="R118" s="25" t="n"/>
      <x:c r="S118" s="20" t="n">
        <x:v>397</x:v>
      </x:c>
      <x:c r="T118" s="20" t="n">
        <x:v>8</x:v>
      </x:c>
      <x:c r="U118" s="25" t="n">
        <x:v>50</x:v>
      </x:c>
      <x:c r="V118" s="25" t="n">
        <x:v>97</x:v>
      </x:c>
      <x:c r="W118" s="20" t="inlineStr">
        <x:is>
          <x:t xml:space="preserve">C</x:t>
        </x:is>
      </x:c>
      <x:c r="X118" s="20" t="inlineStr">
        <x:is>
          <x:t xml:space="preserve">C</x:t>
        </x:is>
      </x:c>
      <x:c r="Y118" s="25" t="n">
        <x:v>100</x:v>
      </x:c>
      <x:c r="Z118" s="20" t="inlineStr">
        <x:is>
          <x:t xml:space="preserve">https://www.fldoe.org/file/18534/SchoolGrades25.xlsx</x:t>
        </x:is>
      </x:c>
    </x:row>
    <x:row r="119">
      <x:c r="A119" s="20" t="inlineStr">
        <x:is>
          <x:t xml:space="preserve">490958</x:t>
        </x:is>
      </x:c>
      <x:c r="B119" s="20" t="inlineStr">
        <x:is>
          <x:t xml:space="preserve">49</x:t>
        </x:is>
      </x:c>
      <x:c r="C119" s="20" t="inlineStr">
        <x:is>
          <x:t xml:space="preserve">OSCEOLA</x:t>
        </x:is>
      </x:c>
      <x:c r="D119" s="20" t="inlineStr">
        <x:is>
          <x:t xml:space="preserve">0958</x:t>
        </x:is>
      </x:c>
      <x:c r="E119" s="20" t="inlineStr">
        <x:is>
          <x:t xml:space="preserve">SUNRISE ELEMENTARY SCHOOL</x:t>
        </x:is>
      </x:c>
      <x:c r="F119" s="20" t="inlineStr">
        <x:is>
          <x:t xml:space="preserve">01</x:t>
        </x:is>
      </x:c>
      <x:c r="G119" s="20" t="inlineStr">
        <x:is>
          <x:t xml:space="preserve">Elementary</x:t>
        </x:is>
      </x:c>
      <x:c r="H119" s="20" t="inlineStr">
        <x:is>
          <x:t xml:space="preserve">NO</x:t>
        </x:is>
      </x:c>
      <x:c r="I119" s="20" t="inlineStr">
        <x:is>
          <x:t xml:space="preserve">YES</x:t>
        </x:is>
      </x:c>
      <x:c r="J119" s="20" t="inlineStr">
        <x:is>
          <x:t xml:space="preserve">N</x:t>
        </x:is>
      </x:c>
      <x:c r="K119" s="25" t="n">
        <x:v>54</x:v>
      </x:c>
      <x:c r="L119" s="25" t="n">
        <x:v>60</x:v>
      </x:c>
      <x:c r="M119" s="25" t="n">
        <x:v>46</x:v>
      </x:c>
      <x:c r="N119" s="25" t="n">
        <x:v>50</x:v>
      </x:c>
      <x:c r="O119" s="25" t="n">
        <x:v>50</x:v>
      </x:c>
      <x:c r="P119" s="25" t="n"/>
      <x:c r="Q119" s="25" t="n"/>
      <x:c r="R119" s="25" t="n"/>
      <x:c r="S119" s="20" t="n">
        <x:v>412</x:v>
      </x:c>
      <x:c r="T119" s="20" t="n">
        <x:v>8</x:v>
      </x:c>
      <x:c r="U119" s="25" t="n">
        <x:v>52</x:v>
      </x:c>
      <x:c r="V119" s="25" t="n">
        <x:v>99</x:v>
      </x:c>
      <x:c r="W119" s="20" t="inlineStr">
        <x:is>
          <x:t xml:space="preserve">C</x:t>
        </x:is>
      </x:c>
      <x:c r="X119" s="20" t="inlineStr">
        <x:is>
          <x:t xml:space="preserve">C</x:t>
        </x:is>
      </x:c>
      <x:c r="Y119" s="25" t="n">
        <x:v>92.5</x:v>
      </x:c>
      <x:c r="Z119" s="20" t="inlineStr">
        <x:is>
          <x:t xml:space="preserve">https://www.fldoe.org/file/18534/SchoolGrades25.xlsx</x:t>
        </x:is>
      </x:c>
    </x:row>
    <x:row r="120">
      <x:c r="A120" s="20" t="inlineStr">
        <x:is>
          <x:t xml:space="preserve">490961</x:t>
        </x:is>
      </x:c>
      <x:c r="B120" s="20" t="inlineStr">
        <x:is>
          <x:t xml:space="preserve">49</x:t>
        </x:is>
      </x:c>
      <x:c r="C120" s="20" t="inlineStr">
        <x:is>
          <x:t xml:space="preserve">OSCEOLA</x:t>
        </x:is>
      </x:c>
      <x:c r="D120" s="20" t="inlineStr">
        <x:is>
          <x:t xml:space="preserve">0961</x:t>
        </x:is>
      </x:c>
      <x:c r="E120" s="20" t="inlineStr">
        <x:is>
          <x:t xml:space="preserve">EAST LAKE ELEMENTARY SCHOOL</x:t>
        </x:is>
      </x:c>
      <x:c r="F120" s="20" t="inlineStr">
        <x:is>
          <x:t xml:space="preserve">01</x:t>
        </x:is>
      </x:c>
      <x:c r="G120" s="20" t="inlineStr">
        <x:is>
          <x:t xml:space="preserve">Elementary</x:t>
        </x:is>
      </x:c>
      <x:c r="H120" s="20" t="inlineStr">
        <x:is>
          <x:t xml:space="preserve">NO</x:t>
        </x:is>
      </x:c>
      <x:c r="I120" s="20" t="inlineStr">
        <x:is>
          <x:t xml:space="preserve">YES</x:t>
        </x:is>
      </x:c>
      <x:c r="J120" s="20" t="inlineStr">
        <x:is>
          <x:t xml:space="preserve">N</x:t>
        </x:is>
      </x:c>
      <x:c r="K120" s="25" t="n">
        <x:v>54</x:v>
      </x:c>
      <x:c r="L120" s="25" t="n">
        <x:v>52</x:v>
      </x:c>
      <x:c r="M120" s="25" t="n">
        <x:v>57</x:v>
      </x:c>
      <x:c r="N120" s="25" t="n">
        <x:v>37</x:v>
      </x:c>
      <x:c r="O120" s="25" t="n">
        <x:v>39</x:v>
      </x:c>
      <x:c r="P120" s="25" t="n"/>
      <x:c r="Q120" s="25" t="n"/>
      <x:c r="R120" s="25" t="n"/>
      <x:c r="S120" s="20" t="n">
        <x:v>387</x:v>
      </x:c>
      <x:c r="T120" s="20" t="n">
        <x:v>8</x:v>
      </x:c>
      <x:c r="U120" s="25" t="n">
        <x:v>48</x:v>
      </x:c>
      <x:c r="V120" s="25" t="n">
        <x:v>100</x:v>
      </x:c>
      <x:c r="W120" s="20" t="inlineStr">
        <x:is>
          <x:t xml:space="preserve">C</x:t>
        </x:is>
      </x:c>
      <x:c r="X120" s="20" t="inlineStr">
        <x:is>
          <x:t xml:space="preserve">C</x:t>
        </x:is>
      </x:c>
      <x:c r="Y120" s="25" t="n">
        <x:v>73.59999999999999</x:v>
      </x:c>
      <x:c r="Z120" s="20" t="inlineStr">
        <x:is>
          <x:t xml:space="preserve">https://www.fldoe.org/file/18534/SchoolGrades25.xlsx</x:t>
        </x:is>
      </x:c>
    </x:row>
    <x:row r="121">
      <x:c r="A121" s="20" t="inlineStr">
        <x:is>
          <x:t xml:space="preserve">490962</x:t>
        </x:is>
      </x:c>
      <x:c r="B121" s="20" t="inlineStr">
        <x:is>
          <x:t xml:space="preserve">49</x:t>
        </x:is>
      </x:c>
      <x:c r="C121" s="20" t="inlineStr">
        <x:is>
          <x:t xml:space="preserve">OSCEOLA</x:t>
        </x:is>
      </x:c>
      <x:c r="D121" s="20" t="inlineStr">
        <x:is>
          <x:t xml:space="preserve">0962</x:t>
        </x:is>
      </x:c>
      <x:c r="E121" s="20" t="inlineStr">
        <x:is>
          <x:t xml:space="preserve">NEOCITY ACADEMY</x:t>
        </x:is>
      </x:c>
      <x:c r="F121" s="20" t="inlineStr">
        <x:is>
          <x:t xml:space="preserve">03</x:t>
        </x:is>
      </x:c>
      <x:c r="G121" s="20" t="inlineStr">
        <x:is>
          <x:t xml:space="preserve">Senior High</x:t>
        </x:is>
      </x:c>
      <x:c r="H121" s="20" t="inlineStr">
        <x:is>
          <x:t xml:space="preserve">NO</x:t>
        </x:is>
      </x:c>
      <x:c r="I121" s="20" t="inlineStr">
        <x:is>
          <x:t xml:space="preserve">NO</x:t>
        </x:is>
      </x:c>
      <x:c r="J121" s="20" t="inlineStr">
        <x:is>
          <x:t xml:space="preserve">N</x:t>
        </x:is>
      </x:c>
      <x:c r="K121" s="25" t="n">
        <x:v>96</x:v>
      </x:c>
      <x:c r="L121" s="25" t="n">
        <x:v>69</x:v>
      </x:c>
      <x:c r="M121" s="25" t="n">
        <x:v>95</x:v>
      </x:c>
      <x:c r="N121" s="25" t="n">
        <x:v>75</x:v>
      </x:c>
      <x:c r="O121" s="25" t="n">
        <x:v>89</x:v>
      </x:c>
      <x:c r="P121" s="25" t="n">
        <x:v>98</x:v>
      </x:c>
      <x:c r="Q121" s="25" t="n">
        <x:v>100</x:v>
      </x:c>
      <x:c r="R121" s="25" t="n">
        <x:v>99</x:v>
      </x:c>
      <x:c r="S121" s="20" t="n">
        <x:v>885</x:v>
      </x:c>
      <x:c r="T121" s="20" t="n">
        <x:v>10</x:v>
      </x:c>
      <x:c r="U121" s="25" t="n">
        <x:v>89</x:v>
      </x:c>
      <x:c r="V121" s="25" t="n">
        <x:v>100</x:v>
      </x:c>
      <x:c r="W121" s="20" t="inlineStr">
        <x:is>
          <x:t xml:space="preserve">A</x:t>
        </x:is>
      </x:c>
      <x:c r="X121" s="20" t="inlineStr">
        <x:is>
          <x:t xml:space="preserve">A</x:t>
        </x:is>
      </x:c>
      <x:c r="Y121" s="25" t="n">
        <x:v>36.9</x:v>
      </x:c>
      <x:c r="Z121" s="20" t="inlineStr">
        <x:is>
          <x:t xml:space="preserve">https://www.fldoe.org/file/18534/SchoolGrades25.xlsx</x:t>
        </x:is>
      </x:c>
    </x:row>
    <x:row r="122">
      <x:c r="A122" s="20" t="inlineStr">
        <x:is>
          <x:t xml:space="preserve">490971</x:t>
        </x:is>
      </x:c>
      <x:c r="B122" s="20" t="inlineStr">
        <x:is>
          <x:t xml:space="preserve">49</x:t>
        </x:is>
      </x:c>
      <x:c r="C122" s="20" t="inlineStr">
        <x:is>
          <x:t xml:space="preserve">OSCEOLA</x:t>
        </x:is>
      </x:c>
      <x:c r="D122" s="20" t="inlineStr">
        <x:is>
          <x:t xml:space="preserve">0971</x:t>
        </x:is>
      </x:c>
      <x:c r="E122" s="20" t="inlineStr">
        <x:is>
          <x:t xml:space="preserve">MATER BRIGHTON LAKES ACADEMY PREPARATORY HIGH</x:t>
        </x:is>
      </x:c>
      <x:c r="F122" s="20" t="inlineStr">
        <x:is>
          <x:t xml:space="preserve">03</x:t>
        </x:is>
      </x:c>
      <x:c r="G122" s="20" t="inlineStr">
        <x:is>
          <x:t xml:space="preserve">Senior High</x:t>
        </x:is>
      </x:c>
      <x:c r="H122" s="20" t="inlineStr">
        <x:is>
          <x:t xml:space="preserve">YES</x:t>
        </x:is>
      </x:c>
      <x:c r="I122" s="20" t="inlineStr">
        <x:is>
          <x:t xml:space="preserve">YES</x:t>
        </x:is>
      </x:c>
      <x:c r="J122" s="20" t="inlineStr">
        <x:is>
          <x:t xml:space="preserve">N</x:t>
        </x:is>
      </x:c>
      <x:c r="K122" s="25" t="n">
        <x:v>49</x:v>
      </x:c>
      <x:c r="L122" s="25" t="n">
        <x:v>57</x:v>
      </x:c>
      <x:c r="M122" s="25" t="n">
        <x:v>38</x:v>
      </x:c>
      <x:c r="N122" s="25" t="n">
        <x:v>53</x:v>
      </x:c>
      <x:c r="O122" s="25" t="n">
        <x:v>43</x:v>
      </x:c>
      <x:c r="P122" s="25" t="n">
        <x:v>54</x:v>
      </x:c>
      <x:c r="Q122" s="25" t="n">
        <x:v>92</x:v>
      </x:c>
      <x:c r="R122" s="25" t="n">
        <x:v>72</x:v>
      </x:c>
      <x:c r="S122" s="20" t="n">
        <x:v>584</x:v>
      </x:c>
      <x:c r="T122" s="20" t="n">
        <x:v>10</x:v>
      </x:c>
      <x:c r="U122" s="25" t="n">
        <x:v>58</x:v>
      </x:c>
      <x:c r="V122" s="25" t="n">
        <x:v>99</x:v>
      </x:c>
      <x:c r="W122" s="20" t="inlineStr">
        <x:is>
          <x:t xml:space="preserve">B</x:t>
        </x:is>
      </x:c>
      <x:c r="X122" s="20" t="inlineStr">
        <x:is>
          <x:t xml:space="preserve">C</x:t>
        </x:is>
      </x:c>
      <x:c r="Y122" s="25" t="n">
        <x:v>80.2</x:v>
      </x:c>
      <x:c r="Z122" s="20" t="inlineStr">
        <x:is>
          <x:t xml:space="preserve">https://www.fldoe.org/file/18534/SchoolGrades25.xlsx</x:t>
        </x:is>
      </x:c>
    </x:row>
    <x:row r="123">
      <x:c r="A123" s="20" t="inlineStr">
        <x:is>
          <x:t xml:space="preserve">490991</x:t>
        </x:is>
      </x:c>
      <x:c r="B123" s="20" t="inlineStr">
        <x:is>
          <x:t xml:space="preserve">49</x:t>
        </x:is>
      </x:c>
      <x:c r="C123" s="20" t="inlineStr">
        <x:is>
          <x:t xml:space="preserve">OSCEOLA</x:t>
        </x:is>
      </x:c>
      <x:c r="D123" s="20" t="inlineStr">
        <x:is>
          <x:t xml:space="preserve">0991</x:t>
        </x:is>
      </x:c>
      <x:c r="E123" s="20" t="inlineStr">
        <x:is>
          <x:t xml:space="preserve">CANOE CREEK K-8</x:t>
        </x:is>
      </x:c>
      <x:c r="F123" s="20" t="inlineStr">
        <x:is>
          <x:t xml:space="preserve">04</x:t>
        </x:is>
      </x:c>
      <x:c r="G123" s="20" t="inlineStr">
        <x:is>
          <x:t xml:space="preserve">Combination</x:t>
        </x:is>
      </x:c>
      <x:c r="H123" s="20" t="inlineStr">
        <x:is>
          <x:t xml:space="preserve">NO</x:t>
        </x:is>
      </x:c>
      <x:c r="I123" s="20" t="inlineStr">
        <x:is>
          <x:t xml:space="preserve">NO</x:t>
        </x:is>
      </x:c>
      <x:c r="J123" s="20" t="inlineStr">
        <x:is>
          <x:t xml:space="preserve">N</x:t>
        </x:is>
      </x:c>
      <x:c r="K123" s="25" t="n">
        <x:v>72</x:v>
      </x:c>
      <x:c r="L123" s="25" t="n">
        <x:v>64</x:v>
      </x:c>
      <x:c r="M123" s="25" t="n">
        <x:v>83</x:v>
      </x:c>
      <x:c r="N123" s="25" t="n">
        <x:v>75</x:v>
      </x:c>
      <x:c r="O123" s="25" t="n">
        <x:v>77</x:v>
      </x:c>
      <x:c r="P123" s="25" t="n">
        <x:v>96</x:v>
      </x:c>
      <x:c r="Q123" s="25" t="n"/>
      <x:c r="R123" s="25" t="n"/>
      <x:c r="S123" s="20" t="n">
        <x:v>749</x:v>
      </x:c>
      <x:c r="T123" s="20" t="n">
        <x:v>10</x:v>
      </x:c>
      <x:c r="U123" s="25" t="n">
        <x:v>75</x:v>
      </x:c>
      <x:c r="V123" s="25" t="n">
        <x:v>99</x:v>
      </x:c>
      <x:c r="W123" s="20" t="inlineStr">
        <x:is>
          <x:t xml:space="preserve">A</x:t>
        </x:is>
      </x:c>
      <x:c r="X123" s="20" t="inlineStr">
        <x:is>
          <x:t xml:space="preserve">A</x:t>
        </x:is>
      </x:c>
      <x:c r="Y123" s="25" t="n">
        <x:v>52.4</x:v>
      </x:c>
      <x:c r="Z123" s="20" t="inlineStr">
        <x:is>
          <x:t xml:space="preserve">https://www.fldoe.org/file/18534/SchoolGrades25.xlsx</x:t>
        </x:is>
      </x:c>
    </x:row>
    <x:row r="124">
      <x:c r="A124" s="20" t="inlineStr">
        <x:is>
          <x:t xml:space="preserve">492941</x:t>
        </x:is>
      </x:c>
      <x:c r="B124" s="20" t="inlineStr">
        <x:is>
          <x:t xml:space="preserve">49</x:t>
        </x:is>
      </x:c>
      <x:c r="C124" s="20" t="inlineStr">
        <x:is>
          <x:t xml:space="preserve">OSCEOLA</x:t>
        </x:is>
      </x:c>
      <x:c r="D124" s="20" t="inlineStr">
        <x:is>
          <x:t xml:space="preserve">2941</x:t>
        </x:is>
      </x:c>
      <x:c r="E124" s="20" t="inlineStr">
        <x:is>
          <x:t xml:space="preserve">KNIGHTS POINT K-8</x:t>
        </x:is>
      </x:c>
      <x:c r="F124" s="20" t="inlineStr">
        <x:is>
          <x:t xml:space="preserve">04</x:t>
        </x:is>
      </x:c>
      <x:c r="G124" s="20" t="inlineStr">
        <x:is>
          <x:t xml:space="preserve">Combination</x:t>
        </x:is>
      </x:c>
      <x:c r="H124" s="20" t="inlineStr">
        <x:is>
          <x:t xml:space="preserve">NO</x:t>
        </x:is>
      </x:c>
      <x:c r="I124" s="20" t="inlineStr">
        <x:is>
          <x:t xml:space="preserve">NO</x:t>
        </x:is>
      </x:c>
      <x:c r="J124" s="20" t="inlineStr">
        <x:is>
          <x:t xml:space="preserve">N</x:t>
        </x:is>
      </x:c>
      <x:c r="K124" s="25" t="n">
        <x:v>29</x:v>
      </x:c>
      <x:c r="L124" s="25" t="n">
        <x:v>43</x:v>
      </x:c>
      <x:c r="M124" s="25" t="n">
        <x:v>27</x:v>
      </x:c>
      <x:c r="N124" s="25" t="n">
        <x:v>36</x:v>
      </x:c>
      <x:c r="O124" s="25" t="n">
        <x:v>30</x:v>
      </x:c>
      <x:c r="P124" s="25" t="n">
        <x:v>48</x:v>
      </x:c>
      <x:c r="Q124" s="25" t="n"/>
      <x:c r="R124" s="25" t="n"/>
      <x:c r="S124" s="20" t="n">
        <x:v>392</x:v>
      </x:c>
      <x:c r="T124" s="20" t="n">
        <x:v>10</x:v>
      </x:c>
      <x:c r="U124" s="25" t="n">
        <x:v>39</x:v>
      </x:c>
      <x:c r="V124" s="25" t="n">
        <x:v>96</x:v>
      </x:c>
      <x:c r="W124" s="20" t="inlineStr">
        <x:is>
          <x:t xml:space="preserve">D</x:t>
        </x:is>
      </x:c>
      <x:c r="X124" s="20" t="inlineStr">
        <x:is>
          <x:t xml:space="preserve"/>
        </x:is>
      </x:c>
      <x:c r="Y124" s="25" t="n">
        <x:v>83.90000000000001</x:v>
      </x:c>
      <x:c r="Z124" s="20" t="inlineStr">
        <x:is>
          <x:t xml:space="preserve">https://www.fldoe.org/file/18534/SchoolGrades25.xlsx</x:t>
        </x:is>
      </x:c>
    </x:row>
    <x:row r="125">
      <x:c r="A125" s="20" t="inlineStr">
        <x:is>
          <x:t xml:space="preserve">492942</x:t>
        </x:is>
      </x:c>
      <x:c r="B125" s="20" t="inlineStr">
        <x:is>
          <x:t xml:space="preserve">49</x:t>
        </x:is>
      </x:c>
      <x:c r="C125" s="20" t="inlineStr">
        <x:is>
          <x:t xml:space="preserve">OSCEOLA</x:t>
        </x:is>
      </x:c>
      <x:c r="D125" s="20" t="inlineStr">
        <x:is>
          <x:t xml:space="preserve">2942</x:t>
        </x:is>
      </x:c>
      <x:c r="E125" s="20" t="inlineStr">
        <x:is>
          <x:t xml:space="preserve">VOYAGER K-8</x:t>
        </x:is>
      </x:c>
      <x:c r="F125" s="20" t="inlineStr">
        <x:is>
          <x:t xml:space="preserve">04</x:t>
        </x:is>
      </x:c>
      <x:c r="G125" s="20" t="inlineStr">
        <x:is>
          <x:t xml:space="preserve">Combination</x:t>
        </x:is>
      </x:c>
      <x:c r="H125" s="20" t="inlineStr">
        <x:is>
          <x:t xml:space="preserve">NO</x:t>
        </x:is>
      </x:c>
      <x:c r="I125" s="20" t="inlineStr">
        <x:is>
          <x:t xml:space="preserve">NO</x:t>
        </x:is>
      </x:c>
      <x:c r="J125" s="20" t="inlineStr">
        <x:is>
          <x:t xml:space="preserve">N</x:t>
        </x:is>
      </x:c>
      <x:c r="K125" s="25" t="n">
        <x:v>71</x:v>
      </x:c>
      <x:c r="L125" s="25" t="n">
        <x:v>68</x:v>
      </x:c>
      <x:c r="M125" s="25" t="n">
        <x:v>81</x:v>
      </x:c>
      <x:c r="N125" s="25" t="n">
        <x:v>77</x:v>
      </x:c>
      <x:c r="O125" s="25" t="n">
        <x:v>77</x:v>
      </x:c>
      <x:c r="P125" s="25" t="n">
        <x:v>94</x:v>
      </x:c>
      <x:c r="Q125" s="25" t="n"/>
      <x:c r="R125" s="25" t="n"/>
      <x:c r="S125" s="20" t="n">
        <x:v>769</x:v>
      </x:c>
      <x:c r="T125" s="20" t="n">
        <x:v>10</x:v>
      </x:c>
      <x:c r="U125" s="25" t="n">
        <x:v>77</x:v>
      </x:c>
      <x:c r="V125" s="25" t="n">
        <x:v>96</x:v>
      </x:c>
      <x:c r="W125" s="20" t="inlineStr">
        <x:is>
          <x:t xml:space="preserve">A</x:t>
        </x:is>
      </x:c>
      <x:c r="X125" s="20" t="inlineStr">
        <x:is>
          <x:t xml:space="preserve"/>
        </x:is>
      </x:c>
      <x:c r="Y125" s="25" t="n">
        <x:v>43.5</x:v>
      </x:c>
      <x:c r="Z125" s="20" t="inlineStr">
        <x:is>
          <x:t xml:space="preserve">https://www.fldoe.org/file/18534/SchoolGrades25.xlsx</x:t>
        </x:is>
      </x:c>
    </x:row>
    <x:row r="126">
      <x:c r="A126" s="20" t="inlineStr">
        <x:is>
          <x:t xml:space="preserve">497004</x:t>
        </x:is>
      </x:c>
      <x:c r="B126" s="20" t="inlineStr">
        <x:is>
          <x:t xml:space="preserve">49</x:t>
        </x:is>
      </x:c>
      <x:c r="C126" s="20" t="inlineStr">
        <x:is>
          <x:t xml:space="preserve">OSCEOLA</x:t>
        </x:is>
      </x:c>
      <x:c r="D126" s="20" t="inlineStr">
        <x:is>
          <x:t xml:space="preserve">7004</x:t>
        </x:is>
      </x:c>
      <x:c r="E126" s="20" t="inlineStr">
        <x:is>
          <x:t xml:space="preserve">OSCEOLA VIRTUAL FRANCHISE (SECONDARY)</x:t>
        </x:is>
      </x:c>
      <x:c r="F126" s="20" t="inlineStr">
        <x:is>
          <x:t xml:space="preserve">04</x:t>
        </x:is>
      </x:c>
      <x:c r="G126" s="20" t="inlineStr">
        <x:is>
          <x:t xml:space="preserve">Combination</x:t>
        </x:is>
      </x:c>
      <x:c r="H126" s="20" t="inlineStr">
        <x:is>
          <x:t xml:space="preserve">NO</x:t>
        </x:is>
      </x:c>
      <x:c r="I126" s="20" t="inlineStr">
        <x:is>
          <x:t xml:space="preserve">NO</x:t>
        </x:is>
      </x:c>
      <x:c r="J126" s="20" t="inlineStr">
        <x:is>
          <x:t xml:space="preserve">N</x:t>
        </x:is>
      </x:c>
      <x:c r="K126" s="25" t="n">
        <x:v>84</x:v>
      </x:c>
      <x:c r="L126" s="25" t="n">
        <x:v>61</x:v>
      </x:c>
      <x:c r="M126" s="25" t="n">
        <x:v>64</x:v>
      </x:c>
      <x:c r="N126" s="25" t="n">
        <x:v>52</x:v>
      </x:c>
      <x:c r="O126" s="25" t="n">
        <x:v>74</x:v>
      </x:c>
      <x:c r="P126" s="25" t="n">
        <x:v>100</x:v>
      </x:c>
      <x:c r="Q126" s="25" t="n">
        <x:v>95</x:v>
      </x:c>
      <x:c r="R126" s="25" t="n">
        <x:v>49</x:v>
      </x:c>
      <x:c r="S126" s="20" t="n">
        <x:v>770</x:v>
      </x:c>
      <x:c r="T126" s="20" t="n">
        <x:v>11</x:v>
      </x:c>
      <x:c r="U126" s="25" t="n">
        <x:v>70</x:v>
      </x:c>
      <x:c r="V126" s="25" t="n">
        <x:v>100</x:v>
      </x:c>
      <x:c r="W126" s="20" t="inlineStr">
        <x:is>
          <x:t xml:space="preserve">A</x:t>
        </x:is>
      </x:c>
      <x:c r="X126" s="20" t="inlineStr">
        <x:is>
          <x:t xml:space="preserve">A</x:t>
        </x:is>
      </x:c>
      <x:c r="Y126" s="25" t="n">
        <x:v>12.9</x:v>
      </x:c>
      <x:c r="Z126" s="20" t="inlineStr">
        <x:is>
          <x:t xml:space="preserve">https://www.fldoe.org/file/18534/SchoolGrades25.xlsx</x:t>
        </x:is>
      </x:c>
    </x:row>
    <x:row r="127">
      <x:c r="A127" s="20" t="inlineStr">
        <x:is>
          <x:t xml:space="preserve">497030</x:t>
        </x:is>
      </x:c>
      <x:c r="B127" s="20" t="inlineStr">
        <x:is>
          <x:t xml:space="preserve">49</x:t>
        </x:is>
      </x:c>
      <x:c r="C127" s="20" t="inlineStr">
        <x:is>
          <x:t xml:space="preserve">OSCEOLA</x:t>
        </x:is>
      </x:c>
      <x:c r="D127" s="20" t="inlineStr">
        <x:is>
          <x:t xml:space="preserve">7030</x:t>
        </x:is>
      </x:c>
      <x:c r="E127" s="20" t="inlineStr">
        <x:is>
          <x:t xml:space="preserve">VIRTUAL PREPARATORY ACADEMY OF FLORIDA</x:t>
        </x:is>
      </x:c>
      <x:c r="F127" s="20" t="inlineStr">
        <x:is>
          <x:t xml:space="preserve">04</x:t>
        </x:is>
      </x:c>
      <x:c r="G127" s="20" t="inlineStr">
        <x:is>
          <x:t xml:space="preserve">Combination</x:t>
        </x:is>
      </x:c>
      <x:c r="H127" s="20" t="inlineStr">
        <x:is>
          <x:t xml:space="preserve">YES</x:t>
        </x:is>
      </x:c>
      <x:c r="I127" s="20" t="inlineStr">
        <x:is>
          <x:t xml:space="preserve">NO</x:t>
        </x:is>
      </x:c>
      <x:c r="J127" s="20" t="inlineStr">
        <x:is>
          <x:t xml:space="preserve">N</x:t>
        </x:is>
      </x:c>
      <x:c r="K127" s="25" t="n">
        <x:v>36</x:v>
      </x:c>
      <x:c r="L127" s="25" t="n">
        <x:v>44</x:v>
      </x:c>
      <x:c r="M127" s="25" t="n">
        <x:v>14</x:v>
      </x:c>
      <x:c r="N127" s="25" t="n">
        <x:v>33</x:v>
      </x:c>
      <x:c r="O127" s="25" t="n">
        <x:v>34</x:v>
      </x:c>
      <x:c r="P127" s="25" t="n">
        <x:v>33</x:v>
      </x:c>
      <x:c r="Q127" s="25" t="n"/>
      <x:c r="R127" s="25" t="n"/>
      <x:c r="S127" s="20" t="n">
        <x:v>332</x:v>
      </x:c>
      <x:c r="T127" s="20" t="n">
        <x:v>10</x:v>
      </x:c>
      <x:c r="U127" s="25" t="n">
        <x:v>33</x:v>
      </x:c>
      <x:c r="V127" s="25" t="n">
        <x:v>97</x:v>
      </x:c>
      <x:c r="W127" s="20" t="inlineStr">
        <x:is>
          <x:t xml:space="preserve">F</x:t>
        </x:is>
      </x:c>
      <x:c r="X127" s="20" t="inlineStr">
        <x:is>
          <x:t xml:space="preserve"/>
        </x:is>
      </x:c>
      <x:c r="Y127" s="25" t="n">
        <x:v>68</x:v>
      </x:c>
      <x:c r="Z127" s="20" t="inlineStr">
        <x:is>
          <x:t xml:space="preserve">https://www.fldoe.org/file/18534/SchoolGrades25.xlsx</x:t>
        </x:is>
      </x:c>
    </x:row>
    <x:row r="128">
      <x:c r="A128" s="20" t="inlineStr">
        <x:is>
          <x:t xml:space="preserve">530031</x:t>
        </x:is>
      </x:c>
      <x:c r="B128" s="20" t="inlineStr">
        <x:is>
          <x:t xml:space="preserve">53</x:t>
        </x:is>
      </x:c>
      <x:c r="C128" s="20" t="inlineStr">
        <x:is>
          <x:t xml:space="preserve">POLK</x:t>
        </x:is>
      </x:c>
      <x:c r="D128" s="20" t="inlineStr">
        <x:is>
          <x:t xml:space="preserve">0031</x:t>
        </x:is>
      </x:c>
      <x:c r="E128" s="20" t="inlineStr">
        <x:is>
          <x:t xml:space="preserve">LAKELAND SENIOR HIGH SCHOOL</x:t>
        </x:is>
      </x:c>
      <x:c r="F128" s="20" t="inlineStr">
        <x:is>
          <x:t xml:space="preserve">03</x:t>
        </x:is>
      </x:c>
      <x:c r="G128" s="20" t="inlineStr">
        <x:is>
          <x:t xml:space="preserve">Senior High</x:t>
        </x:is>
      </x:c>
      <x:c r="H128" s="20" t="inlineStr">
        <x:is>
          <x:t xml:space="preserve">NO</x:t>
        </x:is>
      </x:c>
      <x:c r="I128" s="20" t="inlineStr">
        <x:is>
          <x:t xml:space="preserve">YES</x:t>
        </x:is>
      </x:c>
      <x:c r="J128" s="20" t="inlineStr">
        <x:is>
          <x:t xml:space="preserve">N</x:t>
        </x:is>
      </x:c>
      <x:c r="K128" s="25" t="n">
        <x:v>61</x:v>
      </x:c>
      <x:c r="L128" s="25" t="n">
        <x:v>59</x:v>
      </x:c>
      <x:c r="M128" s="25" t="n">
        <x:v>28</x:v>
      </x:c>
      <x:c r="N128" s="25" t="n">
        <x:v>37</x:v>
      </x:c>
      <x:c r="O128" s="25" t="n">
        <x:v>69</x:v>
      </x:c>
      <x:c r="P128" s="25" t="n">
        <x:v>72</x:v>
      </x:c>
      <x:c r="Q128" s="25" t="n">
        <x:v>91</x:v>
      </x:c>
      <x:c r="R128" s="25" t="n">
        <x:v>70</x:v>
      </x:c>
      <x:c r="S128" s="20" t="n">
        <x:v>597</x:v>
      </x:c>
      <x:c r="T128" s="20" t="n">
        <x:v>10</x:v>
      </x:c>
      <x:c r="U128" s="25" t="n">
        <x:v>60</x:v>
      </x:c>
      <x:c r="V128" s="25" t="n">
        <x:v>97</x:v>
      </x:c>
      <x:c r="W128" s="20" t="inlineStr">
        <x:is>
          <x:t xml:space="preserve">B</x:t>
        </x:is>
      </x:c>
      <x:c r="X128" s="20" t="inlineStr">
        <x:is>
          <x:t xml:space="preserve">B</x:t>
        </x:is>
      </x:c>
      <x:c r="Y128" s="25" t="n">
        <x:v>80.5</x:v>
      </x:c>
      <x:c r="Z128" s="20" t="inlineStr">
        <x:is>
          <x:t xml:space="preserve">https://www.fldoe.org/file/18534/SchoolGrades25.xlsx</x:t>
        </x:is>
      </x:c>
    </x:row>
    <x:row r="129">
      <x:c r="A129" s="20" t="inlineStr">
        <x:is>
          <x:t xml:space="preserve">530043</x:t>
        </x:is>
      </x:c>
      <x:c r="B129" s="20" t="inlineStr">
        <x:is>
          <x:t xml:space="preserve">53</x:t>
        </x:is>
      </x:c>
      <x:c r="C129" s="20" t="inlineStr">
        <x:is>
          <x:t xml:space="preserve">POLK</x:t>
        </x:is>
      </x:c>
      <x:c r="D129" s="20" t="inlineStr">
        <x:is>
          <x:t xml:space="preserve">0043</x:t>
        </x:is>
      </x:c>
      <x:c r="E129" s="20" t="inlineStr">
        <x:is>
          <x:t xml:space="preserve">LAWTON CHILES MIDDLE ACADEMY</x:t>
        </x:is>
      </x:c>
      <x:c r="F129" s="20" t="inlineStr">
        <x:is>
          <x:t xml:space="preserve">02</x:t>
        </x:is>
      </x:c>
      <x:c r="G129" s="20" t="inlineStr">
        <x:is>
          <x:t xml:space="preserve">Middle/Junior</x:t>
        </x:is>
      </x:c>
      <x:c r="H129" s="20" t="inlineStr">
        <x:is>
          <x:t xml:space="preserve">NO</x:t>
        </x:is>
      </x:c>
      <x:c r="I129" s="20" t="inlineStr">
        <x:is>
          <x:t xml:space="preserve">NO</x:t>
        </x:is>
      </x:c>
      <x:c r="J129" s="20" t="inlineStr">
        <x:is>
          <x:t xml:space="preserve">N</x:t>
        </x:is>
      </x:c>
      <x:c r="K129" s="25" t="n">
        <x:v>74</x:v>
      </x:c>
      <x:c r="L129" s="25" t="n">
        <x:v>60</x:v>
      </x:c>
      <x:c r="M129" s="25" t="n">
        <x:v>67</x:v>
      </x:c>
      <x:c r="N129" s="25" t="n">
        <x:v>60</x:v>
      </x:c>
      <x:c r="O129" s="25" t="n">
        <x:v>63</x:v>
      </x:c>
      <x:c r="P129" s="25" t="n">
        <x:v>95</x:v>
      </x:c>
      <x:c r="Q129" s="25" t="n"/>
      <x:c r="R129" s="25" t="n"/>
      <x:c r="S129" s="20" t="n">
        <x:v>585</x:v>
      </x:c>
      <x:c r="T129" s="20" t="n">
        <x:v>9</x:v>
      </x:c>
      <x:c r="U129" s="25" t="n">
        <x:v>65</x:v>
      </x:c>
      <x:c r="V129" s="25" t="n">
        <x:v>99</x:v>
      </x:c>
      <x:c r="W129" s="20" t="inlineStr">
        <x:is>
          <x:t xml:space="preserve">A</x:t>
        </x:is>
      </x:c>
      <x:c r="X129" s="20" t="inlineStr">
        <x:is>
          <x:t xml:space="preserve">A</x:t>
        </x:is>
      </x:c>
      <x:c r="Y129" s="25" t="n">
        <x:v>58.8</x:v>
      </x:c>
      <x:c r="Z129" s="20" t="inlineStr">
        <x:is>
          <x:t xml:space="preserve">https://www.fldoe.org/file/18534/SchoolGrades25.xlsx</x:t>
        </x:is>
      </x:c>
    </x:row>
    <x:row r="130">
      <x:c r="A130" s="20" t="inlineStr">
        <x:is>
          <x:t xml:space="preserve">530051</x:t>
        </x:is>
      </x:c>
      <x:c r="B130" s="20" t="inlineStr">
        <x:is>
          <x:t xml:space="preserve">53</x:t>
        </x:is>
      </x:c>
      <x:c r="C130" s="20" t="inlineStr">
        <x:is>
          <x:t xml:space="preserve">POLK</x:t>
        </x:is>
      </x:c>
      <x:c r="D130" s="20" t="inlineStr">
        <x:is>
          <x:t xml:space="preserve">0051</x:t>
        </x:is>
      </x:c>
      <x:c r="E130" s="20" t="inlineStr">
        <x:is>
          <x:t xml:space="preserve">SOUTHWEST MIDDLE SCHOOL</x:t>
        </x:is>
      </x:c>
      <x:c r="F130" s="20" t="inlineStr">
        <x:is>
          <x:t xml:space="preserve">02</x:t>
        </x:is>
      </x:c>
      <x:c r="G130" s="20" t="inlineStr">
        <x:is>
          <x:t xml:space="preserve">Middle/Junior</x:t>
        </x:is>
      </x:c>
      <x:c r="H130" s="20" t="inlineStr">
        <x:is>
          <x:t xml:space="preserve">NO</x:t>
        </x:is>
      </x:c>
      <x:c r="I130" s="20" t="inlineStr">
        <x:is>
          <x:t xml:space="preserve">YES</x:t>
        </x:is>
      </x:c>
      <x:c r="J130" s="20" t="inlineStr">
        <x:is>
          <x:t xml:space="preserve">N</x:t>
        </x:is>
      </x:c>
      <x:c r="K130" s="25" t="n">
        <x:v>47</x:v>
      </x:c>
      <x:c r="L130" s="25" t="n">
        <x:v>59</x:v>
      </x:c>
      <x:c r="M130" s="25" t="n">
        <x:v>37</x:v>
      </x:c>
      <x:c r="N130" s="25" t="n">
        <x:v>45</x:v>
      </x:c>
      <x:c r="O130" s="25" t="n">
        <x:v>31</x:v>
      </x:c>
      <x:c r="P130" s="25" t="n">
        <x:v>79</x:v>
      </x:c>
      <x:c r="Q130" s="25" t="n"/>
      <x:c r="R130" s="25" t="n"/>
      <x:c r="S130" s="20" t="n">
        <x:v>487</x:v>
      </x:c>
      <x:c r="T130" s="20" t="n">
        <x:v>9</x:v>
      </x:c>
      <x:c r="U130" s="25" t="n">
        <x:v>54</x:v>
      </x:c>
      <x:c r="V130" s="25" t="n">
        <x:v>98</x:v>
      </x:c>
      <x:c r="W130" s="20" t="inlineStr">
        <x:is>
          <x:t xml:space="preserve">C</x:t>
        </x:is>
      </x:c>
      <x:c r="X130" s="20" t="inlineStr">
        <x:is>
          <x:t xml:space="preserve">C</x:t>
        </x:is>
      </x:c>
      <x:c r="Y130" s="25" t="n">
        <x:v>100</x:v>
      </x:c>
      <x:c r="Z130" s="20" t="inlineStr">
        <x:is>
          <x:t xml:space="preserve">https://www.fldoe.org/file/18534/SchoolGrades25.xlsx</x:t>
        </x:is>
      </x:c>
    </x:row>
    <x:row r="131">
      <x:c r="A131" s="20" t="inlineStr">
        <x:is>
          <x:t xml:space="preserve">530061</x:t>
        </x:is>
      </x:c>
      <x:c r="B131" s="20" t="inlineStr">
        <x:is>
          <x:t xml:space="preserve">53</x:t>
        </x:is>
      </x:c>
      <x:c r="C131" s="20" t="inlineStr">
        <x:is>
          <x:t xml:space="preserve">POLK</x:t>
        </x:is>
      </x:c>
      <x:c r="D131" s="20" t="inlineStr">
        <x:is>
          <x:t xml:space="preserve">0061</x:t>
        </x:is>
      </x:c>
      <x:c r="E131" s="20" t="inlineStr">
        <x:is>
          <x:t xml:space="preserve">CARLTON PALMORE ELEMENTARY SCHOOL</x:t>
        </x:is>
      </x:c>
      <x:c r="F131" s="20" t="inlineStr">
        <x:is>
          <x:t xml:space="preserve">01</x:t>
        </x:is>
      </x:c>
      <x:c r="G131" s="20" t="inlineStr">
        <x:is>
          <x:t xml:space="preserve">Elementary</x:t>
        </x:is>
      </x:c>
      <x:c r="H131" s="20" t="inlineStr">
        <x:is>
          <x:t xml:space="preserve">NO</x:t>
        </x:is>
      </x:c>
      <x:c r="I131" s="20" t="inlineStr">
        <x:is>
          <x:t xml:space="preserve">YES</x:t>
        </x:is>
      </x:c>
      <x:c r="J131" s="20" t="inlineStr">
        <x:is>
          <x:t xml:space="preserve">N</x:t>
        </x:is>
      </x:c>
      <x:c r="K131" s="25" t="n">
        <x:v>53</x:v>
      </x:c>
      <x:c r="L131" s="25" t="n">
        <x:v>73</x:v>
      </x:c>
      <x:c r="M131" s="25" t="n">
        <x:v>47</x:v>
      </x:c>
      <x:c r="N131" s="25" t="n">
        <x:v>70</x:v>
      </x:c>
      <x:c r="O131" s="25" t="n">
        <x:v>40</x:v>
      </x:c>
      <x:c r="P131" s="25" t="n"/>
      <x:c r="Q131" s="25" t="n"/>
      <x:c r="R131" s="25" t="n"/>
      <x:c r="S131" s="20" t="n">
        <x:v>475</x:v>
      </x:c>
      <x:c r="T131" s="20" t="n">
        <x:v>8</x:v>
      </x:c>
      <x:c r="U131" s="25" t="n">
        <x:v>59</x:v>
      </x:c>
      <x:c r="V131" s="25" t="n">
        <x:v>100</x:v>
      </x:c>
      <x:c r="W131" s="20" t="inlineStr">
        <x:is>
          <x:t xml:space="preserve">B</x:t>
        </x:is>
      </x:c>
      <x:c r="X131" s="20" t="inlineStr">
        <x:is>
          <x:t xml:space="preserve">C</x:t>
        </x:is>
      </x:c>
      <x:c r="Y131" s="25" t="n">
        <x:v>98.8</x:v>
      </x:c>
      <x:c r="Z131" s="20" t="inlineStr">
        <x:is>
          <x:t xml:space="preserve">https://www.fldoe.org/file/18534/SchoolGrades25.xlsx</x:t>
        </x:is>
      </x:c>
    </x:row>
    <x:row r="132">
      <x:c r="A132" s="20" t="inlineStr">
        <x:is>
          <x:t xml:space="preserve">530081</x:t>
        </x:is>
      </x:c>
      <x:c r="B132" s="20" t="inlineStr">
        <x:is>
          <x:t xml:space="preserve">53</x:t>
        </x:is>
      </x:c>
      <x:c r="C132" s="20" t="inlineStr">
        <x:is>
          <x:t xml:space="preserve">POLK</x:t>
        </x:is>
      </x:c>
      <x:c r="D132" s="20" t="inlineStr">
        <x:is>
          <x:t xml:space="preserve">0081</x:t>
        </x:is>
      </x:c>
      <x:c r="E132" s="20" t="inlineStr">
        <x:is>
          <x:t xml:space="preserve">CLEVELAND COURT ELEMENTARY SCHOOL</x:t>
        </x:is>
      </x:c>
      <x:c r="F132" s="20" t="inlineStr">
        <x:is>
          <x:t xml:space="preserve">01</x:t>
        </x:is>
      </x:c>
      <x:c r="G132" s="20" t="inlineStr">
        <x:is>
          <x:t xml:space="preserve">Elementary</x:t>
        </x:is>
      </x:c>
      <x:c r="H132" s="20" t="inlineStr">
        <x:is>
          <x:t xml:space="preserve">NO</x:t>
        </x:is>
      </x:c>
      <x:c r="I132" s="20" t="inlineStr">
        <x:is>
          <x:t xml:space="preserve">YES</x:t>
        </x:is>
      </x:c>
      <x:c r="J132" s="20" t="inlineStr">
        <x:is>
          <x:t xml:space="preserve">N</x:t>
        </x:is>
      </x:c>
      <x:c r="K132" s="25" t="n">
        <x:v>75</x:v>
      </x:c>
      <x:c r="L132" s="25" t="n">
        <x:v>67</x:v>
      </x:c>
      <x:c r="M132" s="25" t="n">
        <x:v>80</x:v>
      </x:c>
      <x:c r="N132" s="25" t="n">
        <x:v>73</x:v>
      </x:c>
      <x:c r="O132" s="25" t="n">
        <x:v>60</x:v>
      </x:c>
      <x:c r="P132" s="25" t="n"/>
      <x:c r="Q132" s="25" t="n"/>
      <x:c r="R132" s="25" t="n"/>
      <x:c r="S132" s="20" t="n">
        <x:v>543</x:v>
      </x:c>
      <x:c r="T132" s="20" t="n">
        <x:v>8</x:v>
      </x:c>
      <x:c r="U132" s="25" t="n">
        <x:v>68</x:v>
      </x:c>
      <x:c r="V132" s="25" t="n">
        <x:v>100</x:v>
      </x:c>
      <x:c r="W132" s="20" t="inlineStr">
        <x:is>
          <x:t xml:space="preserve">A</x:t>
        </x:is>
      </x:c>
      <x:c r="X132" s="20" t="inlineStr">
        <x:is>
          <x:t xml:space="preserve">A</x:t>
        </x:is>
      </x:c>
      <x:c r="Y132" s="25" t="n">
        <x:v>75.09999999999999</x:v>
      </x:c>
      <x:c r="Z132" s="20" t="inlineStr">
        <x:is>
          <x:t xml:space="preserve">https://www.fldoe.org/file/18534/SchoolGrades25.xlsx</x:t>
        </x:is>
      </x:c>
    </x:row>
    <x:row r="133">
      <x:c r="A133" s="20" t="inlineStr">
        <x:is>
          <x:t xml:space="preserve">530091</x:t>
        </x:is>
      </x:c>
      <x:c r="B133" s="20" t="inlineStr">
        <x:is>
          <x:t xml:space="preserve">53</x:t>
        </x:is>
      </x:c>
      <x:c r="C133" s="20" t="inlineStr">
        <x:is>
          <x:t xml:space="preserve">POLK</x:t>
        </x:is>
      </x:c>
      <x:c r="D133" s="20" t="inlineStr">
        <x:is>
          <x:t xml:space="preserve">0091</x:t>
        </x:is>
      </x:c>
      <x:c r="E133" s="20" t="inlineStr">
        <x:is>
          <x:t xml:space="preserve">COMBEE ACADEMY OF DESIGN AND ENGINEERING</x:t>
        </x:is>
      </x:c>
      <x:c r="F133" s="20" t="inlineStr">
        <x:is>
          <x:t xml:space="preserve">01</x:t>
        </x:is>
      </x:c>
      <x:c r="G133" s="20" t="inlineStr">
        <x:is>
          <x:t xml:space="preserve">Elementary</x:t>
        </x:is>
      </x:c>
      <x:c r="H133" s="20" t="inlineStr">
        <x:is>
          <x:t xml:space="preserve">NO</x:t>
        </x:is>
      </x:c>
      <x:c r="I133" s="20" t="inlineStr">
        <x:is>
          <x:t xml:space="preserve">YES</x:t>
        </x:is>
      </x:c>
      <x:c r="J133" s="20" t="inlineStr">
        <x:is>
          <x:t xml:space="preserve">N</x:t>
        </x:is>
      </x:c>
      <x:c r="K133" s="25" t="n">
        <x:v>63</x:v>
      </x:c>
      <x:c r="L133" s="25" t="n">
        <x:v>63</x:v>
      </x:c>
      <x:c r="M133" s="25" t="n">
        <x:v>57</x:v>
      </x:c>
      <x:c r="N133" s="25" t="n">
        <x:v>56</x:v>
      </x:c>
      <x:c r="O133" s="25" t="n">
        <x:v>52</x:v>
      </x:c>
      <x:c r="P133" s="25" t="n"/>
      <x:c r="Q133" s="25" t="n"/>
      <x:c r="R133" s="25" t="n"/>
      <x:c r="S133" s="20" t="n">
        <x:v>475</x:v>
      </x:c>
      <x:c r="T133" s="20" t="n">
        <x:v>8</x:v>
      </x:c>
      <x:c r="U133" s="25" t="n">
        <x:v>59</x:v>
      </x:c>
      <x:c r="V133" s="25" t="n">
        <x:v>100</x:v>
      </x:c>
      <x:c r="W133" s="20" t="inlineStr">
        <x:is>
          <x:t xml:space="preserve">B</x:t>
        </x:is>
      </x:c>
      <x:c r="X133" s="20" t="inlineStr">
        <x:is>
          <x:t xml:space="preserve">B</x:t>
        </x:is>
      </x:c>
      <x:c r="Y133" s="25" t="n">
        <x:v>100</x:v>
      </x:c>
      <x:c r="Z133" s="20" t="inlineStr">
        <x:is>
          <x:t xml:space="preserve">https://www.fldoe.org/file/18534/SchoolGrades25.xlsx</x:t>
        </x:is>
      </x:c>
    </x:row>
    <x:row r="134">
      <x:c r="A134" s="20" t="inlineStr">
        <x:is>
          <x:t xml:space="preserve">530101</x:t>
        </x:is>
      </x:c>
      <x:c r="B134" s="20" t="inlineStr">
        <x:is>
          <x:t xml:space="preserve">53</x:t>
        </x:is>
      </x:c>
      <x:c r="C134" s="20" t="inlineStr">
        <x:is>
          <x:t xml:space="preserve">POLK</x:t>
        </x:is>
      </x:c>
      <x:c r="D134" s="20" t="inlineStr">
        <x:is>
          <x:t xml:space="preserve">0101</x:t>
        </x:is>
      </x:c>
      <x:c r="E134" s="20" t="inlineStr">
        <x:is>
          <x:t xml:space="preserve">CRYSTAL LAKE ELEMENTARY SCHOOL</x:t>
        </x:is>
      </x:c>
      <x:c r="F134" s="20" t="inlineStr">
        <x:is>
          <x:t xml:space="preserve">01</x:t>
        </x:is>
      </x:c>
      <x:c r="G134" s="20" t="inlineStr">
        <x:is>
          <x:t xml:space="preserve">Elementary</x:t>
        </x:is>
      </x:c>
      <x:c r="H134" s="20" t="inlineStr">
        <x:is>
          <x:t xml:space="preserve">NO</x:t>
        </x:is>
      </x:c>
      <x:c r="I134" s="20" t="inlineStr">
        <x:is>
          <x:t xml:space="preserve">YES</x:t>
        </x:is>
      </x:c>
      <x:c r="J134" s="20" t="inlineStr">
        <x:is>
          <x:t xml:space="preserve">N</x:t>
        </x:is>
      </x:c>
      <x:c r="K134" s="25" t="n">
        <x:v>34</x:v>
      </x:c>
      <x:c r="L134" s="25" t="n">
        <x:v>51</x:v>
      </x:c>
      <x:c r="M134" s="25" t="n">
        <x:v>39</x:v>
      </x:c>
      <x:c r="N134" s="25" t="n">
        <x:v>59</x:v>
      </x:c>
      <x:c r="O134" s="25" t="n">
        <x:v>26</x:v>
      </x:c>
      <x:c r="P134" s="25" t="n"/>
      <x:c r="Q134" s="25" t="n"/>
      <x:c r="R134" s="25" t="n"/>
      <x:c r="S134" s="20" t="n">
        <x:v>351</x:v>
      </x:c>
      <x:c r="T134" s="20" t="n">
        <x:v>8</x:v>
      </x:c>
      <x:c r="U134" s="25" t="n">
        <x:v>44</x:v>
      </x:c>
      <x:c r="V134" s="25" t="n">
        <x:v>98</x:v>
      </x:c>
      <x:c r="W134" s="20" t="inlineStr">
        <x:is>
          <x:t xml:space="preserve">C</x:t>
        </x:is>
      </x:c>
      <x:c r="X134" s="20" t="inlineStr">
        <x:is>
          <x:t xml:space="preserve">D</x:t>
        </x:is>
      </x:c>
      <x:c r="Y134" s="25" t="n">
        <x:v>100</x:v>
      </x:c>
      <x:c r="Z134" s="20" t="inlineStr">
        <x:is>
          <x:t xml:space="preserve">https://www.fldoe.org/file/18534/SchoolGrades25.xlsx</x:t>
        </x:is>
      </x:c>
    </x:row>
    <x:row r="135">
      <x:c r="A135" s="20" t="inlineStr">
        <x:is>
          <x:t xml:space="preserve">530131</x:t>
        </x:is>
      </x:c>
      <x:c r="B135" s="20" t="inlineStr">
        <x:is>
          <x:t xml:space="preserve">53</x:t>
        </x:is>
      </x:c>
      <x:c r="C135" s="20" t="inlineStr">
        <x:is>
          <x:t xml:space="preserve">POLK</x:t>
        </x:is>
      </x:c>
      <x:c r="D135" s="20" t="inlineStr">
        <x:is>
          <x:t xml:space="preserve">0131</x:t>
        </x:is>
      </x:c>
      <x:c r="E135" s="20" t="inlineStr">
        <x:is>
          <x:t xml:space="preserve">DIXIELAND ELEMENTARY SCHOOL</x:t>
        </x:is>
      </x:c>
      <x:c r="F135" s="20" t="inlineStr">
        <x:is>
          <x:t xml:space="preserve">01</x:t>
        </x:is>
      </x:c>
      <x:c r="G135" s="20" t="inlineStr">
        <x:is>
          <x:t xml:space="preserve">Elementary</x:t>
        </x:is>
      </x:c>
      <x:c r="H135" s="20" t="inlineStr">
        <x:is>
          <x:t xml:space="preserve">NO</x:t>
        </x:is>
      </x:c>
      <x:c r="I135" s="20" t="inlineStr">
        <x:is>
          <x:t xml:space="preserve">YES</x:t>
        </x:is>
      </x:c>
      <x:c r="J135" s="20" t="inlineStr">
        <x:is>
          <x:t xml:space="preserve">N</x:t>
        </x:is>
      </x:c>
      <x:c r="K135" s="25" t="n">
        <x:v>39</x:v>
      </x:c>
      <x:c r="L135" s="25" t="n">
        <x:v>49</x:v>
      </x:c>
      <x:c r="M135" s="25" t="n">
        <x:v>42</x:v>
      </x:c>
      <x:c r="N135" s="25" t="n">
        <x:v>22</x:v>
      </x:c>
      <x:c r="O135" s="25" t="n">
        <x:v>21</x:v>
      </x:c>
      <x:c r="P135" s="25" t="n"/>
      <x:c r="Q135" s="25" t="n"/>
      <x:c r="R135" s="25" t="n"/>
      <x:c r="S135" s="20" t="n">
        <x:v>293</x:v>
      </x:c>
      <x:c r="T135" s="20" t="n">
        <x:v>8</x:v>
      </x:c>
      <x:c r="U135" s="25" t="n">
        <x:v>37</x:v>
      </x:c>
      <x:c r="V135" s="25" t="n">
        <x:v>100</x:v>
      </x:c>
      <x:c r="W135" s="20" t="inlineStr">
        <x:is>
          <x:t xml:space="preserve">D</x:t>
        </x:is>
      </x:c>
      <x:c r="X135" s="20" t="inlineStr">
        <x:is>
          <x:t xml:space="preserve">C</x:t>
        </x:is>
      </x:c>
      <x:c r="Y135" s="25" t="n">
        <x:v>100</x:v>
      </x:c>
      <x:c r="Z135" s="20" t="inlineStr">
        <x:is>
          <x:t xml:space="preserve">https://www.fldoe.org/file/18534/SchoolGrades25.xlsx</x:t>
        </x:is>
      </x:c>
    </x:row>
    <x:row r="136">
      <x:c r="A136" s="20" t="inlineStr">
        <x:is>
          <x:t xml:space="preserve">530141</x:t>
        </x:is>
      </x:c>
      <x:c r="B136" s="20" t="inlineStr">
        <x:is>
          <x:t xml:space="preserve">53</x:t>
        </x:is>
      </x:c>
      <x:c r="C136" s="20" t="inlineStr">
        <x:is>
          <x:t xml:space="preserve">POLK</x:t>
        </x:is>
      </x:c>
      <x:c r="D136" s="20" t="inlineStr">
        <x:is>
          <x:t xml:space="preserve">0141</x:t>
        </x:is>
      </x:c>
      <x:c r="E136" s="20" t="inlineStr">
        <x:is>
          <x:t xml:space="preserve">SOUTH POINTE ELEMENTARY</x:t>
        </x:is>
      </x:c>
      <x:c r="F136" s="20" t="inlineStr">
        <x:is>
          <x:t xml:space="preserve">01</x:t>
        </x:is>
      </x:c>
      <x:c r="G136" s="20" t="inlineStr">
        <x:is>
          <x:t xml:space="preserve">Elementary</x:t>
        </x:is>
      </x:c>
      <x:c r="H136" s="20" t="inlineStr">
        <x:is>
          <x:t xml:space="preserve">NO</x:t>
        </x:is>
      </x:c>
      <x:c r="I136" s="20" t="inlineStr">
        <x:is>
          <x:t xml:space="preserve">YES</x:t>
        </x:is>
      </x:c>
      <x:c r="J136" s="20" t="inlineStr">
        <x:is>
          <x:t xml:space="preserve">N</x:t>
        </x:is>
      </x:c>
      <x:c r="K136" s="25" t="n">
        <x:v>51</x:v>
      </x:c>
      <x:c r="L136" s="25" t="n">
        <x:v>48</x:v>
      </x:c>
      <x:c r="M136" s="25" t="n">
        <x:v>54</x:v>
      </x:c>
      <x:c r="N136" s="25" t="n">
        <x:v>40</x:v>
      </x:c>
      <x:c r="O136" s="25" t="n">
        <x:v>46</x:v>
      </x:c>
      <x:c r="P136" s="25" t="n"/>
      <x:c r="Q136" s="25" t="n"/>
      <x:c r="R136" s="25" t="n"/>
      <x:c r="S136" s="20" t="n">
        <x:v>405</x:v>
      </x:c>
      <x:c r="T136" s="20" t="n">
        <x:v>8</x:v>
      </x:c>
      <x:c r="U136" s="25" t="n">
        <x:v>51</x:v>
      </x:c>
      <x:c r="V136" s="25" t="n">
        <x:v>100</x:v>
      </x:c>
      <x:c r="W136" s="20" t="inlineStr">
        <x:is>
          <x:t xml:space="preserve">C</x:t>
        </x:is>
      </x:c>
      <x:c r="X136" s="20" t="inlineStr">
        <x:is>
          <x:t xml:space="preserve">C</x:t>
        </x:is>
      </x:c>
      <x:c r="Y136" s="25" t="n">
        <x:v>100</x:v>
      </x:c>
      <x:c r="Z136" s="20" t="inlineStr">
        <x:is>
          <x:t xml:space="preserve">https://www.fldoe.org/file/18534/SchoolGrades25.xlsx</x:t>
        </x:is>
      </x:c>
    </x:row>
    <x:row r="137">
      <x:c r="A137" s="20" t="inlineStr">
        <x:is>
          <x:t xml:space="preserve">530151</x:t>
        </x:is>
      </x:c>
      <x:c r="B137" s="20" t="inlineStr">
        <x:is>
          <x:t xml:space="preserve">53</x:t>
        </x:is>
      </x:c>
      <x:c r="C137" s="20" t="inlineStr">
        <x:is>
          <x:t xml:space="preserve">POLK</x:t>
        </x:is>
      </x:c>
      <x:c r="D137" s="20" t="inlineStr">
        <x:is>
          <x:t xml:space="preserve">0151</x:t>
        </x:is>
      </x:c>
      <x:c r="E137" s="20" t="inlineStr">
        <x:is>
          <x:t xml:space="preserve">PHILIP O'BRIEN ELEMENTARY SCHOOL</x:t>
        </x:is>
      </x:c>
      <x:c r="F137" s="20" t="inlineStr">
        <x:is>
          <x:t xml:space="preserve">01</x:t>
        </x:is>
      </x:c>
      <x:c r="G137" s="20" t="inlineStr">
        <x:is>
          <x:t xml:space="preserve">Elementary</x:t>
        </x:is>
      </x:c>
      <x:c r="H137" s="20" t="inlineStr">
        <x:is>
          <x:t xml:space="preserve">NO</x:t>
        </x:is>
      </x:c>
      <x:c r="I137" s="20" t="inlineStr">
        <x:is>
          <x:t xml:space="preserve">YES</x:t>
        </x:is>
      </x:c>
      <x:c r="J137" s="20" t="inlineStr">
        <x:is>
          <x:t xml:space="preserve">N</x:t>
        </x:is>
      </x:c>
      <x:c r="K137" s="25" t="n">
        <x:v>35</x:v>
      </x:c>
      <x:c r="L137" s="25" t="n">
        <x:v>50</x:v>
      </x:c>
      <x:c r="M137" s="25" t="n">
        <x:v>32</x:v>
      </x:c>
      <x:c r="N137" s="25" t="n">
        <x:v>38</x:v>
      </x:c>
      <x:c r="O137" s="25" t="n">
        <x:v>33</x:v>
      </x:c>
      <x:c r="P137" s="25" t="n"/>
      <x:c r="Q137" s="25" t="n"/>
      <x:c r="R137" s="25" t="n"/>
      <x:c r="S137" s="20" t="n">
        <x:v>325</x:v>
      </x:c>
      <x:c r="T137" s="20" t="n">
        <x:v>8</x:v>
      </x:c>
      <x:c r="U137" s="25" t="n">
        <x:v>41</x:v>
      </x:c>
      <x:c r="V137" s="25" t="n">
        <x:v>99</x:v>
      </x:c>
      <x:c r="W137" s="20" t="inlineStr">
        <x:is>
          <x:t xml:space="preserve">C</x:t>
        </x:is>
      </x:c>
      <x:c r="X137" s="20" t="inlineStr">
        <x:is>
          <x:t xml:space="preserve">C</x:t>
        </x:is>
      </x:c>
      <x:c r="Y137" s="25" t="n">
        <x:v>100</x:v>
      </x:c>
      <x:c r="Z137" s="20" t="inlineStr">
        <x:is>
          <x:t xml:space="preserve">https://www.fldoe.org/file/18534/SchoolGrades25.xlsx</x:t>
        </x:is>
      </x:c>
    </x:row>
    <x:row r="138">
      <x:c r="A138" s="20" t="inlineStr">
        <x:is>
          <x:t xml:space="preserve">530181</x:t>
        </x:is>
      </x:c>
      <x:c r="B138" s="20" t="inlineStr">
        <x:is>
          <x:t xml:space="preserve">53</x:t>
        </x:is>
      </x:c>
      <x:c r="C138" s="20" t="inlineStr">
        <x:is>
          <x:t xml:space="preserve">POLK</x:t>
        </x:is>
      </x:c>
      <x:c r="D138" s="20" t="inlineStr">
        <x:is>
          <x:t xml:space="preserve">0181</x:t>
        </x:is>
      </x:c>
      <x:c r="E138" s="20" t="inlineStr">
        <x:is>
          <x:t xml:space="preserve">MEDULLA ELEMENTARY SCHOOL</x:t>
        </x:is>
      </x:c>
      <x:c r="F138" s="20" t="inlineStr">
        <x:is>
          <x:t xml:space="preserve">01</x:t>
        </x:is>
      </x:c>
      <x:c r="G138" s="20" t="inlineStr">
        <x:is>
          <x:t xml:space="preserve">Elementary</x:t>
        </x:is>
      </x:c>
      <x:c r="H138" s="20" t="inlineStr">
        <x:is>
          <x:t xml:space="preserve">NO</x:t>
        </x:is>
      </x:c>
      <x:c r="I138" s="20" t="inlineStr">
        <x:is>
          <x:t xml:space="preserve">YES</x:t>
        </x:is>
      </x:c>
      <x:c r="J138" s="20" t="inlineStr">
        <x:is>
          <x:t xml:space="preserve">N</x:t>
        </x:is>
      </x:c>
      <x:c r="K138" s="25" t="n">
        <x:v>44</x:v>
      </x:c>
      <x:c r="L138" s="25" t="n">
        <x:v>36</x:v>
      </x:c>
      <x:c r="M138" s="25" t="n">
        <x:v>42</x:v>
      </x:c>
      <x:c r="N138" s="25" t="n">
        <x:v>38</x:v>
      </x:c>
      <x:c r="O138" s="25" t="n">
        <x:v>46</x:v>
      </x:c>
      <x:c r="P138" s="25" t="n"/>
      <x:c r="Q138" s="25" t="n"/>
      <x:c r="R138" s="25" t="n"/>
      <x:c r="S138" s="20" t="n">
        <x:v>338</x:v>
      </x:c>
      <x:c r="T138" s="20" t="n">
        <x:v>8</x:v>
      </x:c>
      <x:c r="U138" s="25" t="n">
        <x:v>42</x:v>
      </x:c>
      <x:c r="V138" s="25" t="n">
        <x:v>100</x:v>
      </x:c>
      <x:c r="W138" s="20" t="inlineStr">
        <x:is>
          <x:t xml:space="preserve">C</x:t>
        </x:is>
      </x:c>
      <x:c r="X138" s="20" t="inlineStr">
        <x:is>
          <x:t xml:space="preserve">B</x:t>
        </x:is>
      </x:c>
      <x:c r="Y138" s="25" t="n">
        <x:v>100</x:v>
      </x:c>
      <x:c r="Z138" s="20" t="inlineStr">
        <x:is>
          <x:t xml:space="preserve">https://www.fldoe.org/file/18534/SchoolGrades25.xlsx</x:t>
        </x:is>
      </x:c>
    </x:row>
    <x:row r="139">
      <x:c r="A139" s="20" t="inlineStr">
        <x:is>
          <x:t xml:space="preserve">530191</x:t>
        </x:is>
      </x:c>
      <x:c r="B139" s="20" t="inlineStr">
        <x:is>
          <x:t xml:space="preserve">53</x:t>
        </x:is>
      </x:c>
      <x:c r="C139" s="20" t="inlineStr">
        <x:is>
          <x:t xml:space="preserve">POLK</x:t>
        </x:is>
      </x:c>
      <x:c r="D139" s="20" t="inlineStr">
        <x:is>
          <x:t xml:space="preserve">0191</x:t>
        </x:is>
      </x:c>
      <x:c r="E139" s="20" t="inlineStr">
        <x:is>
          <x:t xml:space="preserve">R. BRUCE WAGNER ELEMENTARY SCHOOL</x:t>
        </x:is>
      </x:c>
      <x:c r="F139" s="20" t="inlineStr">
        <x:is>
          <x:t xml:space="preserve">01</x:t>
        </x:is>
      </x:c>
      <x:c r="G139" s="20" t="inlineStr">
        <x:is>
          <x:t xml:space="preserve">Elementary</x:t>
        </x:is>
      </x:c>
      <x:c r="H139" s="20" t="inlineStr">
        <x:is>
          <x:t xml:space="preserve">NO</x:t>
        </x:is>
      </x:c>
      <x:c r="I139" s="20" t="inlineStr">
        <x:is>
          <x:t xml:space="preserve">YES</x:t>
        </x:is>
      </x:c>
      <x:c r="J139" s="20" t="inlineStr">
        <x:is>
          <x:t xml:space="preserve">N</x:t>
        </x:is>
      </x:c>
      <x:c r="K139" s="25" t="n">
        <x:v>60</x:v>
      </x:c>
      <x:c r="L139" s="25" t="n">
        <x:v>56</x:v>
      </x:c>
      <x:c r="M139" s="25" t="n">
        <x:v>64</x:v>
      </x:c>
      <x:c r="N139" s="25" t="n">
        <x:v>67</x:v>
      </x:c>
      <x:c r="O139" s="25" t="n">
        <x:v>53</x:v>
      </x:c>
      <x:c r="P139" s="25" t="n"/>
      <x:c r="Q139" s="25" t="n"/>
      <x:c r="R139" s="25" t="n"/>
      <x:c r="S139" s="20" t="n">
        <x:v>466</x:v>
      </x:c>
      <x:c r="T139" s="20" t="n">
        <x:v>8</x:v>
      </x:c>
      <x:c r="U139" s="25" t="n">
        <x:v>58</x:v>
      </x:c>
      <x:c r="V139" s="25" t="n">
        <x:v>100</x:v>
      </x:c>
      <x:c r="W139" s="20" t="inlineStr">
        <x:is>
          <x:t xml:space="preserve">B</x:t>
        </x:is>
      </x:c>
      <x:c r="X139" s="20" t="inlineStr">
        <x:is>
          <x:t xml:space="preserve">B</x:t>
        </x:is>
      </x:c>
      <x:c r="Y139" s="25" t="n">
        <x:v>97.2</x:v>
      </x:c>
      <x:c r="Z139" s="20" t="inlineStr">
        <x:is>
          <x:t xml:space="preserve">https://www.fldoe.org/file/18534/SchoolGrades25.xlsx</x:t>
        </x:is>
      </x:c>
    </x:row>
    <x:row r="140">
      <x:c r="A140" s="20" t="inlineStr">
        <x:is>
          <x:t xml:space="preserve">530201</x:t>
        </x:is>
      </x:c>
      <x:c r="B140" s="20" t="inlineStr">
        <x:is>
          <x:t xml:space="preserve">53</x:t>
        </x:is>
      </x:c>
      <x:c r="C140" s="20" t="inlineStr">
        <x:is>
          <x:t xml:space="preserve">POLK</x:t>
        </x:is>
      </x:c>
      <x:c r="D140" s="20" t="inlineStr">
        <x:is>
          <x:t xml:space="preserve">0201</x:t>
        </x:is>
      </x:c>
      <x:c r="E140" s="20" t="inlineStr">
        <x:is>
          <x:t xml:space="preserve">NORTH LAKELAND ELEMENTARY SCHOOL OF CHOICE</x:t>
        </x:is>
      </x:c>
      <x:c r="F140" s="20" t="inlineStr">
        <x:is>
          <x:t xml:space="preserve">01</x:t>
        </x:is>
      </x:c>
      <x:c r="G140" s="20" t="inlineStr">
        <x:is>
          <x:t xml:space="preserve">Elementary</x:t>
        </x:is>
      </x:c>
      <x:c r="H140" s="20" t="inlineStr">
        <x:is>
          <x:t xml:space="preserve">NO</x:t>
        </x:is>
      </x:c>
      <x:c r="I140" s="20" t="inlineStr">
        <x:is>
          <x:t xml:space="preserve">YES</x:t>
        </x:is>
      </x:c>
      <x:c r="J140" s="20" t="inlineStr">
        <x:is>
          <x:t xml:space="preserve">N</x:t>
        </x:is>
      </x:c>
      <x:c r="K140" s="25" t="n">
        <x:v>28</x:v>
      </x:c>
      <x:c r="L140" s="25" t="n">
        <x:v>39</x:v>
      </x:c>
      <x:c r="M140" s="25" t="n">
        <x:v>32</x:v>
      </x:c>
      <x:c r="N140" s="25" t="n">
        <x:v>35</x:v>
      </x:c>
      <x:c r="O140" s="25" t="n">
        <x:v>28</x:v>
      </x:c>
      <x:c r="P140" s="25" t="n"/>
      <x:c r="Q140" s="25" t="n"/>
      <x:c r="R140" s="25" t="n"/>
      <x:c r="S140" s="20" t="n">
        <x:v>270</x:v>
      </x:c>
      <x:c r="T140" s="20" t="n">
        <x:v>8</x:v>
      </x:c>
      <x:c r="U140" s="25" t="n">
        <x:v>34</x:v>
      </x:c>
      <x:c r="V140" s="25" t="n">
        <x:v>100</x:v>
      </x:c>
      <x:c r="W140" s="20" t="inlineStr">
        <x:is>
          <x:t xml:space="preserve">D</x:t>
        </x:is>
      </x:c>
      <x:c r="X140" s="20" t="inlineStr">
        <x:is>
          <x:t xml:space="preserve">D</x:t>
        </x:is>
      </x:c>
      <x:c r="Y140" s="25" t="n">
        <x:v>100</x:v>
      </x:c>
      <x:c r="Z140" s="20" t="inlineStr">
        <x:is>
          <x:t xml:space="preserve">https://www.fldoe.org/file/18534/SchoolGrades25.xlsx</x:t>
        </x:is>
      </x:c>
    </x:row>
    <x:row r="141">
      <x:c r="A141" s="20" t="inlineStr">
        <x:is>
          <x:t xml:space="preserve">530231</x:t>
        </x:is>
      </x:c>
      <x:c r="B141" s="20" t="inlineStr">
        <x:is>
          <x:t xml:space="preserve">53</x:t>
        </x:is>
      </x:c>
      <x:c r="C141" s="20" t="inlineStr">
        <x:is>
          <x:t xml:space="preserve">POLK</x:t>
        </x:is>
      </x:c>
      <x:c r="D141" s="20" t="inlineStr">
        <x:is>
          <x:t xml:space="preserve">0231</x:t>
        </x:is>
      </x:c>
      <x:c r="E141" s="20" t="inlineStr">
        <x:is>
          <x:t xml:space="preserve">SOUTHWEST ELEMENTARY SCHOOL</x:t>
        </x:is>
      </x:c>
      <x:c r="F141" s="20" t="inlineStr">
        <x:is>
          <x:t xml:space="preserve">01</x:t>
        </x:is>
      </x:c>
      <x:c r="G141" s="20" t="inlineStr">
        <x:is>
          <x:t xml:space="preserve">Elementary</x:t>
        </x:is>
      </x:c>
      <x:c r="H141" s="20" t="inlineStr">
        <x:is>
          <x:t xml:space="preserve">NO</x:t>
        </x:is>
      </x:c>
      <x:c r="I141" s="20" t="inlineStr">
        <x:is>
          <x:t xml:space="preserve">YES</x:t>
        </x:is>
      </x:c>
      <x:c r="J141" s="20" t="inlineStr">
        <x:is>
          <x:t xml:space="preserve">N</x:t>
        </x:is>
      </x:c>
      <x:c r="K141" s="25" t="n">
        <x:v>55</x:v>
      </x:c>
      <x:c r="L141" s="25" t="n">
        <x:v>53</x:v>
      </x:c>
      <x:c r="M141" s="25" t="n">
        <x:v>55</x:v>
      </x:c>
      <x:c r="N141" s="25" t="n">
        <x:v>59</x:v>
      </x:c>
      <x:c r="O141" s="25" t="n">
        <x:v>70</x:v>
      </x:c>
      <x:c r="P141" s="25" t="n"/>
      <x:c r="Q141" s="25" t="n"/>
      <x:c r="R141" s="25" t="n"/>
      <x:c r="S141" s="20" t="n">
        <x:v>432</x:v>
      </x:c>
      <x:c r="T141" s="20" t="n">
        <x:v>8</x:v>
      </x:c>
      <x:c r="U141" s="25" t="n">
        <x:v>54</x:v>
      </x:c>
      <x:c r="V141" s="25" t="n">
        <x:v>100</x:v>
      </x:c>
      <x:c r="W141" s="20" t="inlineStr">
        <x:is>
          <x:t xml:space="preserve">B</x:t>
        </x:is>
      </x:c>
      <x:c r="X141" s="20" t="inlineStr">
        <x:is>
          <x:t xml:space="preserve">B</x:t>
        </x:is>
      </x:c>
      <x:c r="Y141" s="25" t="n">
        <x:v>100</x:v>
      </x:c>
      <x:c r="Z141" s="20" t="inlineStr">
        <x:is>
          <x:t xml:space="preserve">https://www.fldoe.org/file/18534/SchoolGrades25.xlsx</x:t>
        </x:is>
      </x:c>
    </x:row>
    <x:row r="142">
      <x:c r="A142" s="20" t="inlineStr">
        <x:is>
          <x:t xml:space="preserve">530251</x:t>
        </x:is>
      </x:c>
      <x:c r="B142" s="20" t="inlineStr">
        <x:is>
          <x:t xml:space="preserve">53</x:t>
        </x:is>
      </x:c>
      <x:c r="C142" s="20" t="inlineStr">
        <x:is>
          <x:t xml:space="preserve">POLK</x:t>
        </x:is>
      </x:c>
      <x:c r="D142" s="20" t="inlineStr">
        <x:is>
          <x:t xml:space="preserve">0251</x:t>
        </x:is>
      </x:c>
      <x:c r="E142" s="20" t="inlineStr">
        <x:is>
          <x:t xml:space="preserve">LINCOLN AVENUE ACADEMY</x:t>
        </x:is>
      </x:c>
      <x:c r="F142" s="20" t="inlineStr">
        <x:is>
          <x:t xml:space="preserve">01</x:t>
        </x:is>
      </x:c>
      <x:c r="G142" s="20" t="inlineStr">
        <x:is>
          <x:t xml:space="preserve">Elementary</x:t>
        </x:is>
      </x:c>
      <x:c r="H142" s="20" t="inlineStr">
        <x:is>
          <x:t xml:space="preserve">NO</x:t>
        </x:is>
      </x:c>
      <x:c r="I142" s="20" t="inlineStr">
        <x:is>
          <x:t xml:space="preserve">NO</x:t>
        </x:is>
      </x:c>
      <x:c r="J142" s="20" t="inlineStr">
        <x:is>
          <x:t xml:space="preserve">N</x:t>
        </x:is>
      </x:c>
      <x:c r="K142" s="25" t="n">
        <x:v>83</x:v>
      </x:c>
      <x:c r="L142" s="25" t="n">
        <x:v>67</x:v>
      </x:c>
      <x:c r="M142" s="25" t="n">
        <x:v>85</x:v>
      </x:c>
      <x:c r="N142" s="25" t="n">
        <x:v>75</x:v>
      </x:c>
      <x:c r="O142" s="25" t="n">
        <x:v>80</x:v>
      </x:c>
      <x:c r="P142" s="25" t="n"/>
      <x:c r="Q142" s="25" t="n"/>
      <x:c r="R142" s="25" t="n"/>
      <x:c r="S142" s="20" t="n">
        <x:v>594</x:v>
      </x:c>
      <x:c r="T142" s="20" t="n">
        <x:v>8</x:v>
      </x:c>
      <x:c r="U142" s="25" t="n">
        <x:v>74</x:v>
      </x:c>
      <x:c r="V142" s="25" t="n">
        <x:v>100</x:v>
      </x:c>
      <x:c r="W142" s="20" t="inlineStr">
        <x:is>
          <x:t xml:space="preserve">A</x:t>
        </x:is>
      </x:c>
      <x:c r="X142" s="20" t="inlineStr">
        <x:is>
          <x:t xml:space="preserve">A</x:t>
        </x:is>
      </x:c>
      <x:c r="Y142" s="25" t="n">
        <x:v>55.5</x:v>
      </x:c>
      <x:c r="Z142" s="20" t="inlineStr">
        <x:is>
          <x:t xml:space="preserve">https://www.fldoe.org/file/18534/SchoolGrades25.xlsx</x:t>
        </x:is>
      </x:c>
    </x:row>
    <x:row r="143">
      <x:c r="A143" s="20" t="inlineStr">
        <x:is>
          <x:t xml:space="preserve">530261</x:t>
        </x:is>
      </x:c>
      <x:c r="B143" s="20" t="inlineStr">
        <x:is>
          <x:t xml:space="preserve">53</x:t>
        </x:is>
      </x:c>
      <x:c r="C143" s="20" t="inlineStr">
        <x:is>
          <x:t xml:space="preserve">POLK</x:t>
        </x:is>
      </x:c>
      <x:c r="D143" s="20" t="inlineStr">
        <x:is>
          <x:t xml:space="preserve">0261</x:t>
        </x:is>
      </x:c>
      <x:c r="E143" s="20" t="inlineStr">
        <x:is>
          <x:t xml:space="preserve">ROCHELLE SCHOOL OF THE ARTS</x:t>
        </x:is>
      </x:c>
      <x:c r="F143" s="20" t="inlineStr">
        <x:is>
          <x:t xml:space="preserve">04</x:t>
        </x:is>
      </x:c>
      <x:c r="G143" s="20" t="inlineStr">
        <x:is>
          <x:t xml:space="preserve">Combination</x:t>
        </x:is>
      </x:c>
      <x:c r="H143" s="20" t="inlineStr">
        <x:is>
          <x:t xml:space="preserve">NO</x:t>
        </x:is>
      </x:c>
      <x:c r="I143" s="20" t="inlineStr">
        <x:is>
          <x:t xml:space="preserve">YES</x:t>
        </x:is>
      </x:c>
      <x:c r="J143" s="20" t="inlineStr">
        <x:is>
          <x:t xml:space="preserve">N</x:t>
        </x:is>
      </x:c>
      <x:c r="K143" s="25" t="n">
        <x:v>64</x:v>
      </x:c>
      <x:c r="L143" s="25" t="n">
        <x:v>58</x:v>
      </x:c>
      <x:c r="M143" s="25" t="n">
        <x:v>63</x:v>
      </x:c>
      <x:c r="N143" s="25" t="n">
        <x:v>64</x:v>
      </x:c>
      <x:c r="O143" s="25" t="n">
        <x:v>60</x:v>
      </x:c>
      <x:c r="P143" s="25" t="n">
        <x:v>95</x:v>
      </x:c>
      <x:c r="Q143" s="25" t="n"/>
      <x:c r="R143" s="25" t="n"/>
      <x:c r="S143" s="20" t="n">
        <x:v>656</x:v>
      </x:c>
      <x:c r="T143" s="20" t="n">
        <x:v>10</x:v>
      </x:c>
      <x:c r="U143" s="25" t="n">
        <x:v>66</x:v>
      </x:c>
      <x:c r="V143" s="25" t="n">
        <x:v>99</x:v>
      </x:c>
      <x:c r="W143" s="20" t="inlineStr">
        <x:is>
          <x:t xml:space="preserve">A</x:t>
        </x:is>
      </x:c>
      <x:c r="X143" s="20" t="inlineStr">
        <x:is>
          <x:t xml:space="preserve">A</x:t>
        </x:is>
      </x:c>
      <x:c r="Y143" s="25" t="n">
        <x:v>76.5</x:v>
      </x:c>
      <x:c r="Z143" s="20" t="inlineStr">
        <x:is>
          <x:t xml:space="preserve">https://www.fldoe.org/file/18534/SchoolGrades25.xlsx</x:t>
        </x:is>
      </x:c>
    </x:row>
    <x:row r="144">
      <x:c r="A144" s="20" t="inlineStr">
        <x:is>
          <x:t xml:space="preserve">530311</x:t>
        </x:is>
      </x:c>
      <x:c r="B144" s="20" t="inlineStr">
        <x:is>
          <x:t xml:space="preserve">53</x:t>
        </x:is>
      </x:c>
      <x:c r="C144" s="20" t="inlineStr">
        <x:is>
          <x:t xml:space="preserve">POLK</x:t>
        </x:is>
      </x:c>
      <x:c r="D144" s="20" t="inlineStr">
        <x:is>
          <x:t xml:space="preserve">0311</x:t>
        </x:is>
      </x:c>
      <x:c r="E144" s="20" t="inlineStr">
        <x:is>
          <x:t xml:space="preserve">DANIEL JENKINS ACADEMY OF TECHNOLOGY MIDDLE SCHOOL</x:t>
        </x:is>
      </x:c>
      <x:c r="F144" s="20" t="inlineStr">
        <x:is>
          <x:t xml:space="preserve">02</x:t>
        </x:is>
      </x:c>
      <x:c r="G144" s="20" t="inlineStr">
        <x:is>
          <x:t xml:space="preserve">Middle/Junior</x:t>
        </x:is>
      </x:c>
      <x:c r="H144" s="20" t="inlineStr">
        <x:is>
          <x:t xml:space="preserve">NO</x:t>
        </x:is>
      </x:c>
      <x:c r="I144" s="20" t="inlineStr">
        <x:is>
          <x:t xml:space="preserve">YES</x:t>
        </x:is>
      </x:c>
      <x:c r="J144" s="20" t="inlineStr">
        <x:is>
          <x:t xml:space="preserve">N</x:t>
        </x:is>
      </x:c>
      <x:c r="K144" s="25" t="n">
        <x:v>57</x:v>
      </x:c>
      <x:c r="L144" s="25" t="n">
        <x:v>56</x:v>
      </x:c>
      <x:c r="M144" s="25" t="n">
        <x:v>60</x:v>
      </x:c>
      <x:c r="N144" s="25" t="n">
        <x:v>57</x:v>
      </x:c>
      <x:c r="O144" s="25" t="n">
        <x:v>61</x:v>
      </x:c>
      <x:c r="P144" s="25" t="n">
        <x:v>84</x:v>
      </x:c>
      <x:c r="Q144" s="25" t="n"/>
      <x:c r="R144" s="25" t="n"/>
      <x:c r="S144" s="20" t="n">
        <x:v>564</x:v>
      </x:c>
      <x:c r="T144" s="20" t="n">
        <x:v>9</x:v>
      </x:c>
      <x:c r="U144" s="25" t="n">
        <x:v>63</x:v>
      </x:c>
      <x:c r="V144" s="25" t="n">
        <x:v>100</x:v>
      </x:c>
      <x:c r="W144" s="20" t="inlineStr">
        <x:is>
          <x:t xml:space="preserve">B</x:t>
        </x:is>
      </x:c>
      <x:c r="X144" s="20" t="inlineStr">
        <x:is>
          <x:t xml:space="preserve">B</x:t>
        </x:is>
      </x:c>
      <x:c r="Y144" s="25" t="n">
        <x:v>100</x:v>
      </x:c>
      <x:c r="Z144" s="20" t="inlineStr">
        <x:is>
          <x:t xml:space="preserve">https://www.fldoe.org/file/18534/SchoolGrades25.xlsx</x:t>
        </x:is>
      </x:c>
    </x:row>
    <x:row r="145">
      <x:c r="A145" s="20" t="inlineStr">
        <x:is>
          <x:t xml:space="preserve">530321</x:t>
        </x:is>
      </x:c>
      <x:c r="B145" s="20" t="inlineStr">
        <x:is>
          <x:t xml:space="preserve">53</x:t>
        </x:is>
      </x:c>
      <x:c r="C145" s="20" t="inlineStr">
        <x:is>
          <x:t xml:space="preserve">POLK</x:t>
        </x:is>
      </x:c>
      <x:c r="D145" s="20" t="inlineStr">
        <x:is>
          <x:t xml:space="preserve">0321</x:t>
        </x:is>
      </x:c>
      <x:c r="E145" s="20" t="inlineStr">
        <x:is>
          <x:t xml:space="preserve">SHELLEY S. BOONE MIDDLE SCHOOL</x:t>
        </x:is>
      </x:c>
      <x:c r="F145" s="20" t="inlineStr">
        <x:is>
          <x:t xml:space="preserve">02</x:t>
        </x:is>
      </x:c>
      <x:c r="G145" s="20" t="inlineStr">
        <x:is>
          <x:t xml:space="preserve">Middle/Junior</x:t>
        </x:is>
      </x:c>
      <x:c r="H145" s="20" t="inlineStr">
        <x:is>
          <x:t xml:space="preserve">NO</x:t>
        </x:is>
      </x:c>
      <x:c r="I145" s="20" t="inlineStr">
        <x:is>
          <x:t xml:space="preserve">YES</x:t>
        </x:is>
      </x:c>
      <x:c r="J145" s="20" t="inlineStr">
        <x:is>
          <x:t xml:space="preserve">N</x:t>
        </x:is>
      </x:c>
      <x:c r="K145" s="25" t="n">
        <x:v>33</x:v>
      </x:c>
      <x:c r="L145" s="25" t="n">
        <x:v>50</x:v>
      </x:c>
      <x:c r="M145" s="25" t="n">
        <x:v>38</x:v>
      </x:c>
      <x:c r="N145" s="25" t="n">
        <x:v>57</x:v>
      </x:c>
      <x:c r="O145" s="25" t="n">
        <x:v>28</x:v>
      </x:c>
      <x:c r="P145" s="25" t="n">
        <x:v>59</x:v>
      </x:c>
      <x:c r="Q145" s="25" t="n"/>
      <x:c r="R145" s="25" t="n"/>
      <x:c r="S145" s="20" t="n">
        <x:v>467</x:v>
      </x:c>
      <x:c r="T145" s="20" t="n">
        <x:v>9</x:v>
      </x:c>
      <x:c r="U145" s="25" t="n">
        <x:v>52</x:v>
      </x:c>
      <x:c r="V145" s="25" t="n">
        <x:v>99</x:v>
      </x:c>
      <x:c r="W145" s="20" t="inlineStr">
        <x:is>
          <x:t xml:space="preserve">C</x:t>
        </x:is>
      </x:c>
      <x:c r="X145" s="20" t="inlineStr">
        <x:is>
          <x:t xml:space="preserve">C</x:t>
        </x:is>
      </x:c>
      <x:c r="Y145" s="25" t="n">
        <x:v>96.3</x:v>
      </x:c>
      <x:c r="Z145" s="20" t="inlineStr">
        <x:is>
          <x:t xml:space="preserve">https://www.fldoe.org/file/18534/SchoolGrades25.xlsx</x:t>
        </x:is>
      </x:c>
    </x:row>
    <x:row r="146">
      <x:c r="A146" s="20" t="inlineStr">
        <x:is>
          <x:t xml:space="preserve">530331</x:t>
        </x:is>
      </x:c>
      <x:c r="B146" s="20" t="inlineStr">
        <x:is>
          <x:t xml:space="preserve">53</x:t>
        </x:is>
      </x:c>
      <x:c r="C146" s="20" t="inlineStr">
        <x:is>
          <x:t xml:space="preserve">POLK</x:t>
        </x:is>
      </x:c>
      <x:c r="D146" s="20" t="inlineStr">
        <x:is>
          <x:t xml:space="preserve">0331</x:t>
        </x:is>
      </x:c>
      <x:c r="E146" s="20" t="inlineStr">
        <x:is>
          <x:t xml:space="preserve">ALTA VISTA ELEMENTARY SCHOOL</x:t>
        </x:is>
      </x:c>
      <x:c r="F146" s="20" t="inlineStr">
        <x:is>
          <x:t xml:space="preserve">01</x:t>
        </x:is>
      </x:c>
      <x:c r="G146" s="20" t="inlineStr">
        <x:is>
          <x:t xml:space="preserve">Elementary</x:t>
        </x:is>
      </x:c>
      <x:c r="H146" s="20" t="inlineStr">
        <x:is>
          <x:t xml:space="preserve">NO</x:t>
        </x:is>
      </x:c>
      <x:c r="I146" s="20" t="inlineStr">
        <x:is>
          <x:t xml:space="preserve">YES</x:t>
        </x:is>
      </x:c>
      <x:c r="J146" s="20" t="inlineStr">
        <x:is>
          <x:t xml:space="preserve">N</x:t>
        </x:is>
      </x:c>
      <x:c r="K146" s="25" t="n">
        <x:v>36</x:v>
      </x:c>
      <x:c r="L146" s="25" t="n">
        <x:v>50</x:v>
      </x:c>
      <x:c r="M146" s="25" t="n">
        <x:v>39</x:v>
      </x:c>
      <x:c r="N146" s="25" t="n">
        <x:v>42</x:v>
      </x:c>
      <x:c r="O146" s="25" t="n">
        <x:v>34</x:v>
      </x:c>
      <x:c r="P146" s="25" t="n"/>
      <x:c r="Q146" s="25" t="n"/>
      <x:c r="R146" s="25" t="n"/>
      <x:c r="S146" s="20" t="n">
        <x:v>328</x:v>
      </x:c>
      <x:c r="T146" s="20" t="n">
        <x:v>8</x:v>
      </x:c>
      <x:c r="U146" s="25" t="n">
        <x:v>41</x:v>
      </x:c>
      <x:c r="V146" s="25" t="n">
        <x:v>98</x:v>
      </x:c>
      <x:c r="W146" s="20" t="inlineStr">
        <x:is>
          <x:t xml:space="preserve">C</x:t>
        </x:is>
      </x:c>
      <x:c r="X146" s="20" t="inlineStr">
        <x:is>
          <x:t xml:space="preserve">C</x:t>
        </x:is>
      </x:c>
      <x:c r="Y146" s="25" t="n">
        <x:v>100</x:v>
      </x:c>
      <x:c r="Z146" s="20" t="inlineStr">
        <x:is>
          <x:t xml:space="preserve">https://www.fldoe.org/file/18534/SchoolGrades25.xlsx</x:t>
        </x:is>
      </x:c>
    </x:row>
    <x:row r="147">
      <x:c r="A147" s="20" t="inlineStr">
        <x:is>
          <x:t xml:space="preserve">530341</x:t>
        </x:is>
      </x:c>
      <x:c r="B147" s="20" t="inlineStr">
        <x:is>
          <x:t xml:space="preserve">53</x:t>
        </x:is>
      </x:c>
      <x:c r="C147" s="20" t="inlineStr">
        <x:is>
          <x:t xml:space="preserve">POLK</x:t>
        </x:is>
      </x:c>
      <x:c r="D147" s="20" t="inlineStr">
        <x:is>
          <x:t xml:space="preserve">0341</x:t>
        </x:is>
      </x:c>
      <x:c r="E147" s="20" t="inlineStr">
        <x:is>
          <x:t xml:space="preserve">SANDHILL ELEMENTARY SCHOOL</x:t>
        </x:is>
      </x:c>
      <x:c r="F147" s="20" t="inlineStr">
        <x:is>
          <x:t xml:space="preserve">01</x:t>
        </x:is>
      </x:c>
      <x:c r="G147" s="20" t="inlineStr">
        <x:is>
          <x:t xml:space="preserve">Elementary</x:t>
        </x:is>
      </x:c>
      <x:c r="H147" s="20" t="inlineStr">
        <x:is>
          <x:t xml:space="preserve">NO</x:t>
        </x:is>
      </x:c>
      <x:c r="I147" s="20" t="inlineStr">
        <x:is>
          <x:t xml:space="preserve">YES</x:t>
        </x:is>
      </x:c>
      <x:c r="J147" s="20" t="inlineStr">
        <x:is>
          <x:t xml:space="preserve">N</x:t>
        </x:is>
      </x:c>
      <x:c r="K147" s="25" t="n">
        <x:v>43</x:v>
      </x:c>
      <x:c r="L147" s="25" t="n">
        <x:v>52</x:v>
      </x:c>
      <x:c r="M147" s="25" t="n">
        <x:v>35</x:v>
      </x:c>
      <x:c r="N147" s="25" t="n">
        <x:v>34</x:v>
      </x:c>
      <x:c r="O147" s="25" t="n">
        <x:v>29</x:v>
      </x:c>
      <x:c r="P147" s="25" t="n"/>
      <x:c r="Q147" s="25" t="n"/>
      <x:c r="R147" s="25" t="n"/>
      <x:c r="S147" s="20" t="n">
        <x:v>330</x:v>
      </x:c>
      <x:c r="T147" s="20" t="n">
        <x:v>8</x:v>
      </x:c>
      <x:c r="U147" s="25" t="n">
        <x:v>41</x:v>
      </x:c>
      <x:c r="V147" s="25" t="n">
        <x:v>96</x:v>
      </x:c>
      <x:c r="W147" s="20" t="inlineStr">
        <x:is>
          <x:t xml:space="preserve">C</x:t>
        </x:is>
      </x:c>
      <x:c r="X147" s="20" t="inlineStr">
        <x:is>
          <x:t xml:space="preserve">C</x:t>
        </x:is>
      </x:c>
      <x:c r="Y147" s="25" t="n">
        <x:v>100</x:v>
      </x:c>
      <x:c r="Z147" s="20" t="inlineStr">
        <x:is>
          <x:t xml:space="preserve">https://www.fldoe.org/file/18534/SchoolGrades25.xlsx</x:t>
        </x:is>
      </x:c>
    </x:row>
    <x:row r="148">
      <x:c r="A148" s="20" t="inlineStr">
        <x:is>
          <x:t xml:space="preserve">530361</x:t>
        </x:is>
      </x:c>
      <x:c r="B148" s="20" t="inlineStr">
        <x:is>
          <x:t xml:space="preserve">53</x:t>
        </x:is>
      </x:c>
      <x:c r="C148" s="20" t="inlineStr">
        <x:is>
          <x:t xml:space="preserve">POLK</x:t>
        </x:is>
      </x:c>
      <x:c r="D148" s="20" t="inlineStr">
        <x:is>
          <x:t xml:space="preserve">0361</x:t>
        </x:is>
      </x:c>
      <x:c r="E148" s="20" t="inlineStr">
        <x:is>
          <x:t xml:space="preserve">EASTSIDE ELEMENTARY SCHOOL</x:t>
        </x:is>
      </x:c>
      <x:c r="F148" s="20" t="inlineStr">
        <x:is>
          <x:t xml:space="preserve">01</x:t>
        </x:is>
      </x:c>
      <x:c r="G148" s="20" t="inlineStr">
        <x:is>
          <x:t xml:space="preserve">Elementary</x:t>
        </x:is>
      </x:c>
      <x:c r="H148" s="20" t="inlineStr">
        <x:is>
          <x:t xml:space="preserve">NO</x:t>
        </x:is>
      </x:c>
      <x:c r="I148" s="20" t="inlineStr">
        <x:is>
          <x:t xml:space="preserve">YES</x:t>
        </x:is>
      </x:c>
      <x:c r="J148" s="20" t="inlineStr">
        <x:is>
          <x:t xml:space="preserve">N</x:t>
        </x:is>
      </x:c>
      <x:c r="K148" s="25" t="n">
        <x:v>32</x:v>
      </x:c>
      <x:c r="L148" s="25" t="n">
        <x:v>45</x:v>
      </x:c>
      <x:c r="M148" s="25" t="n">
        <x:v>46</x:v>
      </x:c>
      <x:c r="N148" s="25" t="n">
        <x:v>60</x:v>
      </x:c>
      <x:c r="O148" s="25" t="n">
        <x:v>35</x:v>
      </x:c>
      <x:c r="P148" s="25" t="n"/>
      <x:c r="Q148" s="25" t="n"/>
      <x:c r="R148" s="25" t="n"/>
      <x:c r="S148" s="20" t="n">
        <x:v>374</x:v>
      </x:c>
      <x:c r="T148" s="20" t="n">
        <x:v>8</x:v>
      </x:c>
      <x:c r="U148" s="25" t="n">
        <x:v>47</x:v>
      </x:c>
      <x:c r="V148" s="25" t="n">
        <x:v>99</x:v>
      </x:c>
      <x:c r="W148" s="20" t="inlineStr">
        <x:is>
          <x:t xml:space="preserve">C</x:t>
        </x:is>
      </x:c>
      <x:c r="X148" s="20" t="inlineStr">
        <x:is>
          <x:t xml:space="preserve">B</x:t>
        </x:is>
      </x:c>
      <x:c r="Y148" s="25" t="n">
        <x:v>100</x:v>
      </x:c>
      <x:c r="Z148" s="20" t="inlineStr">
        <x:is>
          <x:t xml:space="preserve">https://www.fldoe.org/file/18534/SchoolGrades25.xlsx</x:t>
        </x:is>
      </x:c>
    </x:row>
    <x:row r="149">
      <x:c r="A149" s="20" t="inlineStr">
        <x:is>
          <x:t xml:space="preserve">530391</x:t>
        </x:is>
      </x:c>
      <x:c r="B149" s="20" t="inlineStr">
        <x:is>
          <x:t xml:space="preserve">53</x:t>
        </x:is>
      </x:c>
      <x:c r="C149" s="20" t="inlineStr">
        <x:is>
          <x:t xml:space="preserve">POLK</x:t>
        </x:is>
      </x:c>
      <x:c r="D149" s="20" t="inlineStr">
        <x:is>
          <x:t xml:space="preserve">0391</x:t>
        </x:is>
      </x:c>
      <x:c r="E149" s="20" t="inlineStr">
        <x:is>
          <x:t xml:space="preserve">BETHUNE ACADEMY</x:t>
        </x:is>
      </x:c>
      <x:c r="F149" s="20" t="inlineStr">
        <x:is>
          <x:t xml:space="preserve">01</x:t>
        </x:is>
      </x:c>
      <x:c r="G149" s="20" t="inlineStr">
        <x:is>
          <x:t xml:space="preserve">Elementary</x:t>
        </x:is>
      </x:c>
      <x:c r="H149" s="20" t="inlineStr">
        <x:is>
          <x:t xml:space="preserve">NO</x:t>
        </x:is>
      </x:c>
      <x:c r="I149" s="20" t="inlineStr">
        <x:is>
          <x:t xml:space="preserve">YES</x:t>
        </x:is>
      </x:c>
      <x:c r="J149" s="20" t="inlineStr">
        <x:is>
          <x:t xml:space="preserve">N</x:t>
        </x:is>
      </x:c>
      <x:c r="K149" s="25" t="n">
        <x:v>57</x:v>
      </x:c>
      <x:c r="L149" s="25" t="n">
        <x:v>53</x:v>
      </x:c>
      <x:c r="M149" s="25" t="n">
        <x:v>62</x:v>
      </x:c>
      <x:c r="N149" s="25" t="n">
        <x:v>62</x:v>
      </x:c>
      <x:c r="O149" s="25" t="n">
        <x:v>38</x:v>
      </x:c>
      <x:c r="P149" s="25" t="n"/>
      <x:c r="Q149" s="25" t="n"/>
      <x:c r="R149" s="25" t="n"/>
      <x:c r="S149" s="20" t="n">
        <x:v>436</x:v>
      </x:c>
      <x:c r="T149" s="20" t="n">
        <x:v>8</x:v>
      </x:c>
      <x:c r="U149" s="25" t="n">
        <x:v>55</x:v>
      </x:c>
      <x:c r="V149" s="25" t="n">
        <x:v>100</x:v>
      </x:c>
      <x:c r="W149" s="20" t="inlineStr">
        <x:is>
          <x:t xml:space="preserve">B</x:t>
        </x:is>
      </x:c>
      <x:c r="X149" s="20" t="inlineStr">
        <x:is>
          <x:t xml:space="preserve">C</x:t>
        </x:is>
      </x:c>
      <x:c r="Y149" s="25" t="n">
        <x:v>100</x:v>
      </x:c>
      <x:c r="Z149" s="20" t="inlineStr">
        <x:is>
          <x:t xml:space="preserve">https://www.fldoe.org/file/18534/SchoolGrades25.xlsx</x:t>
        </x:is>
      </x:c>
    </x:row>
    <x:row r="150">
      <x:c r="A150" s="20" t="inlineStr">
        <x:is>
          <x:t xml:space="preserve">530401</x:t>
        </x:is>
      </x:c>
      <x:c r="B150" s="20" t="inlineStr">
        <x:is>
          <x:t xml:space="preserve">53</x:t>
        </x:is>
      </x:c>
      <x:c r="C150" s="20" t="inlineStr">
        <x:is>
          <x:t xml:space="preserve">POLK</x:t>
        </x:is>
      </x:c>
      <x:c r="D150" s="20" t="inlineStr">
        <x:is>
          <x:t xml:space="preserve">0401</x:t>
        </x:is>
      </x:c>
      <x:c r="E150" s="20" t="inlineStr">
        <x:is>
          <x:t xml:space="preserve">DAVENPORT SCHOOL OF THE ARTS</x:t>
        </x:is>
      </x:c>
      <x:c r="F150" s="20" t="inlineStr">
        <x:is>
          <x:t xml:space="preserve">04</x:t>
        </x:is>
      </x:c>
      <x:c r="G150" s="20" t="inlineStr">
        <x:is>
          <x:t xml:space="preserve">Combination</x:t>
        </x:is>
      </x:c>
      <x:c r="H150" s="20" t="inlineStr">
        <x:is>
          <x:t xml:space="preserve">NO</x:t>
        </x:is>
      </x:c>
      <x:c r="I150" s="20" t="inlineStr">
        <x:is>
          <x:t xml:space="preserve">YES</x:t>
        </x:is>
      </x:c>
      <x:c r="J150" s="20" t="inlineStr">
        <x:is>
          <x:t xml:space="preserve">N</x:t>
        </x:is>
      </x:c>
      <x:c r="K150" s="25" t="n">
        <x:v>71</x:v>
      </x:c>
      <x:c r="L150" s="25" t="n">
        <x:v>62</x:v>
      </x:c>
      <x:c r="M150" s="25" t="n">
        <x:v>75</x:v>
      </x:c>
      <x:c r="N150" s="25" t="n">
        <x:v>62</x:v>
      </x:c>
      <x:c r="O150" s="25" t="n">
        <x:v>68</x:v>
      </x:c>
      <x:c r="P150" s="25" t="n">
        <x:v>96</x:v>
      </x:c>
      <x:c r="Q150" s="25" t="n"/>
      <x:c r="R150" s="25" t="n"/>
      <x:c r="S150" s="20" t="n">
        <x:v>722</x:v>
      </x:c>
      <x:c r="T150" s="20" t="n">
        <x:v>10</x:v>
      </x:c>
      <x:c r="U150" s="25" t="n">
        <x:v>72</x:v>
      </x:c>
      <x:c r="V150" s="25" t="n">
        <x:v>100</x:v>
      </x:c>
      <x:c r="W150" s="20" t="inlineStr">
        <x:is>
          <x:t xml:space="preserve">A</x:t>
        </x:is>
      </x:c>
      <x:c r="X150" s="20" t="inlineStr">
        <x:is>
          <x:t xml:space="preserve">A</x:t>
        </x:is>
      </x:c>
      <x:c r="Y150" s="25" t="n">
        <x:v>63.5</x:v>
      </x:c>
      <x:c r="Z150" s="20" t="inlineStr">
        <x:is>
          <x:t xml:space="preserve">https://www.fldoe.org/file/18534/SchoolGrades25.xlsx</x:t>
        </x:is>
      </x:c>
    </x:row>
    <x:row r="151">
      <x:c r="A151" s="20" t="inlineStr">
        <x:is>
          <x:t xml:space="preserve">530441</x:t>
        </x:is>
      </x:c>
      <x:c r="B151" s="20" t="inlineStr">
        <x:is>
          <x:t xml:space="preserve">53</x:t>
        </x:is>
      </x:c>
      <x:c r="C151" s="20" t="inlineStr">
        <x:is>
          <x:t xml:space="preserve">POLK</x:t>
        </x:is>
      </x:c>
      <x:c r="D151" s="20" t="inlineStr">
        <x:is>
          <x:t xml:space="preserve">0441</x:t>
        </x:is>
      </x:c>
      <x:c r="E151" s="20" t="inlineStr">
        <x:is>
          <x:t xml:space="preserve">RIDGEVIEW GLOBAL STUDIES ACADEMY</x:t>
        </x:is>
      </x:c>
      <x:c r="F151" s="20" t="inlineStr">
        <x:is>
          <x:t xml:space="preserve">04</x:t>
        </x:is>
      </x:c>
      <x:c r="G151" s="20" t="inlineStr">
        <x:is>
          <x:t xml:space="preserve">Combination</x:t>
        </x:is>
      </x:c>
      <x:c r="H151" s="20" t="inlineStr">
        <x:is>
          <x:t xml:space="preserve">YES</x:t>
        </x:is>
      </x:c>
      <x:c r="I151" s="20" t="inlineStr">
        <x:is>
          <x:t xml:space="preserve">YES</x:t>
        </x:is>
      </x:c>
      <x:c r="J151" s="20" t="inlineStr">
        <x:is>
          <x:t xml:space="preserve">N</x:t>
        </x:is>
      </x:c>
      <x:c r="K151" s="25" t="n">
        <x:v>74</x:v>
      </x:c>
      <x:c r="L151" s="25" t="n">
        <x:v>68</x:v>
      </x:c>
      <x:c r="M151" s="25" t="n">
        <x:v>73</x:v>
      </x:c>
      <x:c r="N151" s="25" t="n">
        <x:v>66</x:v>
      </x:c>
      <x:c r="O151" s="25" t="n">
        <x:v>70</x:v>
      </x:c>
      <x:c r="P151" s="25" t="n">
        <x:v>88</x:v>
      </x:c>
      <x:c r="Q151" s="25" t="n">
        <x:v>96</x:v>
      </x:c>
      <x:c r="R151" s="25" t="n">
        <x:v>54</x:v>
      </x:c>
      <x:c r="S151" s="20" t="n">
        <x:v>827</x:v>
      </x:c>
      <x:c r="T151" s="20" t="n">
        <x:v>12</x:v>
      </x:c>
      <x:c r="U151" s="25" t="n">
        <x:v>69</x:v>
      </x:c>
      <x:c r="V151" s="25" t="n">
        <x:v>100</x:v>
      </x:c>
      <x:c r="W151" s="20" t="inlineStr">
        <x:is>
          <x:t xml:space="preserve">A</x:t>
        </x:is>
      </x:c>
      <x:c r="X151" s="20" t="inlineStr">
        <x:is>
          <x:t xml:space="preserve">A</x:t>
        </x:is>
      </x:c>
      <x:c r="Y151" s="25" t="n">
        <x:v>68.59999999999999</x:v>
      </x:c>
      <x:c r="Z151" s="20" t="inlineStr">
        <x:is>
          <x:t xml:space="preserve">https://www.fldoe.org/file/18534/SchoolGrades25.xlsx</x:t>
        </x:is>
      </x:c>
    </x:row>
    <x:row r="152">
      <x:c r="A152" s="20" t="inlineStr">
        <x:is>
          <x:t xml:space="preserve">530481</x:t>
        </x:is>
      </x:c>
      <x:c r="B152" s="20" t="inlineStr">
        <x:is>
          <x:t xml:space="preserve">53</x:t>
        </x:is>
      </x:c>
      <x:c r="C152" s="20" t="inlineStr">
        <x:is>
          <x:t xml:space="preserve">POLK</x:t>
        </x:is>
      </x:c>
      <x:c r="D152" s="20" t="inlineStr">
        <x:is>
          <x:t xml:space="preserve">0481</x:t>
        </x:is>
      </x:c>
      <x:c r="E152" s="20" t="inlineStr">
        <x:is>
          <x:t xml:space="preserve">WINTER HAVEN SENIOR HIGH SCHOOL</x:t>
        </x:is>
      </x:c>
      <x:c r="F152" s="20" t="inlineStr">
        <x:is>
          <x:t xml:space="preserve">03</x:t>
        </x:is>
      </x:c>
      <x:c r="G152" s="20" t="inlineStr">
        <x:is>
          <x:t xml:space="preserve">Senior High</x:t>
        </x:is>
      </x:c>
      <x:c r="H152" s="20" t="inlineStr">
        <x:is>
          <x:t xml:space="preserve">NO</x:t>
        </x:is>
      </x:c>
      <x:c r="I152" s="20" t="inlineStr">
        <x:is>
          <x:t xml:space="preserve">YES</x:t>
        </x:is>
      </x:c>
      <x:c r="J152" s="20" t="inlineStr">
        <x:is>
          <x:t xml:space="preserve">N</x:t>
        </x:is>
      </x:c>
      <x:c r="K152" s="25" t="n">
        <x:v>56</x:v>
      </x:c>
      <x:c r="L152" s="25" t="n">
        <x:v>56</x:v>
      </x:c>
      <x:c r="M152" s="25" t="n">
        <x:v>34</x:v>
      </x:c>
      <x:c r="N152" s="25" t="n">
        <x:v>43</x:v>
      </x:c>
      <x:c r="O152" s="25" t="n">
        <x:v>68</x:v>
      </x:c>
      <x:c r="P152" s="25" t="n">
        <x:v>66</x:v>
      </x:c>
      <x:c r="Q152" s="25" t="n">
        <x:v>87</x:v>
      </x:c>
      <x:c r="R152" s="25" t="n">
        <x:v>53</x:v>
      </x:c>
      <x:c r="S152" s="20" t="n">
        <x:v>571</x:v>
      </x:c>
      <x:c r="T152" s="20" t="n">
        <x:v>10</x:v>
      </x:c>
      <x:c r="U152" s="25" t="n">
        <x:v>57</x:v>
      </x:c>
      <x:c r="V152" s="25" t="n">
        <x:v>97</x:v>
      </x:c>
      <x:c r="W152" s="20" t="inlineStr">
        <x:is>
          <x:t xml:space="preserve">B</x:t>
        </x:is>
      </x:c>
      <x:c r="X152" s="20" t="inlineStr">
        <x:is>
          <x:t xml:space="preserve">C</x:t>
        </x:is>
      </x:c>
      <x:c r="Y152" s="25" t="n">
        <x:v>83.90000000000001</x:v>
      </x:c>
      <x:c r="Z152" s="20" t="inlineStr">
        <x:is>
          <x:t xml:space="preserve">https://www.fldoe.org/file/18534/SchoolGrades25.xlsx</x:t>
        </x:is>
      </x:c>
    </x:row>
    <x:row r="153">
      <x:c r="A153" s="20" t="inlineStr">
        <x:is>
          <x:t xml:space="preserve">530491</x:t>
        </x:is>
      </x:c>
      <x:c r="B153" s="20" t="inlineStr">
        <x:is>
          <x:t xml:space="preserve">53</x:t>
        </x:is>
      </x:c>
      <x:c r="C153" s="20" t="inlineStr">
        <x:is>
          <x:t xml:space="preserve">POLK</x:t>
        </x:is>
      </x:c>
      <x:c r="D153" s="20" t="inlineStr">
        <x:is>
          <x:t xml:space="preserve">0491</x:t>
        </x:is>
      </x:c>
      <x:c r="E153" s="20" t="inlineStr">
        <x:is>
          <x:t xml:space="preserve">DENISON MIDDLE SCHOOL</x:t>
        </x:is>
      </x:c>
      <x:c r="F153" s="20" t="inlineStr">
        <x:is>
          <x:t xml:space="preserve">02</x:t>
        </x:is>
      </x:c>
      <x:c r="G153" s="20" t="inlineStr">
        <x:is>
          <x:t xml:space="preserve">Middle/Junior</x:t>
        </x:is>
      </x:c>
      <x:c r="H153" s="20" t="inlineStr">
        <x:is>
          <x:t xml:space="preserve">NO</x:t>
        </x:is>
      </x:c>
      <x:c r="I153" s="20" t="inlineStr">
        <x:is>
          <x:t xml:space="preserve">YES</x:t>
        </x:is>
      </x:c>
      <x:c r="J153" s="20" t="inlineStr">
        <x:is>
          <x:t xml:space="preserve">N</x:t>
        </x:is>
      </x:c>
      <x:c r="K153" s="25" t="n">
        <x:v>36</x:v>
      </x:c>
      <x:c r="L153" s="25" t="n">
        <x:v>51</x:v>
      </x:c>
      <x:c r="M153" s="25" t="n">
        <x:v>38</x:v>
      </x:c>
      <x:c r="N153" s="25" t="n">
        <x:v>52</x:v>
      </x:c>
      <x:c r="O153" s="25" t="n">
        <x:v>25</x:v>
      </x:c>
      <x:c r="P153" s="25" t="n">
        <x:v>55</x:v>
      </x:c>
      <x:c r="Q153" s="25" t="n"/>
      <x:c r="R153" s="25" t="n"/>
      <x:c r="S153" s="20" t="n">
        <x:v>434</x:v>
      </x:c>
      <x:c r="T153" s="20" t="n">
        <x:v>9</x:v>
      </x:c>
      <x:c r="U153" s="25" t="n">
        <x:v>48</x:v>
      </x:c>
      <x:c r="V153" s="25" t="n">
        <x:v>99</x:v>
      </x:c>
      <x:c r="W153" s="20" t="inlineStr">
        <x:is>
          <x:t xml:space="preserve">C</x:t>
        </x:is>
      </x:c>
      <x:c r="X153" s="20" t="inlineStr">
        <x:is>
          <x:t xml:space="preserve">C</x:t>
        </x:is>
      </x:c>
      <x:c r="Y153" s="25" t="n">
        <x:v>100</x:v>
      </x:c>
      <x:c r="Z153" s="20" t="inlineStr">
        <x:is>
          <x:t xml:space="preserve">https://www.fldoe.org/file/18534/SchoolGrades25.xlsx</x:t>
        </x:is>
      </x:c>
    </x:row>
    <x:row r="154">
      <x:c r="A154" s="20" t="inlineStr">
        <x:is>
          <x:t xml:space="preserve">530531</x:t>
        </x:is>
      </x:c>
      <x:c r="B154" s="20" t="inlineStr">
        <x:is>
          <x:t xml:space="preserve">53</x:t>
        </x:is>
      </x:c>
      <x:c r="C154" s="20" t="inlineStr">
        <x:is>
          <x:t xml:space="preserve">POLK</x:t>
        </x:is>
      </x:c>
      <x:c r="D154" s="20" t="inlineStr">
        <x:is>
          <x:t xml:space="preserve">0531</x:t>
        </x:is>
      </x:c>
      <x:c r="E154" s="20" t="inlineStr">
        <x:is>
          <x:t xml:space="preserve">FRANK E. BRIGHAM ACADEMY</x:t>
        </x:is>
      </x:c>
      <x:c r="F154" s="20" t="inlineStr">
        <x:is>
          <x:t xml:space="preserve">01</x:t>
        </x:is>
      </x:c>
      <x:c r="G154" s="20" t="inlineStr">
        <x:is>
          <x:t xml:space="preserve">Elementary</x:t>
        </x:is>
      </x:c>
      <x:c r="H154" s="20" t="inlineStr">
        <x:is>
          <x:t xml:space="preserve">NO</x:t>
        </x:is>
      </x:c>
      <x:c r="I154" s="20" t="inlineStr">
        <x:is>
          <x:t xml:space="preserve">YES</x:t>
        </x:is>
      </x:c>
      <x:c r="J154" s="20" t="inlineStr">
        <x:is>
          <x:t xml:space="preserve">N</x:t>
        </x:is>
      </x:c>
      <x:c r="K154" s="25" t="n">
        <x:v>77</x:v>
      </x:c>
      <x:c r="L154" s="25" t="n">
        <x:v>62</x:v>
      </x:c>
      <x:c r="M154" s="25" t="n">
        <x:v>81</x:v>
      </x:c>
      <x:c r="N154" s="25" t="n">
        <x:v>74</x:v>
      </x:c>
      <x:c r="O154" s="25" t="n">
        <x:v>78</x:v>
      </x:c>
      <x:c r="P154" s="25" t="n"/>
      <x:c r="Q154" s="25" t="n"/>
      <x:c r="R154" s="25" t="n"/>
      <x:c r="S154" s="20" t="n">
        <x:v>571</x:v>
      </x:c>
      <x:c r="T154" s="20" t="n">
        <x:v>8</x:v>
      </x:c>
      <x:c r="U154" s="25" t="n">
        <x:v>71</x:v>
      </x:c>
      <x:c r="V154" s="25" t="n">
        <x:v>100</x:v>
      </x:c>
      <x:c r="W154" s="20" t="inlineStr">
        <x:is>
          <x:t xml:space="preserve">A</x:t>
        </x:is>
      </x:c>
      <x:c r="X154" s="20" t="inlineStr">
        <x:is>
          <x:t xml:space="preserve">A</x:t>
        </x:is>
      </x:c>
      <x:c r="Y154" s="25" t="n">
        <x:v>69.8</x:v>
      </x:c>
      <x:c r="Z154" s="20" t="inlineStr">
        <x:is>
          <x:t xml:space="preserve">https://www.fldoe.org/file/18534/SchoolGrades25.xlsx</x:t>
        </x:is>
      </x:c>
    </x:row>
    <x:row r="155">
      <x:c r="A155" s="20" t="inlineStr">
        <x:is>
          <x:t xml:space="preserve">530571</x:t>
        </x:is>
      </x:c>
      <x:c r="B155" s="20" t="inlineStr">
        <x:is>
          <x:t xml:space="preserve">53</x:t>
        </x:is>
      </x:c>
      <x:c r="C155" s="20" t="inlineStr">
        <x:is>
          <x:t xml:space="preserve">POLK</x:t>
        </x:is>
      </x:c>
      <x:c r="D155" s="20" t="inlineStr">
        <x:is>
          <x:t xml:space="preserve">0571</x:t>
        </x:is>
      </x:c>
      <x:c r="E155" s="20" t="inlineStr">
        <x:is>
          <x:t xml:space="preserve">WESTWOOD MIDDLE SCHOOL</x:t>
        </x:is>
      </x:c>
      <x:c r="F155" s="20" t="inlineStr">
        <x:is>
          <x:t xml:space="preserve">02</x:t>
        </x:is>
      </x:c>
      <x:c r="G155" s="20" t="inlineStr">
        <x:is>
          <x:t xml:space="preserve">Middle/Junior</x:t>
        </x:is>
      </x:c>
      <x:c r="H155" s="20" t="inlineStr">
        <x:is>
          <x:t xml:space="preserve">NO</x:t>
        </x:is>
      </x:c>
      <x:c r="I155" s="20" t="inlineStr">
        <x:is>
          <x:t xml:space="preserve">YES</x:t>
        </x:is>
      </x:c>
      <x:c r="J155" s="20" t="inlineStr">
        <x:is>
          <x:t xml:space="preserve">N</x:t>
        </x:is>
      </x:c>
      <x:c r="K155" s="25" t="n">
        <x:v>40</x:v>
      </x:c>
      <x:c r="L155" s="25" t="n">
        <x:v>58</x:v>
      </x:c>
      <x:c r="M155" s="25" t="n">
        <x:v>41</x:v>
      </x:c>
      <x:c r="N155" s="25" t="n">
        <x:v>57</x:v>
      </x:c>
      <x:c r="O155" s="25" t="n">
        <x:v>32</x:v>
      </x:c>
      <x:c r="P155" s="25" t="n">
        <x:v>70</x:v>
      </x:c>
      <x:c r="Q155" s="25" t="n"/>
      <x:c r="R155" s="25" t="n"/>
      <x:c r="S155" s="20" t="n">
        <x:v>503</x:v>
      </x:c>
      <x:c r="T155" s="20" t="n">
        <x:v>9</x:v>
      </x:c>
      <x:c r="U155" s="25" t="n">
        <x:v>56</x:v>
      </x:c>
      <x:c r="V155" s="25" t="n">
        <x:v>99</x:v>
      </x:c>
      <x:c r="W155" s="20" t="inlineStr">
        <x:is>
          <x:t xml:space="preserve">C</x:t>
        </x:is>
      </x:c>
      <x:c r="X155" s="20" t="inlineStr">
        <x:is>
          <x:t xml:space="preserve">C</x:t>
        </x:is>
      </x:c>
      <x:c r="Y155" s="25" t="n">
        <x:v>100</x:v>
      </x:c>
      <x:c r="Z155" s="20" t="inlineStr">
        <x:is>
          <x:t xml:space="preserve">https://www.fldoe.org/file/18534/SchoolGrades25.xlsx</x:t>
        </x:is>
      </x:c>
    </x:row>
    <x:row r="156">
      <x:c r="A156" s="20" t="inlineStr">
        <x:is>
          <x:t xml:space="preserve">530591</x:t>
        </x:is>
      </x:c>
      <x:c r="B156" s="20" t="inlineStr">
        <x:is>
          <x:t xml:space="preserve">53</x:t>
        </x:is>
      </x:c>
      <x:c r="C156" s="20" t="inlineStr">
        <x:is>
          <x:t xml:space="preserve">POLK</x:t>
        </x:is>
      </x:c>
      <x:c r="D156" s="20" t="inlineStr">
        <x:is>
          <x:t xml:space="preserve">0591</x:t>
        </x:is>
      </x:c>
      <x:c r="E156" s="20" t="inlineStr">
        <x:is>
          <x:t xml:space="preserve">ELBERT ELEMENTARY SCHOOL</x:t>
        </x:is>
      </x:c>
      <x:c r="F156" s="20" t="inlineStr">
        <x:is>
          <x:t xml:space="preserve">01</x:t>
        </x:is>
      </x:c>
      <x:c r="G156" s="20" t="inlineStr">
        <x:is>
          <x:t xml:space="preserve">Elementary</x:t>
        </x:is>
      </x:c>
      <x:c r="H156" s="20" t="inlineStr">
        <x:is>
          <x:t xml:space="preserve">NO</x:t>
        </x:is>
      </x:c>
      <x:c r="I156" s="20" t="inlineStr">
        <x:is>
          <x:t xml:space="preserve">YES</x:t>
        </x:is>
      </x:c>
      <x:c r="J156" s="20" t="inlineStr">
        <x:is>
          <x:t xml:space="preserve">N</x:t>
        </x:is>
      </x:c>
      <x:c r="K156" s="25" t="n">
        <x:v>41</x:v>
      </x:c>
      <x:c r="L156" s="25" t="n">
        <x:v>46</x:v>
      </x:c>
      <x:c r="M156" s="25" t="n">
        <x:v>40</x:v>
      </x:c>
      <x:c r="N156" s="25" t="n">
        <x:v>41</x:v>
      </x:c>
      <x:c r="O156" s="25" t="n">
        <x:v>44</x:v>
      </x:c>
      <x:c r="P156" s="25" t="n"/>
      <x:c r="Q156" s="25" t="n"/>
      <x:c r="R156" s="25" t="n"/>
      <x:c r="S156" s="20" t="n">
        <x:v>348</x:v>
      </x:c>
      <x:c r="T156" s="20" t="n">
        <x:v>8</x:v>
      </x:c>
      <x:c r="U156" s="25" t="n">
        <x:v>44</x:v>
      </x:c>
      <x:c r="V156" s="25" t="n">
        <x:v>98</x:v>
      </x:c>
      <x:c r="W156" s="20" t="inlineStr">
        <x:is>
          <x:t xml:space="preserve">C</x:t>
        </x:is>
      </x:c>
      <x:c r="X156" s="20" t="inlineStr">
        <x:is>
          <x:t xml:space="preserve">C</x:t>
        </x:is>
      </x:c>
      <x:c r="Y156" s="25" t="n">
        <x:v>100</x:v>
      </x:c>
      <x:c r="Z156" s="20" t="inlineStr">
        <x:is>
          <x:t xml:space="preserve">https://www.fldoe.org/file/18534/SchoolGrades25.xlsx</x:t>
        </x:is>
      </x:c>
    </x:row>
    <x:row r="157">
      <x:c r="A157" s="20" t="inlineStr">
        <x:is>
          <x:t xml:space="preserve">530601</x:t>
        </x:is>
      </x:c>
      <x:c r="B157" s="20" t="inlineStr">
        <x:is>
          <x:t xml:space="preserve">53</x:t>
        </x:is>
      </x:c>
      <x:c r="C157" s="20" t="inlineStr">
        <x:is>
          <x:t xml:space="preserve">POLK</x:t>
        </x:is>
      </x:c>
      <x:c r="D157" s="20" t="inlineStr">
        <x:is>
          <x:t xml:space="preserve">0601</x:t>
        </x:is>
      </x:c>
      <x:c r="E157" s="20" t="inlineStr">
        <x:is>
          <x:t xml:space="preserve">FRED G. GARNER ACADEMY</x:t>
        </x:is>
      </x:c>
      <x:c r="F157" s="20" t="inlineStr">
        <x:is>
          <x:t xml:space="preserve">01</x:t>
        </x:is>
      </x:c>
      <x:c r="G157" s="20" t="inlineStr">
        <x:is>
          <x:t xml:space="preserve">Elementary</x:t>
        </x:is>
      </x:c>
      <x:c r="H157" s="20" t="inlineStr">
        <x:is>
          <x:t xml:space="preserve">NO</x:t>
        </x:is>
      </x:c>
      <x:c r="I157" s="20" t="inlineStr">
        <x:is>
          <x:t xml:space="preserve">YES</x:t>
        </x:is>
      </x:c>
      <x:c r="J157" s="20" t="inlineStr">
        <x:is>
          <x:t xml:space="preserve">N</x:t>
        </x:is>
      </x:c>
      <x:c r="K157" s="25" t="n">
        <x:v>44</x:v>
      </x:c>
      <x:c r="L157" s="25" t="n">
        <x:v>49</x:v>
      </x:c>
      <x:c r="M157" s="25" t="n">
        <x:v>50</x:v>
      </x:c>
      <x:c r="N157" s="25" t="n">
        <x:v>57</x:v>
      </x:c>
      <x:c r="O157" s="25" t="n">
        <x:v>35</x:v>
      </x:c>
      <x:c r="P157" s="25" t="n"/>
      <x:c r="Q157" s="25" t="n"/>
      <x:c r="R157" s="25" t="n"/>
      <x:c r="S157" s="20" t="n">
        <x:v>400</x:v>
      </x:c>
      <x:c r="T157" s="20" t="n">
        <x:v>8</x:v>
      </x:c>
      <x:c r="U157" s="25" t="n">
        <x:v>50</x:v>
      </x:c>
      <x:c r="V157" s="25" t="n">
        <x:v>100</x:v>
      </x:c>
      <x:c r="W157" s="20" t="inlineStr">
        <x:is>
          <x:t xml:space="preserve">C</x:t>
        </x:is>
      </x:c>
      <x:c r="X157" s="20" t="inlineStr">
        <x:is>
          <x:t xml:space="preserve">C</x:t>
        </x:is>
      </x:c>
      <x:c r="Y157" s="25" t="n">
        <x:v>100</x:v>
      </x:c>
      <x:c r="Z157" s="20" t="inlineStr">
        <x:is>
          <x:t xml:space="preserve">https://www.fldoe.org/file/18534/SchoolGrades25.xlsx</x:t>
        </x:is>
      </x:c>
    </x:row>
    <x:row r="158">
      <x:c r="A158" s="20" t="inlineStr">
        <x:is>
          <x:t xml:space="preserve">530611</x:t>
        </x:is>
      </x:c>
      <x:c r="B158" s="20" t="inlineStr">
        <x:is>
          <x:t xml:space="preserve">53</x:t>
        </x:is>
      </x:c>
      <x:c r="C158" s="20" t="inlineStr">
        <x:is>
          <x:t xml:space="preserve">POLK</x:t>
        </x:is>
      </x:c>
      <x:c r="D158" s="20" t="inlineStr">
        <x:is>
          <x:t xml:space="preserve">0611</x:t>
        </x:is>
      </x:c>
      <x:c r="E158" s="20" t="inlineStr">
        <x:is>
          <x:t xml:space="preserve">INWOOD ELEMENTARY SCHOOL</x:t>
        </x:is>
      </x:c>
      <x:c r="F158" s="20" t="inlineStr">
        <x:is>
          <x:t xml:space="preserve">01</x:t>
        </x:is>
      </x:c>
      <x:c r="G158" s="20" t="inlineStr">
        <x:is>
          <x:t xml:space="preserve">Elementary</x:t>
        </x:is>
      </x:c>
      <x:c r="H158" s="20" t="inlineStr">
        <x:is>
          <x:t xml:space="preserve">NO</x:t>
        </x:is>
      </x:c>
      <x:c r="I158" s="20" t="inlineStr">
        <x:is>
          <x:t xml:space="preserve">YES</x:t>
        </x:is>
      </x:c>
      <x:c r="J158" s="20" t="inlineStr">
        <x:is>
          <x:t xml:space="preserve">N</x:t>
        </x:is>
      </x:c>
      <x:c r="K158" s="25" t="n">
        <x:v>40</x:v>
      </x:c>
      <x:c r="L158" s="25" t="n">
        <x:v>51</x:v>
      </x:c>
      <x:c r="M158" s="25" t="n">
        <x:v>50</x:v>
      </x:c>
      <x:c r="N158" s="25" t="n">
        <x:v>61</x:v>
      </x:c>
      <x:c r="O158" s="25" t="n">
        <x:v>53</x:v>
      </x:c>
      <x:c r="P158" s="25" t="n"/>
      <x:c r="Q158" s="25" t="n"/>
      <x:c r="R158" s="25" t="n"/>
      <x:c r="S158" s="20" t="n">
        <x:v>418</x:v>
      </x:c>
      <x:c r="T158" s="20" t="n">
        <x:v>8</x:v>
      </x:c>
      <x:c r="U158" s="25" t="n">
        <x:v>52</x:v>
      </x:c>
      <x:c r="V158" s="25" t="n">
        <x:v>99</x:v>
      </x:c>
      <x:c r="W158" s="20" t="inlineStr">
        <x:is>
          <x:t xml:space="preserve">C</x:t>
        </x:is>
      </x:c>
      <x:c r="X158" s="20" t="inlineStr">
        <x:is>
          <x:t xml:space="preserve">C</x:t>
        </x:is>
      </x:c>
      <x:c r="Y158" s="25" t="n">
        <x:v>100</x:v>
      </x:c>
      <x:c r="Z158" s="20" t="inlineStr">
        <x:is>
          <x:t xml:space="preserve">https://www.fldoe.org/file/18534/SchoolGrades25.xlsx</x:t>
        </x:is>
      </x:c>
    </x:row>
    <x:row r="159">
      <x:c r="A159" s="20" t="inlineStr">
        <x:is>
          <x:t xml:space="preserve">530621</x:t>
        </x:is>
      </x:c>
      <x:c r="B159" s="20" t="inlineStr">
        <x:is>
          <x:t xml:space="preserve">53</x:t>
        </x:is>
      </x:c>
      <x:c r="C159" s="20" t="inlineStr">
        <x:is>
          <x:t xml:space="preserve">POLK</x:t>
        </x:is>
      </x:c>
      <x:c r="D159" s="20" t="inlineStr">
        <x:is>
          <x:t xml:space="preserve">0621</x:t>
        </x:is>
      </x:c>
      <x:c r="E159" s="20" t="inlineStr">
        <x:is>
          <x:t xml:space="preserve">LAKE SHIPP ELEMENTARY SCHOOL</x:t>
        </x:is>
      </x:c>
      <x:c r="F159" s="20" t="inlineStr">
        <x:is>
          <x:t xml:space="preserve">01</x:t>
        </x:is>
      </x:c>
      <x:c r="G159" s="20" t="inlineStr">
        <x:is>
          <x:t xml:space="preserve">Elementary</x:t>
        </x:is>
      </x:c>
      <x:c r="H159" s="20" t="inlineStr">
        <x:is>
          <x:t xml:space="preserve">NO</x:t>
        </x:is>
      </x:c>
      <x:c r="I159" s="20" t="inlineStr">
        <x:is>
          <x:t xml:space="preserve">YES</x:t>
        </x:is>
      </x:c>
      <x:c r="J159" s="20" t="inlineStr">
        <x:is>
          <x:t xml:space="preserve">N</x:t>
        </x:is>
      </x:c>
      <x:c r="K159" s="25" t="n">
        <x:v>34</x:v>
      </x:c>
      <x:c r="L159" s="25" t="n">
        <x:v>43</x:v>
      </x:c>
      <x:c r="M159" s="25" t="n">
        <x:v>43</x:v>
      </x:c>
      <x:c r="N159" s="25" t="n">
        <x:v>34</x:v>
      </x:c>
      <x:c r="O159" s="25" t="n">
        <x:v>46</x:v>
      </x:c>
      <x:c r="P159" s="25" t="n"/>
      <x:c r="Q159" s="25" t="n"/>
      <x:c r="R159" s="25" t="n"/>
      <x:c r="S159" s="20" t="n">
        <x:v>340</x:v>
      </x:c>
      <x:c r="T159" s="20" t="n">
        <x:v>8</x:v>
      </x:c>
      <x:c r="U159" s="25" t="n">
        <x:v>43</x:v>
      </x:c>
      <x:c r="V159" s="25" t="n">
        <x:v>96</x:v>
      </x:c>
      <x:c r="W159" s="20" t="inlineStr">
        <x:is>
          <x:t xml:space="preserve">C</x:t>
        </x:is>
      </x:c>
      <x:c r="X159" s="20" t="inlineStr">
        <x:is>
          <x:t xml:space="preserve">C</x:t>
        </x:is>
      </x:c>
      <x:c r="Y159" s="25" t="n">
        <x:v>100</x:v>
      </x:c>
      <x:c r="Z159" s="20" t="inlineStr">
        <x:is>
          <x:t xml:space="preserve">https://www.fldoe.org/file/18534/SchoolGrades25.xlsx</x:t>
        </x:is>
      </x:c>
    </x:row>
    <x:row r="160">
      <x:c r="A160" s="20" t="inlineStr">
        <x:is>
          <x:t xml:space="preserve">530631</x:t>
        </x:is>
      </x:c>
      <x:c r="B160" s="20" t="inlineStr">
        <x:is>
          <x:t xml:space="preserve">53</x:t>
        </x:is>
      </x:c>
      <x:c r="C160" s="20" t="inlineStr">
        <x:is>
          <x:t xml:space="preserve">POLK</x:t>
        </x:is>
      </x:c>
      <x:c r="D160" s="20" t="inlineStr">
        <x:is>
          <x:t xml:space="preserve">0631</x:t>
        </x:is>
      </x:c>
      <x:c r="E160" s="20" t="inlineStr">
        <x:is>
          <x:t xml:space="preserve">JOHN SNIVELY ELEMENTARY</x:t>
        </x:is>
      </x:c>
      <x:c r="F160" s="20" t="inlineStr">
        <x:is>
          <x:t xml:space="preserve">01</x:t>
        </x:is>
      </x:c>
      <x:c r="G160" s="20" t="inlineStr">
        <x:is>
          <x:t xml:space="preserve">Elementary</x:t>
        </x:is>
      </x:c>
      <x:c r="H160" s="20" t="inlineStr">
        <x:is>
          <x:t xml:space="preserve">NO</x:t>
        </x:is>
      </x:c>
      <x:c r="I160" s="20" t="inlineStr">
        <x:is>
          <x:t xml:space="preserve">YES</x:t>
        </x:is>
      </x:c>
      <x:c r="J160" s="20" t="inlineStr">
        <x:is>
          <x:t xml:space="preserve">N</x:t>
        </x:is>
      </x:c>
      <x:c r="K160" s="25" t="n">
        <x:v>54</x:v>
      </x:c>
      <x:c r="L160" s="25" t="n">
        <x:v>61</x:v>
      </x:c>
      <x:c r="M160" s="25" t="n">
        <x:v>50</x:v>
      </x:c>
      <x:c r="N160" s="25" t="n">
        <x:v>44</x:v>
      </x:c>
      <x:c r="O160" s="25" t="n">
        <x:v>35</x:v>
      </x:c>
      <x:c r="P160" s="25" t="n"/>
      <x:c r="Q160" s="25" t="n"/>
      <x:c r="R160" s="25" t="n"/>
      <x:c r="S160" s="20" t="n">
        <x:v>450</x:v>
      </x:c>
      <x:c r="T160" s="20" t="n">
        <x:v>8</x:v>
      </x:c>
      <x:c r="U160" s="25" t="n">
        <x:v>56</x:v>
      </x:c>
      <x:c r="V160" s="25" t="n">
        <x:v>97</x:v>
      </x:c>
      <x:c r="W160" s="20" t="inlineStr">
        <x:is>
          <x:t xml:space="preserve">B</x:t>
        </x:is>
      </x:c>
      <x:c r="X160" s="20" t="inlineStr">
        <x:is>
          <x:t xml:space="preserve">C</x:t>
        </x:is>
      </x:c>
      <x:c r="Y160" s="25" t="n">
        <x:v>100</x:v>
      </x:c>
      <x:c r="Z160" s="20" t="inlineStr">
        <x:is>
          <x:t xml:space="preserve">https://www.fldoe.org/file/18534/SchoolGrades25.xlsx</x:t>
        </x:is>
      </x:c>
    </x:row>
    <x:row r="161">
      <x:c r="A161" s="20" t="inlineStr">
        <x:is>
          <x:t xml:space="preserve">530651</x:t>
        </x:is>
      </x:c>
      <x:c r="B161" s="20" t="inlineStr">
        <x:is>
          <x:t xml:space="preserve">53</x:t>
        </x:is>
      </x:c>
      <x:c r="C161" s="20" t="inlineStr">
        <x:is>
          <x:t xml:space="preserve">POLK</x:t>
        </x:is>
      </x:c>
      <x:c r="D161" s="20" t="inlineStr">
        <x:is>
          <x:t xml:space="preserve">0651</x:t>
        </x:is>
      </x:c>
      <x:c r="E161" s="20" t="inlineStr">
        <x:is>
          <x:t xml:space="preserve">LAKE ALFRED ELEMENTARY SCHOOL</x:t>
        </x:is>
      </x:c>
      <x:c r="F161" s="20" t="inlineStr">
        <x:is>
          <x:t xml:space="preserve">01</x:t>
        </x:is>
      </x:c>
      <x:c r="G161" s="20" t="inlineStr">
        <x:is>
          <x:t xml:space="preserve">Elementary</x:t>
        </x:is>
      </x:c>
      <x:c r="H161" s="20" t="inlineStr">
        <x:is>
          <x:t xml:space="preserve">NO</x:t>
        </x:is>
      </x:c>
      <x:c r="I161" s="20" t="inlineStr">
        <x:is>
          <x:t xml:space="preserve">YES</x:t>
        </x:is>
      </x:c>
      <x:c r="J161" s="20" t="inlineStr">
        <x:is>
          <x:t xml:space="preserve">N</x:t>
        </x:is>
      </x:c>
      <x:c r="K161" s="25" t="n">
        <x:v>47</x:v>
      </x:c>
      <x:c r="L161" s="25" t="n">
        <x:v>49</x:v>
      </x:c>
      <x:c r="M161" s="25" t="n">
        <x:v>54</x:v>
      </x:c>
      <x:c r="N161" s="25" t="n">
        <x:v>52</x:v>
      </x:c>
      <x:c r="O161" s="25" t="n">
        <x:v>47</x:v>
      </x:c>
      <x:c r="P161" s="25" t="n"/>
      <x:c r="Q161" s="25" t="n"/>
      <x:c r="R161" s="25" t="n"/>
      <x:c r="S161" s="20" t="n">
        <x:v>390</x:v>
      </x:c>
      <x:c r="T161" s="20" t="n">
        <x:v>8</x:v>
      </x:c>
      <x:c r="U161" s="25" t="n">
        <x:v>49</x:v>
      </x:c>
      <x:c r="V161" s="25" t="n">
        <x:v>98</x:v>
      </x:c>
      <x:c r="W161" s="20" t="inlineStr">
        <x:is>
          <x:t xml:space="preserve">C</x:t>
        </x:is>
      </x:c>
      <x:c r="X161" s="20" t="inlineStr">
        <x:is>
          <x:t xml:space="preserve">B</x:t>
        </x:is>
      </x:c>
      <x:c r="Y161" s="25" t="n">
        <x:v>100</x:v>
      </x:c>
      <x:c r="Z161" s="20" t="inlineStr">
        <x:is>
          <x:t xml:space="preserve">https://www.fldoe.org/file/18534/SchoolGrades25.xlsx</x:t>
        </x:is>
      </x:c>
    </x:row>
    <x:row r="162">
      <x:c r="A162" s="20" t="inlineStr">
        <x:is>
          <x:t xml:space="preserve">530681</x:t>
        </x:is>
      </x:c>
      <x:c r="B162" s="20" t="inlineStr">
        <x:is>
          <x:t xml:space="preserve">53</x:t>
        </x:is>
      </x:c>
      <x:c r="C162" s="20" t="inlineStr">
        <x:is>
          <x:t xml:space="preserve">POLK</x:t>
        </x:is>
      </x:c>
      <x:c r="D162" s="20" t="inlineStr">
        <x:is>
          <x:t xml:space="preserve">0681</x:t>
        </x:is>
      </x:c>
      <x:c r="E162" s="20" t="inlineStr">
        <x:is>
          <x:t xml:space="preserve">WAHNETA ELEMENTARY SCHOOL</x:t>
        </x:is>
      </x:c>
      <x:c r="F162" s="20" t="inlineStr">
        <x:is>
          <x:t xml:space="preserve">01</x:t>
        </x:is>
      </x:c>
      <x:c r="G162" s="20" t="inlineStr">
        <x:is>
          <x:t xml:space="preserve">Elementary</x:t>
        </x:is>
      </x:c>
      <x:c r="H162" s="20" t="inlineStr">
        <x:is>
          <x:t xml:space="preserve">NO</x:t>
        </x:is>
      </x:c>
      <x:c r="I162" s="20" t="inlineStr">
        <x:is>
          <x:t xml:space="preserve">YES</x:t>
        </x:is>
      </x:c>
      <x:c r="J162" s="20" t="inlineStr">
        <x:is>
          <x:t xml:space="preserve">N</x:t>
        </x:is>
      </x:c>
      <x:c r="K162" s="25" t="n">
        <x:v>39</x:v>
      </x:c>
      <x:c r="L162" s="25" t="n">
        <x:v>43</x:v>
      </x:c>
      <x:c r="M162" s="25" t="n">
        <x:v>51</x:v>
      </x:c>
      <x:c r="N162" s="25" t="n">
        <x:v>59</x:v>
      </x:c>
      <x:c r="O162" s="25" t="n">
        <x:v>62</x:v>
      </x:c>
      <x:c r="P162" s="25" t="n"/>
      <x:c r="Q162" s="25" t="n"/>
      <x:c r="R162" s="25" t="n"/>
      <x:c r="S162" s="20" t="n">
        <x:v>388</x:v>
      </x:c>
      <x:c r="T162" s="20" t="n">
        <x:v>8</x:v>
      </x:c>
      <x:c r="U162" s="25" t="n">
        <x:v>49</x:v>
      </x:c>
      <x:c r="V162" s="25" t="n">
        <x:v>99</x:v>
      </x:c>
      <x:c r="W162" s="20" t="inlineStr">
        <x:is>
          <x:t xml:space="preserve">C</x:t>
        </x:is>
      </x:c>
      <x:c r="X162" s="20" t="inlineStr">
        <x:is>
          <x:t xml:space="preserve">C</x:t>
        </x:is>
      </x:c>
      <x:c r="Y162" s="25" t="n">
        <x:v>100</x:v>
      </x:c>
      <x:c r="Z162" s="20" t="inlineStr">
        <x:is>
          <x:t xml:space="preserve">https://www.fldoe.org/file/18534/SchoolGrades25.xlsx</x:t>
        </x:is>
      </x:c>
    </x:row>
    <x:row r="163">
      <x:c r="A163" s="20" t="inlineStr">
        <x:is>
          <x:t xml:space="preserve">530711</x:t>
        </x:is>
      </x:c>
      <x:c r="B163" s="20" t="inlineStr">
        <x:is>
          <x:t xml:space="preserve">53</x:t>
        </x:is>
      </x:c>
      <x:c r="C163" s="20" t="inlineStr">
        <x:is>
          <x:t xml:space="preserve">POLK</x:t>
        </x:is>
      </x:c>
      <x:c r="D163" s="20" t="inlineStr">
        <x:is>
          <x:t xml:space="preserve">0711</x:t>
        </x:is>
      </x:c>
      <x:c r="E163" s="20" t="inlineStr">
        <x:is>
          <x:t xml:space="preserve">JEWETT MIDDLE ACADEMY MAGNET</x:t>
        </x:is>
      </x:c>
      <x:c r="F163" s="20" t="inlineStr">
        <x:is>
          <x:t xml:space="preserve">02</x:t>
        </x:is>
      </x:c>
      <x:c r="G163" s="20" t="inlineStr">
        <x:is>
          <x:t xml:space="preserve">Middle/Junior</x:t>
        </x:is>
      </x:c>
      <x:c r="H163" s="20" t="inlineStr">
        <x:is>
          <x:t xml:space="preserve">NO</x:t>
        </x:is>
      </x:c>
      <x:c r="I163" s="20" t="inlineStr">
        <x:is>
          <x:t xml:space="preserve">YES</x:t>
        </x:is>
      </x:c>
      <x:c r="J163" s="20" t="inlineStr">
        <x:is>
          <x:t xml:space="preserve">N</x:t>
        </x:is>
      </x:c>
      <x:c r="K163" s="25" t="n">
        <x:v>66</x:v>
      </x:c>
      <x:c r="L163" s="25" t="n">
        <x:v>59</x:v>
      </x:c>
      <x:c r="M163" s="25" t="n">
        <x:v>68</x:v>
      </x:c>
      <x:c r="N163" s="25" t="n">
        <x:v>64</x:v>
      </x:c>
      <x:c r="O163" s="25" t="n">
        <x:v>51</x:v>
      </x:c>
      <x:c r="P163" s="25" t="n">
        <x:v>79</x:v>
      </x:c>
      <x:c r="Q163" s="25" t="n"/>
      <x:c r="R163" s="25" t="n"/>
      <x:c r="S163" s="20" t="n">
        <x:v>591</x:v>
      </x:c>
      <x:c r="T163" s="20" t="n">
        <x:v>9</x:v>
      </x:c>
      <x:c r="U163" s="25" t="n">
        <x:v>66</x:v>
      </x:c>
      <x:c r="V163" s="25" t="n">
        <x:v>99</x:v>
      </x:c>
      <x:c r="W163" s="20" t="inlineStr">
        <x:is>
          <x:t xml:space="preserve">A</x:t>
        </x:is>
      </x:c>
      <x:c r="X163" s="20" t="inlineStr">
        <x:is>
          <x:t xml:space="preserve">A</x:t>
        </x:is>
      </x:c>
      <x:c r="Y163" s="25" t="n">
        <x:v>79.09999999999999</x:v>
      </x:c>
      <x:c r="Z163" s="20" t="inlineStr">
        <x:is>
          <x:t xml:space="preserve">https://www.fldoe.org/file/18534/SchoolGrades25.xlsx</x:t>
        </x:is>
      </x:c>
    </x:row>
    <x:row r="164">
      <x:c r="A164" s="20" t="inlineStr">
        <x:is>
          <x:t xml:space="preserve">530712</x:t>
        </x:is>
      </x:c>
      <x:c r="B164" s="20" t="inlineStr">
        <x:is>
          <x:t xml:space="preserve">53</x:t>
        </x:is>
      </x:c>
      <x:c r="C164" s="20" t="inlineStr">
        <x:is>
          <x:t xml:space="preserve">POLK</x:t>
        </x:is>
      </x:c>
      <x:c r="D164" s="20" t="inlineStr">
        <x:is>
          <x:t xml:space="preserve">0712</x:t>
        </x:is>
      </x:c>
      <x:c r="E164" s="20" t="inlineStr">
        <x:is>
          <x:t xml:space="preserve">JEWETT SCHOOL OF THE ARTS</x:t>
        </x:is>
      </x:c>
      <x:c r="F164" s="20" t="inlineStr">
        <x:is>
          <x:t xml:space="preserve">04</x:t>
        </x:is>
      </x:c>
      <x:c r="G164" s="20" t="inlineStr">
        <x:is>
          <x:t xml:space="preserve">Combination</x:t>
        </x:is>
      </x:c>
      <x:c r="H164" s="20" t="inlineStr">
        <x:is>
          <x:t xml:space="preserve">NO</x:t>
        </x:is>
      </x:c>
      <x:c r="I164" s="20" t="inlineStr">
        <x:is>
          <x:t xml:space="preserve">YES</x:t>
        </x:is>
      </x:c>
      <x:c r="J164" s="20" t="inlineStr">
        <x:is>
          <x:t xml:space="preserve">N</x:t>
        </x:is>
      </x:c>
      <x:c r="K164" s="25" t="n">
        <x:v>58</x:v>
      </x:c>
      <x:c r="L164" s="25" t="n">
        <x:v>60</x:v>
      </x:c>
      <x:c r="M164" s="25" t="n">
        <x:v>55</x:v>
      </x:c>
      <x:c r="N164" s="25" t="n">
        <x:v>57</x:v>
      </x:c>
      <x:c r="O164" s="25" t="n">
        <x:v>55</x:v>
      </x:c>
      <x:c r="P164" s="25" t="n">
        <x:v>86</x:v>
      </x:c>
      <x:c r="Q164" s="25" t="n"/>
      <x:c r="R164" s="25" t="n"/>
      <x:c r="S164" s="20" t="n">
        <x:v>640</x:v>
      </x:c>
      <x:c r="T164" s="20" t="n">
        <x:v>10</x:v>
      </x:c>
      <x:c r="U164" s="25" t="n">
        <x:v>64</x:v>
      </x:c>
      <x:c r="V164" s="25" t="n">
        <x:v>99</x:v>
      </x:c>
      <x:c r="W164" s="20" t="inlineStr">
        <x:is>
          <x:t xml:space="preserve">A</x:t>
        </x:is>
      </x:c>
      <x:c r="X164" s="20" t="inlineStr">
        <x:is>
          <x:t xml:space="preserve">B</x:t>
        </x:is>
      </x:c>
      <x:c r="Y164" s="25" t="n">
        <x:v>89.59999999999999</x:v>
      </x:c>
      <x:c r="Z164" s="20" t="inlineStr">
        <x:is>
          <x:t xml:space="preserve">https://www.fldoe.org/file/18534/SchoolGrades25.xlsx</x:t>
        </x:is>
      </x:c>
    </x:row>
    <x:row r="165">
      <x:c r="A165" s="20" t="inlineStr">
        <x:is>
          <x:t xml:space="preserve">530791</x:t>
        </x:is>
      </x:c>
      <x:c r="B165" s="20" t="inlineStr">
        <x:is>
          <x:t xml:space="preserve">53</x:t>
        </x:is>
      </x:c>
      <x:c r="C165" s="20" t="inlineStr">
        <x:is>
          <x:t xml:space="preserve">POLK</x:t>
        </x:is>
      </x:c>
      <x:c r="D165" s="20" t="inlineStr">
        <x:is>
          <x:t xml:space="preserve">0791</x:t>
        </x:is>
      </x:c>
      <x:c r="E165" s="20" t="inlineStr">
        <x:is>
          <x:t xml:space="preserve">FORT MEADE MIDDLE/SENIOR HIGH SCHOOL</x:t>
        </x:is>
      </x:c>
      <x:c r="F165" s="20" t="inlineStr">
        <x:is>
          <x:t xml:space="preserve">04</x:t>
        </x:is>
      </x:c>
      <x:c r="G165" s="20" t="inlineStr">
        <x:is>
          <x:t xml:space="preserve">Combination</x:t>
        </x:is>
      </x:c>
      <x:c r="H165" s="20" t="inlineStr">
        <x:is>
          <x:t xml:space="preserve">NO</x:t>
        </x:is>
      </x:c>
      <x:c r="I165" s="20" t="inlineStr">
        <x:is>
          <x:t xml:space="preserve">YES</x:t>
        </x:is>
      </x:c>
      <x:c r="J165" s="20" t="inlineStr">
        <x:is>
          <x:t xml:space="preserve">N</x:t>
        </x:is>
      </x:c>
      <x:c r="K165" s="25" t="n">
        <x:v>46</x:v>
      </x:c>
      <x:c r="L165" s="25" t="n">
        <x:v>51</x:v>
      </x:c>
      <x:c r="M165" s="25" t="n">
        <x:v>52</x:v>
      </x:c>
      <x:c r="N165" s="25" t="n">
        <x:v>55</x:v>
      </x:c>
      <x:c r="O165" s="25" t="n">
        <x:v>51</x:v>
      </x:c>
      <x:c r="P165" s="25" t="n">
        <x:v>68</x:v>
      </x:c>
      <x:c r="Q165" s="25" t="n">
        <x:v>91</x:v>
      </x:c>
      <x:c r="R165" s="25" t="n">
        <x:v>75</x:v>
      </x:c>
      <x:c r="S165" s="20" t="n">
        <x:v>674</x:v>
      </x:c>
      <x:c r="T165" s="20" t="n">
        <x:v>11</x:v>
      </x:c>
      <x:c r="U165" s="25" t="n">
        <x:v>61</x:v>
      </x:c>
      <x:c r="V165" s="25" t="n">
        <x:v>98</x:v>
      </x:c>
      <x:c r="W165" s="20" t="inlineStr">
        <x:is>
          <x:t xml:space="preserve">B</x:t>
        </x:is>
      </x:c>
      <x:c r="X165" s="20" t="inlineStr">
        <x:is>
          <x:t xml:space="preserve">B</x:t>
        </x:is>
      </x:c>
      <x:c r="Y165" s="25" t="n">
        <x:v>100</x:v>
      </x:c>
      <x:c r="Z165" s="20" t="inlineStr">
        <x:is>
          <x:t xml:space="preserve">https://www.fldoe.org/file/18534/SchoolGrades25.xlsx</x:t>
        </x:is>
      </x:c>
    </x:row>
    <x:row r="166">
      <x:c r="A166" s="20" t="inlineStr">
        <x:is>
          <x:t xml:space="preserve">530802</x:t>
        </x:is>
      </x:c>
      <x:c r="B166" s="20" t="inlineStr">
        <x:is>
          <x:t xml:space="preserve">53</x:t>
        </x:is>
      </x:c>
      <x:c r="C166" s="20" t="inlineStr">
        <x:is>
          <x:t xml:space="preserve">POLK</x:t>
        </x:is>
      </x:c>
      <x:c r="D166" s="20" t="inlineStr">
        <x:is>
          <x:t xml:space="preserve">0802</x:t>
        </x:is>
      </x:c>
      <x:c r="E166" s="20" t="inlineStr">
        <x:is>
          <x:t xml:space="preserve">LEWIS ANNA WOODBURY ELEMENTARY SCHOOL</x:t>
        </x:is>
      </x:c>
      <x:c r="F166" s="20" t="inlineStr">
        <x:is>
          <x:t xml:space="preserve">01</x:t>
        </x:is>
      </x:c>
      <x:c r="G166" s="20" t="inlineStr">
        <x:is>
          <x:t xml:space="preserve">Elementary</x:t>
        </x:is>
      </x:c>
      <x:c r="H166" s="20" t="inlineStr">
        <x:is>
          <x:t xml:space="preserve">NO</x:t>
        </x:is>
      </x:c>
      <x:c r="I166" s="20" t="inlineStr">
        <x:is>
          <x:t xml:space="preserve">YES</x:t>
        </x:is>
      </x:c>
      <x:c r="J166" s="20" t="inlineStr">
        <x:is>
          <x:t xml:space="preserve">N</x:t>
        </x:is>
      </x:c>
      <x:c r="K166" s="25" t="n">
        <x:v>47</x:v>
      </x:c>
      <x:c r="L166" s="25" t="n">
        <x:v>47</x:v>
      </x:c>
      <x:c r="M166" s="25" t="n">
        <x:v>46</x:v>
      </x:c>
      <x:c r="N166" s="25" t="n">
        <x:v>47</x:v>
      </x:c>
      <x:c r="O166" s="25" t="n">
        <x:v>41</x:v>
      </x:c>
      <x:c r="P166" s="25" t="n"/>
      <x:c r="Q166" s="25" t="n"/>
      <x:c r="R166" s="25" t="n"/>
      <x:c r="S166" s="20" t="n">
        <x:v>380</x:v>
      </x:c>
      <x:c r="T166" s="20" t="n">
        <x:v>8</x:v>
      </x:c>
      <x:c r="U166" s="25" t="n">
        <x:v>48</x:v>
      </x:c>
      <x:c r="V166" s="25" t="n">
        <x:v>100</x:v>
      </x:c>
      <x:c r="W166" s="20" t="inlineStr">
        <x:is>
          <x:t xml:space="preserve">C</x:t>
        </x:is>
      </x:c>
      <x:c r="X166" s="20" t="inlineStr">
        <x:is>
          <x:t xml:space="preserve">C</x:t>
        </x:is>
      </x:c>
      <x:c r="Y166" s="25" t="n">
        <x:v>100</x:v>
      </x:c>
      <x:c r="Z166" s="20" t="inlineStr">
        <x:is>
          <x:t xml:space="preserve">https://www.fldoe.org/file/18534/SchoolGrades25.xlsx</x:t>
        </x:is>
      </x:c>
    </x:row>
    <x:row r="167">
      <x:c r="A167" s="20" t="inlineStr">
        <x:is>
          <x:t xml:space="preserve">530811</x:t>
        </x:is>
      </x:c>
      <x:c r="B167" s="20" t="inlineStr">
        <x:is>
          <x:t xml:space="preserve">53</x:t>
        </x:is>
      </x:c>
      <x:c r="C167" s="20" t="inlineStr">
        <x:is>
          <x:t xml:space="preserve">POLK</x:t>
        </x:is>
      </x:c>
      <x:c r="D167" s="20" t="inlineStr">
        <x:is>
          <x:t xml:space="preserve">0811</x:t>
        </x:is>
      </x:c>
      <x:c r="E167" s="20" t="inlineStr">
        <x:is>
          <x:t xml:space="preserve">AUBURNDALE SENIOR HIGH SCHOOL</x:t>
        </x:is>
      </x:c>
      <x:c r="F167" s="20" t="inlineStr">
        <x:is>
          <x:t xml:space="preserve">03</x:t>
        </x:is>
      </x:c>
      <x:c r="G167" s="20" t="inlineStr">
        <x:is>
          <x:t xml:space="preserve">Senior High</x:t>
        </x:is>
      </x:c>
      <x:c r="H167" s="20" t="inlineStr">
        <x:is>
          <x:t xml:space="preserve">NO</x:t>
        </x:is>
      </x:c>
      <x:c r="I167" s="20" t="inlineStr">
        <x:is>
          <x:t xml:space="preserve">YES</x:t>
        </x:is>
      </x:c>
      <x:c r="J167" s="20" t="inlineStr">
        <x:is>
          <x:t xml:space="preserve">N</x:t>
        </x:is>
      </x:c>
      <x:c r="K167" s="25" t="n">
        <x:v>48</x:v>
      </x:c>
      <x:c r="L167" s="25" t="n">
        <x:v>60</x:v>
      </x:c>
      <x:c r="M167" s="25" t="n">
        <x:v>16</x:v>
      </x:c>
      <x:c r="N167" s="25" t="n">
        <x:v>28</x:v>
      </x:c>
      <x:c r="O167" s="25" t="n">
        <x:v>49</x:v>
      </x:c>
      <x:c r="P167" s="25" t="n">
        <x:v>50</x:v>
      </x:c>
      <x:c r="Q167" s="25" t="n">
        <x:v>87</x:v>
      </x:c>
      <x:c r="R167" s="25" t="n">
        <x:v>48</x:v>
      </x:c>
      <x:c r="S167" s="20" t="n">
        <x:v>492</x:v>
      </x:c>
      <x:c r="T167" s="20" t="n">
        <x:v>10</x:v>
      </x:c>
      <x:c r="U167" s="25" t="n">
        <x:v>49</x:v>
      </x:c>
      <x:c r="V167" s="25" t="n">
        <x:v>97</x:v>
      </x:c>
      <x:c r="W167" s="20" t="inlineStr">
        <x:is>
          <x:t xml:space="preserve">C</x:t>
        </x:is>
      </x:c>
      <x:c r="X167" s="20" t="inlineStr">
        <x:is>
          <x:t xml:space="preserve">D</x:t>
        </x:is>
      </x:c>
      <x:c r="Y167" s="25" t="n">
        <x:v>87.40000000000001</x:v>
      </x:c>
      <x:c r="Z167" s="20" t="inlineStr">
        <x:is>
          <x:t xml:space="preserve">https://www.fldoe.org/file/18534/SchoolGrades25.xlsx</x:t>
        </x:is>
      </x:c>
    </x:row>
    <x:row r="168">
      <x:c r="A168" s="20" t="inlineStr">
        <x:is>
          <x:t xml:space="preserve">530821</x:t>
        </x:is>
      </x:c>
      <x:c r="B168" s="20" t="inlineStr">
        <x:is>
          <x:t xml:space="preserve">53</x:t>
        </x:is>
      </x:c>
      <x:c r="C168" s="20" t="inlineStr">
        <x:is>
          <x:t xml:space="preserve">POLK</x:t>
        </x:is>
      </x:c>
      <x:c r="D168" s="20" t="inlineStr">
        <x:is>
          <x:t xml:space="preserve">0821</x:t>
        </x:is>
      </x:c>
      <x:c r="E168" s="20" t="inlineStr">
        <x:is>
          <x:t xml:space="preserve">JERE L. STAMBAUGH MIDDLE</x:t>
        </x:is>
      </x:c>
      <x:c r="F168" s="20" t="inlineStr">
        <x:is>
          <x:t xml:space="preserve">02</x:t>
        </x:is>
      </x:c>
      <x:c r="G168" s="20" t="inlineStr">
        <x:is>
          <x:t xml:space="preserve">Middle/Junior</x:t>
        </x:is>
      </x:c>
      <x:c r="H168" s="20" t="inlineStr">
        <x:is>
          <x:t xml:space="preserve">NO</x:t>
        </x:is>
      </x:c>
      <x:c r="I168" s="20" t="inlineStr">
        <x:is>
          <x:t xml:space="preserve">YES</x:t>
        </x:is>
      </x:c>
      <x:c r="J168" s="20" t="inlineStr">
        <x:is>
          <x:t xml:space="preserve">N</x:t>
        </x:is>
      </x:c>
      <x:c r="K168" s="25" t="n">
        <x:v>38</x:v>
      </x:c>
      <x:c r="L168" s="25" t="n">
        <x:v>51</x:v>
      </x:c>
      <x:c r="M168" s="25" t="n">
        <x:v>40</x:v>
      </x:c>
      <x:c r="N168" s="25" t="n">
        <x:v>54</x:v>
      </x:c>
      <x:c r="O168" s="25" t="n">
        <x:v>29</x:v>
      </x:c>
      <x:c r="P168" s="25" t="n">
        <x:v>61</x:v>
      </x:c>
      <x:c r="Q168" s="25" t="n"/>
      <x:c r="R168" s="25" t="n"/>
      <x:c r="S168" s="20" t="n">
        <x:v>450</x:v>
      </x:c>
      <x:c r="T168" s="20" t="n">
        <x:v>9</x:v>
      </x:c>
      <x:c r="U168" s="25" t="n">
        <x:v>50</x:v>
      </x:c>
      <x:c r="V168" s="25" t="n">
        <x:v>98</x:v>
      </x:c>
      <x:c r="W168" s="20" t="inlineStr">
        <x:is>
          <x:t xml:space="preserve">C</x:t>
        </x:is>
      </x:c>
      <x:c r="X168" s="20" t="inlineStr">
        <x:is>
          <x:t xml:space="preserve">D</x:t>
        </x:is>
      </x:c>
      <x:c r="Y168" s="25" t="n">
        <x:v>100</x:v>
      </x:c>
      <x:c r="Z168" s="20" t="inlineStr">
        <x:is>
          <x:t xml:space="preserve">https://www.fldoe.org/file/18534/SchoolGrades25.xlsx</x:t>
        </x:is>
      </x:c>
    </x:row>
    <x:row r="169">
      <x:c r="A169" s="20" t="inlineStr">
        <x:is>
          <x:t xml:space="preserve">530841</x:t>
        </x:is>
      </x:c>
      <x:c r="B169" s="20" t="inlineStr">
        <x:is>
          <x:t xml:space="preserve">53</x:t>
        </x:is>
      </x:c>
      <x:c r="C169" s="20" t="inlineStr">
        <x:is>
          <x:t xml:space="preserve">POLK</x:t>
        </x:is>
      </x:c>
      <x:c r="D169" s="20" t="inlineStr">
        <x:is>
          <x:t xml:space="preserve">0841</x:t>
        </x:is>
      </x:c>
      <x:c r="E169" s="20" t="inlineStr">
        <x:is>
          <x:t xml:space="preserve">LENA VISTA ELEMENTARY SCHOOL</x:t>
        </x:is>
      </x:c>
      <x:c r="F169" s="20" t="inlineStr">
        <x:is>
          <x:t xml:space="preserve">01</x:t>
        </x:is>
      </x:c>
      <x:c r="G169" s="20" t="inlineStr">
        <x:is>
          <x:t xml:space="preserve">Elementary</x:t>
        </x:is>
      </x:c>
      <x:c r="H169" s="20" t="inlineStr">
        <x:is>
          <x:t xml:space="preserve">NO</x:t>
        </x:is>
      </x:c>
      <x:c r="I169" s="20" t="inlineStr">
        <x:is>
          <x:t xml:space="preserve">YES</x:t>
        </x:is>
      </x:c>
      <x:c r="J169" s="20" t="inlineStr">
        <x:is>
          <x:t xml:space="preserve">N</x:t>
        </x:is>
      </x:c>
      <x:c r="K169" s="25" t="n">
        <x:v>39</x:v>
      </x:c>
      <x:c r="L169" s="25" t="n">
        <x:v>47</x:v>
      </x:c>
      <x:c r="M169" s="25" t="n">
        <x:v>37</x:v>
      </x:c>
      <x:c r="N169" s="25" t="n">
        <x:v>47</x:v>
      </x:c>
      <x:c r="O169" s="25" t="n">
        <x:v>34</x:v>
      </x:c>
      <x:c r="P169" s="25" t="n"/>
      <x:c r="Q169" s="25" t="n"/>
      <x:c r="R169" s="25" t="n"/>
      <x:c r="S169" s="20" t="n">
        <x:v>345</x:v>
      </x:c>
      <x:c r="T169" s="20" t="n">
        <x:v>8</x:v>
      </x:c>
      <x:c r="U169" s="25" t="n">
        <x:v>43</x:v>
      </x:c>
      <x:c r="V169" s="25" t="n">
        <x:v>100</x:v>
      </x:c>
      <x:c r="W169" s="20" t="inlineStr">
        <x:is>
          <x:t xml:space="preserve">C</x:t>
        </x:is>
      </x:c>
      <x:c r="X169" s="20" t="inlineStr">
        <x:is>
          <x:t xml:space="preserve">C</x:t>
        </x:is>
      </x:c>
      <x:c r="Y169" s="25" t="n">
        <x:v>100</x:v>
      </x:c>
      <x:c r="Z169" s="20" t="inlineStr">
        <x:is>
          <x:t xml:space="preserve">https://www.fldoe.org/file/18534/SchoolGrades25.xlsx</x:t>
        </x:is>
      </x:c>
    </x:row>
    <x:row r="170">
      <x:c r="A170" s="20" t="inlineStr">
        <x:is>
          <x:t xml:space="preserve">530851</x:t>
        </x:is>
      </x:c>
      <x:c r="B170" s="20" t="inlineStr">
        <x:is>
          <x:t xml:space="preserve">53</x:t>
        </x:is>
      </x:c>
      <x:c r="C170" s="20" t="inlineStr">
        <x:is>
          <x:t xml:space="preserve">POLK</x:t>
        </x:is>
      </x:c>
      <x:c r="D170" s="20" t="inlineStr">
        <x:is>
          <x:t xml:space="preserve">0851</x:t>
        </x:is>
      </x:c>
      <x:c r="E170" s="20" t="inlineStr">
        <x:is>
          <x:t xml:space="preserve">AUBURNDALE CENTRAL ELEMENTARY SCHOOL</x:t>
        </x:is>
      </x:c>
      <x:c r="F170" s="20" t="inlineStr">
        <x:is>
          <x:t xml:space="preserve">01</x:t>
        </x:is>
      </x:c>
      <x:c r="G170" s="20" t="inlineStr">
        <x:is>
          <x:t xml:space="preserve">Elementary</x:t>
        </x:is>
      </x:c>
      <x:c r="H170" s="20" t="inlineStr">
        <x:is>
          <x:t xml:space="preserve">NO</x:t>
        </x:is>
      </x:c>
      <x:c r="I170" s="20" t="inlineStr">
        <x:is>
          <x:t xml:space="preserve">YES</x:t>
        </x:is>
      </x:c>
      <x:c r="J170" s="20" t="inlineStr">
        <x:is>
          <x:t xml:space="preserve">N</x:t>
        </x:is>
      </x:c>
      <x:c r="K170" s="25" t="n">
        <x:v>44</x:v>
      </x:c>
      <x:c r="L170" s="25" t="n">
        <x:v>55</x:v>
      </x:c>
      <x:c r="M170" s="25" t="n">
        <x:v>33</x:v>
      </x:c>
      <x:c r="N170" s="25" t="n">
        <x:v>36</x:v>
      </x:c>
      <x:c r="O170" s="25" t="n">
        <x:v>48</x:v>
      </x:c>
      <x:c r="P170" s="25" t="n"/>
      <x:c r="Q170" s="25" t="n"/>
      <x:c r="R170" s="25" t="n"/>
      <x:c r="S170" s="20" t="n">
        <x:v>360</x:v>
      </x:c>
      <x:c r="T170" s="20" t="n">
        <x:v>8</x:v>
      </x:c>
      <x:c r="U170" s="25" t="n">
        <x:v>45</x:v>
      </x:c>
      <x:c r="V170" s="25" t="n">
        <x:v>99</x:v>
      </x:c>
      <x:c r="W170" s="20" t="inlineStr">
        <x:is>
          <x:t xml:space="preserve">C</x:t>
        </x:is>
      </x:c>
      <x:c r="X170" s="20" t="inlineStr">
        <x:is>
          <x:t xml:space="preserve">B</x:t>
        </x:is>
      </x:c>
      <x:c r="Y170" s="25" t="n">
        <x:v>100</x:v>
      </x:c>
      <x:c r="Z170" s="20" t="inlineStr">
        <x:is>
          <x:t xml:space="preserve">https://www.fldoe.org/file/18534/SchoolGrades25.xlsx</x:t>
        </x:is>
      </x:c>
    </x:row>
    <x:row r="171">
      <x:c r="A171" s="20" t="inlineStr">
        <x:is>
          <x:t xml:space="preserve">530861</x:t>
        </x:is>
      </x:c>
      <x:c r="B171" s="20" t="inlineStr">
        <x:is>
          <x:t xml:space="preserve">53</x:t>
        </x:is>
      </x:c>
      <x:c r="C171" s="20" t="inlineStr">
        <x:is>
          <x:t xml:space="preserve">POLK</x:t>
        </x:is>
      </x:c>
      <x:c r="D171" s="20" t="inlineStr">
        <x:is>
          <x:t xml:space="preserve">0861</x:t>
        </x:is>
      </x:c>
      <x:c r="E171" s="20" t="inlineStr">
        <x:is>
          <x:t xml:space="preserve">WALTER CALDWELL ELEMENTARY SCHOOL</x:t>
        </x:is>
      </x:c>
      <x:c r="F171" s="20" t="inlineStr">
        <x:is>
          <x:t xml:space="preserve">01</x:t>
        </x:is>
      </x:c>
      <x:c r="G171" s="20" t="inlineStr">
        <x:is>
          <x:t xml:space="preserve">Elementary</x:t>
        </x:is>
      </x:c>
      <x:c r="H171" s="20" t="inlineStr">
        <x:is>
          <x:t xml:space="preserve">NO</x:t>
        </x:is>
      </x:c>
      <x:c r="I171" s="20" t="inlineStr">
        <x:is>
          <x:t xml:space="preserve">YES</x:t>
        </x:is>
      </x:c>
      <x:c r="J171" s="20" t="inlineStr">
        <x:is>
          <x:t xml:space="preserve">N</x:t>
        </x:is>
      </x:c>
      <x:c r="K171" s="25" t="n">
        <x:v>48</x:v>
      </x:c>
      <x:c r="L171" s="25" t="n">
        <x:v>53</x:v>
      </x:c>
      <x:c r="M171" s="25" t="n">
        <x:v>55</x:v>
      </x:c>
      <x:c r="N171" s="25" t="n">
        <x:v>56</x:v>
      </x:c>
      <x:c r="O171" s="25" t="n">
        <x:v>56</x:v>
      </x:c>
      <x:c r="P171" s="25" t="n"/>
      <x:c r="Q171" s="25" t="n"/>
      <x:c r="R171" s="25" t="n"/>
      <x:c r="S171" s="20" t="n">
        <x:v>414</x:v>
      </x:c>
      <x:c r="T171" s="20" t="n">
        <x:v>8</x:v>
      </x:c>
      <x:c r="U171" s="25" t="n">
        <x:v>52</x:v>
      </x:c>
      <x:c r="V171" s="25" t="n">
        <x:v>100</x:v>
      </x:c>
      <x:c r="W171" s="20" t="inlineStr">
        <x:is>
          <x:t xml:space="preserve">C</x:t>
        </x:is>
      </x:c>
      <x:c r="X171" s="20" t="inlineStr">
        <x:is>
          <x:t xml:space="preserve">B</x:t>
        </x:is>
      </x:c>
      <x:c r="Y171" s="25" t="n">
        <x:v>100</x:v>
      </x:c>
      <x:c r="Z171" s="20" t="inlineStr">
        <x:is>
          <x:t xml:space="preserve">https://www.fldoe.org/file/18534/SchoolGrades25.xlsx</x:t>
        </x:is>
      </x:c>
    </x:row>
    <x:row r="172">
      <x:c r="A172" s="20" t="inlineStr">
        <x:is>
          <x:t xml:space="preserve">530881</x:t>
        </x:is>
      </x:c>
      <x:c r="B172" s="20" t="inlineStr">
        <x:is>
          <x:t xml:space="preserve">53</x:t>
        </x:is>
      </x:c>
      <x:c r="C172" s="20" t="inlineStr">
        <x:is>
          <x:t xml:space="preserve">POLK</x:t>
        </x:is>
      </x:c>
      <x:c r="D172" s="20" t="inlineStr">
        <x:is>
          <x:t xml:space="preserve">0881</x:t>
        </x:is>
      </x:c>
      <x:c r="E172" s="20" t="inlineStr">
        <x:is>
          <x:t xml:space="preserve">POLK CITY ELEMENTARY SCHOOL</x:t>
        </x:is>
      </x:c>
      <x:c r="F172" s="20" t="inlineStr">
        <x:is>
          <x:t xml:space="preserve">01</x:t>
        </x:is>
      </x:c>
      <x:c r="G172" s="20" t="inlineStr">
        <x:is>
          <x:t xml:space="preserve">Elementary</x:t>
        </x:is>
      </x:c>
      <x:c r="H172" s="20" t="inlineStr">
        <x:is>
          <x:t xml:space="preserve">NO</x:t>
        </x:is>
      </x:c>
      <x:c r="I172" s="20" t="inlineStr">
        <x:is>
          <x:t xml:space="preserve">YES</x:t>
        </x:is>
      </x:c>
      <x:c r="J172" s="20" t="inlineStr">
        <x:is>
          <x:t xml:space="preserve">N</x:t>
        </x:is>
      </x:c>
      <x:c r="K172" s="25" t="n">
        <x:v>42</x:v>
      </x:c>
      <x:c r="L172" s="25" t="n">
        <x:v>41</x:v>
      </x:c>
      <x:c r="M172" s="25" t="n">
        <x:v>48</x:v>
      </x:c>
      <x:c r="N172" s="25" t="n">
        <x:v>45</x:v>
      </x:c>
      <x:c r="O172" s="25" t="n">
        <x:v>29</x:v>
      </x:c>
      <x:c r="P172" s="25" t="n"/>
      <x:c r="Q172" s="25" t="n"/>
      <x:c r="R172" s="25" t="n"/>
      <x:c r="S172" s="20" t="n">
        <x:v>340</x:v>
      </x:c>
      <x:c r="T172" s="20" t="n">
        <x:v>8</x:v>
      </x:c>
      <x:c r="U172" s="25" t="n">
        <x:v>43</x:v>
      </x:c>
      <x:c r="V172" s="25" t="n">
        <x:v>99</x:v>
      </x:c>
      <x:c r="W172" s="20" t="inlineStr">
        <x:is>
          <x:t xml:space="preserve">C</x:t>
        </x:is>
      </x:c>
      <x:c r="X172" s="20" t="inlineStr">
        <x:is>
          <x:t xml:space="preserve">B</x:t>
        </x:is>
      </x:c>
      <x:c r="Y172" s="25" t="n">
        <x:v>100</x:v>
      </x:c>
      <x:c r="Z172" s="20" t="inlineStr">
        <x:is>
          <x:t xml:space="preserve">https://www.fldoe.org/file/18534/SchoolGrades25.xlsx</x:t>
        </x:is>
      </x:c>
    </x:row>
    <x:row r="173">
      <x:c r="A173" s="20" t="inlineStr">
        <x:is>
          <x:t xml:space="preserve">530901</x:t>
        </x:is>
      </x:c>
      <x:c r="B173" s="20" t="inlineStr">
        <x:is>
          <x:t xml:space="preserve">53</x:t>
        </x:is>
      </x:c>
      <x:c r="C173" s="20" t="inlineStr">
        <x:is>
          <x:t xml:space="preserve">POLK</x:t>
        </x:is>
      </x:c>
      <x:c r="D173" s="20" t="inlineStr">
        <x:is>
          <x:t xml:space="preserve">0901</x:t>
        </x:is>
      </x:c>
      <x:c r="E173" s="20" t="inlineStr">
        <x:is>
          <x:t xml:space="preserve">BARTOW SENIOR HIGH SCHOOL</x:t>
        </x:is>
      </x:c>
      <x:c r="F173" s="20" t="inlineStr">
        <x:is>
          <x:t xml:space="preserve">03</x:t>
        </x:is>
      </x:c>
      <x:c r="G173" s="20" t="inlineStr">
        <x:is>
          <x:t xml:space="preserve">Senior High</x:t>
        </x:is>
      </x:c>
      <x:c r="H173" s="20" t="inlineStr">
        <x:is>
          <x:t xml:space="preserve">NO</x:t>
        </x:is>
      </x:c>
      <x:c r="I173" s="20" t="inlineStr">
        <x:is>
          <x:t xml:space="preserve">YES</x:t>
        </x:is>
      </x:c>
      <x:c r="J173" s="20" t="inlineStr">
        <x:is>
          <x:t xml:space="preserve">N</x:t>
        </x:is>
      </x:c>
      <x:c r="K173" s="25" t="n">
        <x:v>54</x:v>
      </x:c>
      <x:c r="L173" s="25" t="n">
        <x:v>56</x:v>
      </x:c>
      <x:c r="M173" s="25" t="n">
        <x:v>24</x:v>
      </x:c>
      <x:c r="N173" s="25" t="n">
        <x:v>33</x:v>
      </x:c>
      <x:c r="O173" s="25" t="n">
        <x:v>64</x:v>
      </x:c>
      <x:c r="P173" s="25" t="n">
        <x:v>67</x:v>
      </x:c>
      <x:c r="Q173" s="25" t="n">
        <x:v>96</x:v>
      </x:c>
      <x:c r="R173" s="25" t="n">
        <x:v>63</x:v>
      </x:c>
      <x:c r="S173" s="20" t="n">
        <x:v>559</x:v>
      </x:c>
      <x:c r="T173" s="20" t="n">
        <x:v>10</x:v>
      </x:c>
      <x:c r="U173" s="25" t="n">
        <x:v>56</x:v>
      </x:c>
      <x:c r="V173" s="25" t="n">
        <x:v>96</x:v>
      </x:c>
      <x:c r="W173" s="20" t="inlineStr">
        <x:is>
          <x:t xml:space="preserve">C</x:t>
        </x:is>
      </x:c>
      <x:c r="X173" s="20" t="inlineStr">
        <x:is>
          <x:t xml:space="preserve">C</x:t>
        </x:is>
      </x:c>
      <x:c r="Y173" s="25" t="n">
        <x:v>76.7</x:v>
      </x:c>
      <x:c r="Z173" s="20" t="inlineStr">
        <x:is>
          <x:t xml:space="preserve">https://www.fldoe.org/file/18534/SchoolGrades25.xlsx</x:t>
        </x:is>
      </x:c>
    </x:row>
    <x:row r="174">
      <x:c r="A174" s="20" t="inlineStr">
        <x:is>
          <x:t xml:space="preserve">530925</x:t>
        </x:is>
      </x:c>
      <x:c r="B174" s="20" t="inlineStr">
        <x:is>
          <x:t xml:space="preserve">53</x:t>
        </x:is>
      </x:c>
      <x:c r="C174" s="20" t="inlineStr">
        <x:is>
          <x:t xml:space="preserve">POLK</x:t>
        </x:is>
      </x:c>
      <x:c r="D174" s="20" t="inlineStr">
        <x:is>
          <x:t xml:space="preserve">0925</x:t>
        </x:is>
      </x:c>
      <x:c r="E174" s="20" t="inlineStr">
        <x:is>
          <x:t xml:space="preserve">DAVENPORT ELEMENTARY</x:t>
        </x:is>
      </x:c>
      <x:c r="F174" s="20" t="inlineStr">
        <x:is>
          <x:t xml:space="preserve">01</x:t>
        </x:is>
      </x:c>
      <x:c r="G174" s="20" t="inlineStr">
        <x:is>
          <x:t xml:space="preserve">Elementary</x:t>
        </x:is>
      </x:c>
      <x:c r="H174" s="20" t="inlineStr">
        <x:is>
          <x:t xml:space="preserve">NO</x:t>
        </x:is>
      </x:c>
      <x:c r="I174" s="20" t="inlineStr">
        <x:is>
          <x:t xml:space="preserve">YES</x:t>
        </x:is>
      </x:c>
      <x:c r="J174" s="20" t="inlineStr">
        <x:is>
          <x:t xml:space="preserve">N</x:t>
        </x:is>
      </x:c>
      <x:c r="K174" s="25" t="n">
        <x:v>46</x:v>
      </x:c>
      <x:c r="L174" s="25" t="n">
        <x:v>50</x:v>
      </x:c>
      <x:c r="M174" s="25" t="n">
        <x:v>44</x:v>
      </x:c>
      <x:c r="N174" s="25" t="n">
        <x:v>47</x:v>
      </x:c>
      <x:c r="O174" s="25" t="n">
        <x:v>48</x:v>
      </x:c>
      <x:c r="P174" s="25" t="n"/>
      <x:c r="Q174" s="25" t="n"/>
      <x:c r="R174" s="25" t="n"/>
      <x:c r="S174" s="20" t="n">
        <x:v>361</x:v>
      </x:c>
      <x:c r="T174" s="20" t="n">
        <x:v>8</x:v>
      </x:c>
      <x:c r="U174" s="25" t="n">
        <x:v>45</x:v>
      </x:c>
      <x:c r="V174" s="25" t="n">
        <x:v>100</x:v>
      </x:c>
      <x:c r="W174" s="20" t="inlineStr">
        <x:is>
          <x:t xml:space="preserve">C</x:t>
        </x:is>
      </x:c>
      <x:c r="X174" s="20" t="inlineStr">
        <x:is>
          <x:t xml:space="preserve">B</x:t>
        </x:is>
      </x:c>
      <x:c r="Y174" s="25" t="n">
        <x:v>100</x:v>
      </x:c>
      <x:c r="Z174" s="20" t="inlineStr">
        <x:is>
          <x:t xml:space="preserve">https://www.fldoe.org/file/18534/SchoolGrades25.xlsx</x:t>
        </x:is>
      </x:c>
    </x:row>
    <x:row r="175">
      <x:c r="A175" s="20" t="inlineStr">
        <x:is>
          <x:t xml:space="preserve">530931</x:t>
        </x:is>
      </x:c>
      <x:c r="B175" s="20" t="inlineStr">
        <x:is>
          <x:t xml:space="preserve">53</x:t>
        </x:is>
      </x:c>
      <x:c r="C175" s="20" t="inlineStr">
        <x:is>
          <x:t xml:space="preserve">POLK</x:t>
        </x:is>
      </x:c>
      <x:c r="D175" s="20" t="inlineStr">
        <x:is>
          <x:t xml:space="preserve">0931</x:t>
        </x:is>
      </x:c>
      <x:c r="E175" s="20" t="inlineStr">
        <x:is>
          <x:t xml:space="preserve">BARTOW MIDDLE SCHOOL</x:t>
        </x:is>
      </x:c>
      <x:c r="F175" s="20" t="inlineStr">
        <x:is>
          <x:t xml:space="preserve">02</x:t>
        </x:is>
      </x:c>
      <x:c r="G175" s="20" t="inlineStr">
        <x:is>
          <x:t xml:space="preserve">Middle/Junior</x:t>
        </x:is>
      </x:c>
      <x:c r="H175" s="20" t="inlineStr">
        <x:is>
          <x:t xml:space="preserve">NO</x:t>
        </x:is>
      </x:c>
      <x:c r="I175" s="20" t="inlineStr">
        <x:is>
          <x:t xml:space="preserve">YES</x:t>
        </x:is>
      </x:c>
      <x:c r="J175" s="20" t="inlineStr">
        <x:is>
          <x:t xml:space="preserve">N</x:t>
        </x:is>
      </x:c>
      <x:c r="K175" s="25" t="n">
        <x:v>44</x:v>
      </x:c>
      <x:c r="L175" s="25" t="n">
        <x:v>51</x:v>
      </x:c>
      <x:c r="M175" s="25" t="n">
        <x:v>45</x:v>
      </x:c>
      <x:c r="N175" s="25" t="n">
        <x:v>50</x:v>
      </x:c>
      <x:c r="O175" s="25" t="n">
        <x:v>28</x:v>
      </x:c>
      <x:c r="P175" s="25" t="n">
        <x:v>72</x:v>
      </x:c>
      <x:c r="Q175" s="25" t="n"/>
      <x:c r="R175" s="25" t="n"/>
      <x:c r="S175" s="20" t="n">
        <x:v>477</x:v>
      </x:c>
      <x:c r="T175" s="20" t="n">
        <x:v>9</x:v>
      </x:c>
      <x:c r="U175" s="25" t="n">
        <x:v>53</x:v>
      </x:c>
      <x:c r="V175" s="25" t="n">
        <x:v>99</x:v>
      </x:c>
      <x:c r="W175" s="20" t="inlineStr">
        <x:is>
          <x:t xml:space="preserve">C</x:t>
        </x:is>
      </x:c>
      <x:c r="X175" s="20" t="inlineStr">
        <x:is>
          <x:t xml:space="preserve">C</x:t>
        </x:is>
      </x:c>
      <x:c r="Y175" s="25" t="n">
        <x:v>94.5</x:v>
      </x:c>
      <x:c r="Z175" s="20" t="inlineStr">
        <x:is>
          <x:t xml:space="preserve">https://www.fldoe.org/file/18534/SchoolGrades25.xlsx</x:t>
        </x:is>
      </x:c>
    </x:row>
    <x:row r="176">
      <x:c r="A176" s="20" t="inlineStr">
        <x:is>
          <x:t xml:space="preserve">530933</x:t>
        </x:is>
      </x:c>
      <x:c r="B176" s="20" t="inlineStr">
        <x:is>
          <x:t xml:space="preserve">53</x:t>
        </x:is>
      </x:c>
      <x:c r="C176" s="20" t="inlineStr">
        <x:is>
          <x:t xml:space="preserve">POLK</x:t>
        </x:is>
      </x:c>
      <x:c r="D176" s="20" t="inlineStr">
        <x:is>
          <x:t xml:space="preserve">0933</x:t>
        </x:is>
      </x:c>
      <x:c r="E176" s="20" t="inlineStr">
        <x:is>
          <x:t xml:space="preserve">CHAIN OF LAKES ELEMENTARY SCHOOL</x:t>
        </x:is>
      </x:c>
      <x:c r="F176" s="20" t="inlineStr">
        <x:is>
          <x:t xml:space="preserve">01</x:t>
        </x:is>
      </x:c>
      <x:c r="G176" s="20" t="inlineStr">
        <x:is>
          <x:t xml:space="preserve">Elementary</x:t>
        </x:is>
      </x:c>
      <x:c r="H176" s="20" t="inlineStr">
        <x:is>
          <x:t xml:space="preserve">NO</x:t>
        </x:is>
      </x:c>
      <x:c r="I176" s="20" t="inlineStr">
        <x:is>
          <x:t xml:space="preserve">YES</x:t>
        </x:is>
      </x:c>
      <x:c r="J176" s="20" t="inlineStr">
        <x:is>
          <x:t xml:space="preserve">N</x:t>
        </x:is>
      </x:c>
      <x:c r="K176" s="25" t="n">
        <x:v>61</x:v>
      </x:c>
      <x:c r="L176" s="25" t="n">
        <x:v>64</x:v>
      </x:c>
      <x:c r="M176" s="25" t="n">
        <x:v>58</x:v>
      </x:c>
      <x:c r="N176" s="25" t="n">
        <x:v>40</x:v>
      </x:c>
      <x:c r="O176" s="25" t="n">
        <x:v>50</x:v>
      </x:c>
      <x:c r="P176" s="25" t="n"/>
      <x:c r="Q176" s="25" t="n"/>
      <x:c r="R176" s="25" t="n"/>
      <x:c r="S176" s="20" t="n">
        <x:v>417</x:v>
      </x:c>
      <x:c r="T176" s="20" t="n">
        <x:v>8</x:v>
      </x:c>
      <x:c r="U176" s="25" t="n">
        <x:v>52</x:v>
      </x:c>
      <x:c r="V176" s="25" t="n">
        <x:v>100</x:v>
      </x:c>
      <x:c r="W176" s="20" t="inlineStr">
        <x:is>
          <x:t xml:space="preserve">C</x:t>
        </x:is>
      </x:c>
      <x:c r="X176" s="20" t="inlineStr">
        <x:is>
          <x:t xml:space="preserve">A</x:t>
        </x:is>
      </x:c>
      <x:c r="Y176" s="25" t="n">
        <x:v>80.8</x:v>
      </x:c>
      <x:c r="Z176" s="20" t="inlineStr">
        <x:is>
          <x:t xml:space="preserve">https://www.fldoe.org/file/18534/SchoolGrades25.xlsx</x:t>
        </x:is>
      </x:c>
    </x:row>
    <x:row r="177">
      <x:c r="A177" s="20" t="inlineStr">
        <x:is>
          <x:t xml:space="preserve">530937</x:t>
        </x:is>
      </x:c>
      <x:c r="B177" s="20" t="inlineStr">
        <x:is>
          <x:t xml:space="preserve">53</x:t>
        </x:is>
      </x:c>
      <x:c r="C177" s="20" t="inlineStr">
        <x:is>
          <x:t xml:space="preserve">POLK</x:t>
        </x:is>
      </x:c>
      <x:c r="D177" s="20" t="inlineStr">
        <x:is>
          <x:t xml:space="preserve">0937</x:t>
        </x:is>
      </x:c>
      <x:c r="E177" s="20" t="inlineStr">
        <x:is>
          <x:t xml:space="preserve">RIDGE COMMUNITY HIGH SCHOOL</x:t>
        </x:is>
      </x:c>
      <x:c r="F177" s="20" t="inlineStr">
        <x:is>
          <x:t xml:space="preserve">03</x:t>
        </x:is>
      </x:c>
      <x:c r="G177" s="20" t="inlineStr">
        <x:is>
          <x:t xml:space="preserve">Senior High</x:t>
        </x:is>
      </x:c>
      <x:c r="H177" s="20" t="inlineStr">
        <x:is>
          <x:t xml:space="preserve">NO</x:t>
        </x:is>
      </x:c>
      <x:c r="I177" s="20" t="inlineStr">
        <x:is>
          <x:t xml:space="preserve">YES</x:t>
        </x:is>
      </x:c>
      <x:c r="J177" s="20" t="inlineStr">
        <x:is>
          <x:t xml:space="preserve">N</x:t>
        </x:is>
      </x:c>
      <x:c r="K177" s="25" t="n">
        <x:v>44</x:v>
      </x:c>
      <x:c r="L177" s="25" t="n">
        <x:v>54</x:v>
      </x:c>
      <x:c r="M177" s="25" t="n">
        <x:v>19</x:v>
      </x:c>
      <x:c r="N177" s="25" t="n">
        <x:v>27</x:v>
      </x:c>
      <x:c r="O177" s="25" t="n">
        <x:v>63</x:v>
      </x:c>
      <x:c r="P177" s="25" t="n">
        <x:v>67</x:v>
      </x:c>
      <x:c r="Q177" s="25" t="n">
        <x:v>88</x:v>
      </x:c>
      <x:c r="R177" s="25" t="n">
        <x:v>46</x:v>
      </x:c>
      <x:c r="S177" s="20" t="n">
        <x:v>509</x:v>
      </x:c>
      <x:c r="T177" s="20" t="n">
        <x:v>10</x:v>
      </x:c>
      <x:c r="U177" s="25" t="n">
        <x:v>51</x:v>
      </x:c>
      <x:c r="V177" s="25" t="n">
        <x:v>96</x:v>
      </x:c>
      <x:c r="W177" s="20" t="inlineStr">
        <x:is>
          <x:t xml:space="preserve">C</x:t>
        </x:is>
      </x:c>
      <x:c r="X177" s="20" t="inlineStr">
        <x:is>
          <x:t xml:space="preserve">C</x:t>
        </x:is>
      </x:c>
      <x:c r="Y177" s="25" t="n">
        <x:v>83.5</x:v>
      </x:c>
      <x:c r="Z177" s="20" t="inlineStr">
        <x:is>
          <x:t xml:space="preserve">https://www.fldoe.org/file/18534/SchoolGrades25.xlsx</x:t>
        </x:is>
      </x:c>
    </x:row>
    <x:row r="178">
      <x:c r="A178" s="20" t="inlineStr">
        <x:is>
          <x:t xml:space="preserve">530941</x:t>
        </x:is>
      </x:c>
      <x:c r="B178" s="20" t="inlineStr">
        <x:is>
          <x:t xml:space="preserve">53</x:t>
        </x:is>
      </x:c>
      <x:c r="C178" s="20" t="inlineStr">
        <x:is>
          <x:t xml:space="preserve">POLK</x:t>
        </x:is>
      </x:c>
      <x:c r="D178" s="20" t="inlineStr">
        <x:is>
          <x:t xml:space="preserve">0941</x:t>
        </x:is>
      </x:c>
      <x:c r="E178" s="20" t="inlineStr">
        <x:is>
          <x:t xml:space="preserve">BARTOW ELEMENTARY ACADEMY</x:t>
        </x:is>
      </x:c>
      <x:c r="F178" s="20" t="inlineStr">
        <x:is>
          <x:t xml:space="preserve">01</x:t>
        </x:is>
      </x:c>
      <x:c r="G178" s="20" t="inlineStr">
        <x:is>
          <x:t xml:space="preserve">Elementary</x:t>
        </x:is>
      </x:c>
      <x:c r="H178" s="20" t="inlineStr">
        <x:is>
          <x:t xml:space="preserve">NO</x:t>
        </x:is>
      </x:c>
      <x:c r="I178" s="20" t="inlineStr">
        <x:is>
          <x:t xml:space="preserve">YES</x:t>
        </x:is>
      </x:c>
      <x:c r="J178" s="20" t="inlineStr">
        <x:is>
          <x:t xml:space="preserve">N</x:t>
        </x:is>
      </x:c>
      <x:c r="K178" s="25" t="n">
        <x:v>70</x:v>
      </x:c>
      <x:c r="L178" s="25" t="n">
        <x:v>56</x:v>
      </x:c>
      <x:c r="M178" s="25" t="n">
        <x:v>67</x:v>
      </x:c>
      <x:c r="N178" s="25" t="n">
        <x:v>55</x:v>
      </x:c>
      <x:c r="O178" s="25" t="n">
        <x:v>58</x:v>
      </x:c>
      <x:c r="P178" s="25" t="n"/>
      <x:c r="Q178" s="25" t="n"/>
      <x:c r="R178" s="25" t="n"/>
      <x:c r="S178" s="20" t="n">
        <x:v>457</x:v>
      </x:c>
      <x:c r="T178" s="20" t="n">
        <x:v>8</x:v>
      </x:c>
      <x:c r="U178" s="25" t="n">
        <x:v>57</x:v>
      </x:c>
      <x:c r="V178" s="25" t="n">
        <x:v>100</x:v>
      </x:c>
      <x:c r="W178" s="20" t="inlineStr">
        <x:is>
          <x:t xml:space="preserve">B</x:t>
        </x:is>
      </x:c>
      <x:c r="X178" s="20" t="inlineStr">
        <x:is>
          <x:t xml:space="preserve">B</x:t>
        </x:is>
      </x:c>
      <x:c r="Y178" s="25" t="n">
        <x:v>70.7</x:v>
      </x:c>
      <x:c r="Z178" s="20" t="inlineStr">
        <x:is>
          <x:t xml:space="preserve">https://www.fldoe.org/file/18534/SchoolGrades25.xlsx</x:t>
        </x:is>
      </x:c>
    </x:row>
    <x:row r="179">
      <x:c r="A179" s="20" t="inlineStr">
        <x:is>
          <x:t xml:space="preserve">530961</x:t>
        </x:is>
      </x:c>
      <x:c r="B179" s="20" t="inlineStr">
        <x:is>
          <x:t xml:space="preserve">53</x:t>
        </x:is>
      </x:c>
      <x:c r="C179" s="20" t="inlineStr">
        <x:is>
          <x:t xml:space="preserve">POLK</x:t>
        </x:is>
      </x:c>
      <x:c r="D179" s="20" t="inlineStr">
        <x:is>
          <x:t xml:space="preserve">0961</x:t>
        </x:is>
      </x:c>
      <x:c r="E179" s="20" t="inlineStr">
        <x:is>
          <x:t xml:space="preserve">FLORAL AVENUE ELEMENTARY SCHOOL</x:t>
        </x:is>
      </x:c>
      <x:c r="F179" s="20" t="inlineStr">
        <x:is>
          <x:t xml:space="preserve">01</x:t>
        </x:is>
      </x:c>
      <x:c r="G179" s="20" t="inlineStr">
        <x:is>
          <x:t xml:space="preserve">Elementary</x:t>
        </x:is>
      </x:c>
      <x:c r="H179" s="20" t="inlineStr">
        <x:is>
          <x:t xml:space="preserve">NO</x:t>
        </x:is>
      </x:c>
      <x:c r="I179" s="20" t="inlineStr">
        <x:is>
          <x:t xml:space="preserve">YES</x:t>
        </x:is>
      </x:c>
      <x:c r="J179" s="20" t="inlineStr">
        <x:is>
          <x:t xml:space="preserve">N</x:t>
        </x:is>
      </x:c>
      <x:c r="K179" s="25" t="n">
        <x:v>44</x:v>
      </x:c>
      <x:c r="L179" s="25" t="n">
        <x:v>59</x:v>
      </x:c>
      <x:c r="M179" s="25" t="n">
        <x:v>47</x:v>
      </x:c>
      <x:c r="N179" s="25" t="n">
        <x:v>58</x:v>
      </x:c>
      <x:c r="O179" s="25" t="n">
        <x:v>49</x:v>
      </x:c>
      <x:c r="P179" s="25" t="n"/>
      <x:c r="Q179" s="25" t="n"/>
      <x:c r="R179" s="25" t="n"/>
      <x:c r="S179" s="20" t="n">
        <x:v>393</x:v>
      </x:c>
      <x:c r="T179" s="20" t="n">
        <x:v>8</x:v>
      </x:c>
      <x:c r="U179" s="25" t="n">
        <x:v>49</x:v>
      </x:c>
      <x:c r="V179" s="25" t="n">
        <x:v>98</x:v>
      </x:c>
      <x:c r="W179" s="20" t="inlineStr">
        <x:is>
          <x:t xml:space="preserve">C</x:t>
        </x:is>
      </x:c>
      <x:c r="X179" s="20" t="inlineStr">
        <x:is>
          <x:t xml:space="preserve">C</x:t>
        </x:is>
      </x:c>
      <x:c r="Y179" s="25" t="n">
        <x:v>100</x:v>
      </x:c>
      <x:c r="Z179" s="20" t="inlineStr">
        <x:is>
          <x:t xml:space="preserve">https://www.fldoe.org/file/18534/SchoolGrades25.xlsx</x:t>
        </x:is>
      </x:c>
    </x:row>
    <x:row r="180">
      <x:c r="A180" s="20" t="inlineStr">
        <x:is>
          <x:t xml:space="preserve">530971</x:t>
        </x:is>
      </x:c>
      <x:c r="B180" s="20" t="inlineStr">
        <x:is>
          <x:t xml:space="preserve">53</x:t>
        </x:is>
      </x:c>
      <x:c r="C180" s="20" t="inlineStr">
        <x:is>
          <x:t xml:space="preserve">POLK</x:t>
        </x:is>
      </x:c>
      <x:c r="D180" s="20" t="inlineStr">
        <x:is>
          <x:t xml:space="preserve">0971</x:t>
        </x:is>
      </x:c>
      <x:c r="E180" s="20" t="inlineStr">
        <x:is>
          <x:t xml:space="preserve">UNION ACADEMY</x:t>
        </x:is>
      </x:c>
      <x:c r="F180" s="20" t="inlineStr">
        <x:is>
          <x:t xml:space="preserve">02</x:t>
        </x:is>
      </x:c>
      <x:c r="G180" s="20" t="inlineStr">
        <x:is>
          <x:t xml:space="preserve">Middle/Junior</x:t>
        </x:is>
      </x:c>
      <x:c r="H180" s="20" t="inlineStr">
        <x:is>
          <x:t xml:space="preserve">NO</x:t>
        </x:is>
      </x:c>
      <x:c r="I180" s="20" t="inlineStr">
        <x:is>
          <x:t xml:space="preserve">NO</x:t>
        </x:is>
      </x:c>
      <x:c r="J180" s="20" t="inlineStr">
        <x:is>
          <x:t xml:space="preserve">N</x:t>
        </x:is>
      </x:c>
      <x:c r="K180" s="25" t="n">
        <x:v>74</x:v>
      </x:c>
      <x:c r="L180" s="25" t="n">
        <x:v>70</x:v>
      </x:c>
      <x:c r="M180" s="25" t="n">
        <x:v>67</x:v>
      </x:c>
      <x:c r="N180" s="25" t="n">
        <x:v>51</x:v>
      </x:c>
      <x:c r="O180" s="25" t="n">
        <x:v>81</x:v>
      </x:c>
      <x:c r="P180" s="25" t="n">
        <x:v>96</x:v>
      </x:c>
      <x:c r="Q180" s="25" t="n"/>
      <x:c r="R180" s="25" t="n"/>
      <x:c r="S180" s="20" t="n">
        <x:v>651</x:v>
      </x:c>
      <x:c r="T180" s="20" t="n">
        <x:v>9</x:v>
      </x:c>
      <x:c r="U180" s="25" t="n">
        <x:v>72</x:v>
      </x:c>
      <x:c r="V180" s="25" t="n">
        <x:v>100</x:v>
      </x:c>
      <x:c r="W180" s="20" t="inlineStr">
        <x:is>
          <x:t xml:space="preserve">A</x:t>
        </x:is>
      </x:c>
      <x:c r="X180" s="20" t="inlineStr">
        <x:is>
          <x:t xml:space="preserve">A</x:t>
        </x:is>
      </x:c>
      <x:c r="Y180" s="25" t="n">
        <x:v>66.59999999999999</x:v>
      </x:c>
      <x:c r="Z180" s="20" t="inlineStr">
        <x:is>
          <x:t xml:space="preserve">https://www.fldoe.org/file/18534/SchoolGrades25.xlsx</x:t>
        </x:is>
      </x:c>
    </x:row>
    <x:row r="181">
      <x:c r="A181" s="20" t="inlineStr">
        <x:is>
          <x:t xml:space="preserve">531032</x:t>
        </x:is>
      </x:c>
      <x:c r="B181" s="20" t="inlineStr">
        <x:is>
          <x:t xml:space="preserve">53</x:t>
        </x:is>
      </x:c>
      <x:c r="C181" s="20" t="inlineStr">
        <x:is>
          <x:t xml:space="preserve">POLK</x:t>
        </x:is>
      </x:c>
      <x:c r="D181" s="20" t="inlineStr">
        <x:is>
          <x:t xml:space="preserve">1032</x:t>
        </x:is>
      </x:c>
      <x:c r="E181" s="20" t="inlineStr">
        <x:is>
          <x:t xml:space="preserve">CITRUS RIDGE A CIVICS ACADEMY</x:t>
        </x:is>
      </x:c>
      <x:c r="F181" s="20" t="inlineStr">
        <x:is>
          <x:t xml:space="preserve">04</x:t>
        </x:is>
      </x:c>
      <x:c r="G181" s="20" t="inlineStr">
        <x:is>
          <x:t xml:space="preserve">Combination</x:t>
        </x:is>
      </x:c>
      <x:c r="H181" s="20" t="inlineStr">
        <x:is>
          <x:t xml:space="preserve">NO</x:t>
        </x:is>
      </x:c>
      <x:c r="I181" s="20" t="inlineStr">
        <x:is>
          <x:t xml:space="preserve">YES</x:t>
        </x:is>
      </x:c>
      <x:c r="J181" s="20" t="inlineStr">
        <x:is>
          <x:t xml:space="preserve">N</x:t>
        </x:is>
      </x:c>
      <x:c r="K181" s="25" t="n">
        <x:v>46</x:v>
      </x:c>
      <x:c r="L181" s="25" t="n">
        <x:v>52</x:v>
      </x:c>
      <x:c r="M181" s="25" t="n">
        <x:v>48</x:v>
      </x:c>
      <x:c r="N181" s="25" t="n">
        <x:v>59</x:v>
      </x:c>
      <x:c r="O181" s="25" t="n">
        <x:v>33</x:v>
      </x:c>
      <x:c r="P181" s="25" t="n">
        <x:v>76</x:v>
      </x:c>
      <x:c r="Q181" s="25" t="n"/>
      <x:c r="R181" s="25" t="n"/>
      <x:c r="S181" s="20" t="n">
        <x:v>553</x:v>
      </x:c>
      <x:c r="T181" s="20" t="n">
        <x:v>10</x:v>
      </x:c>
      <x:c r="U181" s="25" t="n">
        <x:v>55</x:v>
      </x:c>
      <x:c r="V181" s="25" t="n">
        <x:v>99</x:v>
      </x:c>
      <x:c r="W181" s="20" t="inlineStr">
        <x:is>
          <x:t xml:space="preserve">C</x:t>
        </x:is>
      </x:c>
      <x:c r="X181" s="20" t="inlineStr">
        <x:is>
          <x:t xml:space="preserve">C</x:t>
        </x:is>
      </x:c>
      <x:c r="Y181" s="25" t="n">
        <x:v>79.09999999999999</x:v>
      </x:c>
      <x:c r="Z181" s="20" t="inlineStr">
        <x:is>
          <x:t xml:space="preserve">https://www.fldoe.org/file/18534/SchoolGrades25.xlsx</x:t>
        </x:is>
      </x:c>
    </x:row>
    <x:row r="182">
      <x:c r="A182" s="20" t="inlineStr">
        <x:is>
          <x:t xml:space="preserve">531041</x:t>
        </x:is>
      </x:c>
      <x:c r="B182" s="20" t="inlineStr">
        <x:is>
          <x:t xml:space="preserve">53</x:t>
        </x:is>
      </x:c>
      <x:c r="C182" s="20" t="inlineStr">
        <x:is>
          <x:t xml:space="preserve">POLK</x:t>
        </x:is>
      </x:c>
      <x:c r="D182" s="20" t="inlineStr">
        <x:is>
          <x:t xml:space="preserve">1041</x:t>
        </x:is>
      </x:c>
      <x:c r="E182" s="20" t="inlineStr">
        <x:is>
          <x:t xml:space="preserve">ALTURAS ELEMENTARY SCHOOL</x:t>
        </x:is>
      </x:c>
      <x:c r="F182" s="20" t="inlineStr">
        <x:is>
          <x:t xml:space="preserve">01</x:t>
        </x:is>
      </x:c>
      <x:c r="G182" s="20" t="inlineStr">
        <x:is>
          <x:t xml:space="preserve">Elementary</x:t>
        </x:is>
      </x:c>
      <x:c r="H182" s="20" t="inlineStr">
        <x:is>
          <x:t xml:space="preserve">NO</x:t>
        </x:is>
      </x:c>
      <x:c r="I182" s="20" t="inlineStr">
        <x:is>
          <x:t xml:space="preserve">YES</x:t>
        </x:is>
      </x:c>
      <x:c r="J182" s="20" t="inlineStr">
        <x:is>
          <x:t xml:space="preserve">N</x:t>
        </x:is>
      </x:c>
      <x:c r="K182" s="25" t="n">
        <x:v>58</x:v>
      </x:c>
      <x:c r="L182" s="25" t="n">
        <x:v>53</x:v>
      </x:c>
      <x:c r="M182" s="25" t="n">
        <x:v>63</x:v>
      </x:c>
      <x:c r="N182" s="25" t="n">
        <x:v>69</x:v>
      </x:c>
      <x:c r="O182" s="25" t="n">
        <x:v>70</x:v>
      </x:c>
      <x:c r="P182" s="25" t="n"/>
      <x:c r="Q182" s="25" t="n"/>
      <x:c r="R182" s="25" t="n"/>
      <x:c r="S182" s="20" t="n">
        <x:v>458</x:v>
      </x:c>
      <x:c r="T182" s="20" t="n">
        <x:v>8</x:v>
      </x:c>
      <x:c r="U182" s="25" t="n">
        <x:v>57</x:v>
      </x:c>
      <x:c r="V182" s="25" t="n">
        <x:v>100</x:v>
      </x:c>
      <x:c r="W182" s="20" t="inlineStr">
        <x:is>
          <x:t xml:space="preserve">B</x:t>
        </x:is>
      </x:c>
      <x:c r="X182" s="20" t="inlineStr">
        <x:is>
          <x:t xml:space="preserve">A</x:t>
        </x:is>
      </x:c>
      <x:c r="Y182" s="25" t="n">
        <x:v>100</x:v>
      </x:c>
      <x:c r="Z182" s="20" t="inlineStr">
        <x:is>
          <x:t xml:space="preserve">https://www.fldoe.org/file/18534/SchoolGrades25.xlsx</x:t>
        </x:is>
      </x:c>
    </x:row>
    <x:row r="183">
      <x:c r="A183" s="20" t="inlineStr">
        <x:is>
          <x:t xml:space="preserve">531051</x:t>
        </x:is>
      </x:c>
      <x:c r="B183" s="20" t="inlineStr">
        <x:is>
          <x:t xml:space="preserve">53</x:t>
        </x:is>
      </x:c>
      <x:c r="C183" s="20" t="inlineStr">
        <x:is>
          <x:t xml:space="preserve">POLK</x:t>
        </x:is>
      </x:c>
      <x:c r="D183" s="20" t="inlineStr">
        <x:is>
          <x:t xml:space="preserve">1051</x:t>
        </x:is>
      </x:c>
      <x:c r="E183" s="20" t="inlineStr">
        <x:is>
          <x:t xml:space="preserve">TENOROC HIGH SCHOOL</x:t>
        </x:is>
      </x:c>
      <x:c r="F183" s="20" t="inlineStr">
        <x:is>
          <x:t xml:space="preserve">03</x:t>
        </x:is>
      </x:c>
      <x:c r="G183" s="20" t="inlineStr">
        <x:is>
          <x:t xml:space="preserve">Senior High</x:t>
        </x:is>
      </x:c>
      <x:c r="H183" s="20" t="inlineStr">
        <x:is>
          <x:t xml:space="preserve">NO</x:t>
        </x:is>
      </x:c>
      <x:c r="I183" s="20" t="inlineStr">
        <x:is>
          <x:t xml:space="preserve">YES</x:t>
        </x:is>
      </x:c>
      <x:c r="J183" s="20" t="inlineStr">
        <x:is>
          <x:t xml:space="preserve">N</x:t>
        </x:is>
      </x:c>
      <x:c r="K183" s="25" t="n">
        <x:v>41</x:v>
      </x:c>
      <x:c r="L183" s="25" t="n">
        <x:v>49</x:v>
      </x:c>
      <x:c r="M183" s="25" t="n">
        <x:v>16</x:v>
      </x:c>
      <x:c r="N183" s="25" t="n">
        <x:v>29</x:v>
      </x:c>
      <x:c r="O183" s="25" t="n">
        <x:v>51</x:v>
      </x:c>
      <x:c r="P183" s="25" t="n">
        <x:v>70</x:v>
      </x:c>
      <x:c r="Q183" s="25" t="n">
        <x:v>78</x:v>
      </x:c>
      <x:c r="R183" s="25" t="n">
        <x:v>40</x:v>
      </x:c>
      <x:c r="S183" s="20" t="n">
        <x:v>470</x:v>
      </x:c>
      <x:c r="T183" s="20" t="n">
        <x:v>10</x:v>
      </x:c>
      <x:c r="U183" s="25" t="n">
        <x:v>47</x:v>
      </x:c>
      <x:c r="V183" s="25" t="n">
        <x:v>98</x:v>
      </x:c>
      <x:c r="W183" s="20" t="inlineStr">
        <x:is>
          <x:t xml:space="preserve">C</x:t>
        </x:is>
      </x:c>
      <x:c r="X183" s="20" t="inlineStr">
        <x:is>
          <x:t xml:space="preserve">C</x:t>
        </x:is>
      </x:c>
      <x:c r="Y183" s="25" t="n">
        <x:v>99.8</x:v>
      </x:c>
      <x:c r="Z183" s="20" t="inlineStr">
        <x:is>
          <x:t xml:space="preserve">https://www.fldoe.org/file/18534/SchoolGrades25.xlsx</x:t>
        </x:is>
      </x:c>
    </x:row>
    <x:row r="184">
      <x:c r="A184" s="20" t="inlineStr">
        <x:is>
          <x:t xml:space="preserve">531061</x:t>
        </x:is>
      </x:c>
      <x:c r="B184" s="20" t="inlineStr">
        <x:is>
          <x:t xml:space="preserve">53</x:t>
        </x:is>
      </x:c>
      <x:c r="C184" s="20" t="inlineStr">
        <x:is>
          <x:t xml:space="preserve">POLK</x:t>
        </x:is>
      </x:c>
      <x:c r="D184" s="20" t="inlineStr">
        <x:is>
          <x:t xml:space="preserve">1061</x:t>
        </x:is>
      </x:c>
      <x:c r="E184" s="20" t="inlineStr">
        <x:is>
          <x:t xml:space="preserve">HIGHLAND CITY ELEMENTARY SCHOOL</x:t>
        </x:is>
      </x:c>
      <x:c r="F184" s="20" t="inlineStr">
        <x:is>
          <x:t xml:space="preserve">01</x:t>
        </x:is>
      </x:c>
      <x:c r="G184" s="20" t="inlineStr">
        <x:is>
          <x:t xml:space="preserve">Elementary</x:t>
        </x:is>
      </x:c>
      <x:c r="H184" s="20" t="inlineStr">
        <x:is>
          <x:t xml:space="preserve">NO</x:t>
        </x:is>
      </x:c>
      <x:c r="I184" s="20" t="inlineStr">
        <x:is>
          <x:t xml:space="preserve">YES</x:t>
        </x:is>
      </x:c>
      <x:c r="J184" s="20" t="inlineStr">
        <x:is>
          <x:t xml:space="preserve">N</x:t>
        </x:is>
      </x:c>
      <x:c r="K184" s="25" t="n">
        <x:v>55</x:v>
      </x:c>
      <x:c r="L184" s="25" t="n">
        <x:v>47</x:v>
      </x:c>
      <x:c r="M184" s="25" t="n">
        <x:v>69</x:v>
      </x:c>
      <x:c r="N184" s="25" t="n">
        <x:v>68</x:v>
      </x:c>
      <x:c r="O184" s="25" t="n">
        <x:v>46</x:v>
      </x:c>
      <x:c r="P184" s="25" t="n"/>
      <x:c r="Q184" s="25" t="n"/>
      <x:c r="R184" s="25" t="n"/>
      <x:c r="S184" s="20" t="n">
        <x:v>425</x:v>
      </x:c>
      <x:c r="T184" s="20" t="n">
        <x:v>8</x:v>
      </x:c>
      <x:c r="U184" s="25" t="n">
        <x:v>53</x:v>
      </x:c>
      <x:c r="V184" s="25" t="n">
        <x:v>100</x:v>
      </x:c>
      <x:c r="W184" s="20" t="inlineStr">
        <x:is>
          <x:t xml:space="preserve">C</x:t>
        </x:is>
      </x:c>
      <x:c r="X184" s="20" t="inlineStr">
        <x:is>
          <x:t xml:space="preserve">B</x:t>
        </x:is>
      </x:c>
      <x:c r="Y184" s="25" t="n">
        <x:v>91.8</x:v>
      </x:c>
      <x:c r="Z184" s="20" t="inlineStr">
        <x:is>
          <x:t xml:space="preserve">https://www.fldoe.org/file/18534/SchoolGrades25.xlsx</x:t>
        </x:is>
      </x:c>
    </x:row>
    <x:row r="185">
      <x:c r="A185" s="20" t="inlineStr">
        <x:is>
          <x:t xml:space="preserve">531131</x:t>
        </x:is>
      </x:c>
      <x:c r="B185" s="20" t="inlineStr">
        <x:is>
          <x:t xml:space="preserve">53</x:t>
        </x:is>
      </x:c>
      <x:c r="C185" s="20" t="inlineStr">
        <x:is>
          <x:t xml:space="preserve">POLK</x:t>
        </x:is>
      </x:c>
      <x:c r="D185" s="20" t="inlineStr">
        <x:is>
          <x:t xml:space="preserve">1131</x:t>
        </x:is>
      </x:c>
      <x:c r="E185" s="20" t="inlineStr">
        <x:is>
          <x:t xml:space="preserve">MULBERRY SENIOR HIGH SCHOOL</x:t>
        </x:is>
      </x:c>
      <x:c r="F185" s="20" t="inlineStr">
        <x:is>
          <x:t xml:space="preserve">03</x:t>
        </x:is>
      </x:c>
      <x:c r="G185" s="20" t="inlineStr">
        <x:is>
          <x:t xml:space="preserve">Senior High</x:t>
        </x:is>
      </x:c>
      <x:c r="H185" s="20" t="inlineStr">
        <x:is>
          <x:t xml:space="preserve">NO</x:t>
        </x:is>
      </x:c>
      <x:c r="I185" s="20" t="inlineStr">
        <x:is>
          <x:t xml:space="preserve">YES</x:t>
        </x:is>
      </x:c>
      <x:c r="J185" s="20" t="inlineStr">
        <x:is>
          <x:t xml:space="preserve">N</x:t>
        </x:is>
      </x:c>
      <x:c r="K185" s="25" t="n">
        <x:v>46</x:v>
      </x:c>
      <x:c r="L185" s="25" t="n">
        <x:v>53</x:v>
      </x:c>
      <x:c r="M185" s="25" t="n">
        <x:v>21</x:v>
      </x:c>
      <x:c r="N185" s="25" t="n">
        <x:v>30</x:v>
      </x:c>
      <x:c r="O185" s="25" t="n">
        <x:v>63</x:v>
      </x:c>
      <x:c r="P185" s="25" t="n">
        <x:v>69</x:v>
      </x:c>
      <x:c r="Q185" s="25" t="n">
        <x:v>91</x:v>
      </x:c>
      <x:c r="R185" s="25" t="n">
        <x:v>77</x:v>
      </x:c>
      <x:c r="S185" s="20" t="n">
        <x:v>552</x:v>
      </x:c>
      <x:c r="T185" s="20" t="n">
        <x:v>10</x:v>
      </x:c>
      <x:c r="U185" s="25" t="n">
        <x:v>55</x:v>
      </x:c>
      <x:c r="V185" s="25" t="n">
        <x:v>96</x:v>
      </x:c>
      <x:c r="W185" s="20" t="inlineStr">
        <x:is>
          <x:t xml:space="preserve">C</x:t>
        </x:is>
      </x:c>
      <x:c r="X185" s="20" t="inlineStr">
        <x:is>
          <x:t xml:space="preserve">C</x:t>
        </x:is>
      </x:c>
      <x:c r="Y185" s="25" t="n">
        <x:v>100</x:v>
      </x:c>
      <x:c r="Z185" s="20" t="inlineStr">
        <x:is>
          <x:t xml:space="preserve">https://www.fldoe.org/file/18534/SchoolGrades25.xlsx</x:t>
        </x:is>
      </x:c>
    </x:row>
    <x:row r="186">
      <x:c r="A186" s="20" t="inlineStr">
        <x:is>
          <x:t xml:space="preserve">531141</x:t>
        </x:is>
      </x:c>
      <x:c r="B186" s="20" t="inlineStr">
        <x:is>
          <x:t xml:space="preserve">53</x:t>
        </x:is>
      </x:c>
      <x:c r="C186" s="20" t="inlineStr">
        <x:is>
          <x:t xml:space="preserve">POLK</x:t>
        </x:is>
      </x:c>
      <x:c r="D186" s="20" t="inlineStr">
        <x:is>
          <x:t xml:space="preserve">1141</x:t>
        </x:is>
      </x:c>
      <x:c r="E186" s="20" t="inlineStr">
        <x:is>
          <x:t xml:space="preserve">PURCELL ELEMENTARY SCHOOL</x:t>
        </x:is>
      </x:c>
      <x:c r="F186" s="20" t="inlineStr">
        <x:is>
          <x:t xml:space="preserve">01</x:t>
        </x:is>
      </x:c>
      <x:c r="G186" s="20" t="inlineStr">
        <x:is>
          <x:t xml:space="preserve">Elementary</x:t>
        </x:is>
      </x:c>
      <x:c r="H186" s="20" t="inlineStr">
        <x:is>
          <x:t xml:space="preserve">NO</x:t>
        </x:is>
      </x:c>
      <x:c r="I186" s="20" t="inlineStr">
        <x:is>
          <x:t xml:space="preserve">YES</x:t>
        </x:is>
      </x:c>
      <x:c r="J186" s="20" t="inlineStr">
        <x:is>
          <x:t xml:space="preserve">N</x:t>
        </x:is>
      </x:c>
      <x:c r="K186" s="25" t="n">
        <x:v>41</x:v>
      </x:c>
      <x:c r="L186" s="25" t="n">
        <x:v>57</x:v>
      </x:c>
      <x:c r="M186" s="25" t="n">
        <x:v>39</x:v>
      </x:c>
      <x:c r="N186" s="25" t="n">
        <x:v>54</x:v>
      </x:c>
      <x:c r="O186" s="25" t="n">
        <x:v>35</x:v>
      </x:c>
      <x:c r="P186" s="25" t="n"/>
      <x:c r="Q186" s="25" t="n"/>
      <x:c r="R186" s="25" t="n"/>
      <x:c r="S186" s="20" t="n">
        <x:v>358</x:v>
      </x:c>
      <x:c r="T186" s="20" t="n">
        <x:v>8</x:v>
      </x:c>
      <x:c r="U186" s="25" t="n">
        <x:v>45</x:v>
      </x:c>
      <x:c r="V186" s="25" t="n">
        <x:v>100</x:v>
      </x:c>
      <x:c r="W186" s="20" t="inlineStr">
        <x:is>
          <x:t xml:space="preserve">C</x:t>
        </x:is>
      </x:c>
      <x:c r="X186" s="20" t="inlineStr">
        <x:is>
          <x:t xml:space="preserve">C</x:t>
        </x:is>
      </x:c>
      <x:c r="Y186" s="25" t="n">
        <x:v>100</x:v>
      </x:c>
      <x:c r="Z186" s="20" t="inlineStr">
        <x:is>
          <x:t xml:space="preserve">https://www.fldoe.org/file/18534/SchoolGrades25.xlsx</x:t>
        </x:is>
      </x:c>
    </x:row>
    <x:row r="187">
      <x:c r="A187" s="20" t="inlineStr">
        <x:is>
          <x:t xml:space="preserve">531161</x:t>
        </x:is>
      </x:c>
      <x:c r="B187" s="20" t="inlineStr">
        <x:is>
          <x:t xml:space="preserve">53</x:t>
        </x:is>
      </x:c>
      <x:c r="C187" s="20" t="inlineStr">
        <x:is>
          <x:t xml:space="preserve">POLK</x:t>
        </x:is>
      </x:c>
      <x:c r="D187" s="20" t="inlineStr">
        <x:is>
          <x:t xml:space="preserve">1161</x:t>
        </x:is>
      </x:c>
      <x:c r="E187" s="20" t="inlineStr">
        <x:is>
          <x:t xml:space="preserve">MULBERRY MIDDLE SCHOOL</x:t>
        </x:is>
      </x:c>
      <x:c r="F187" s="20" t="inlineStr">
        <x:is>
          <x:t xml:space="preserve">02</x:t>
        </x:is>
      </x:c>
      <x:c r="G187" s="20" t="inlineStr">
        <x:is>
          <x:t xml:space="preserve">Middle/Junior</x:t>
        </x:is>
      </x:c>
      <x:c r="H187" s="20" t="inlineStr">
        <x:is>
          <x:t xml:space="preserve">NO</x:t>
        </x:is>
      </x:c>
      <x:c r="I187" s="20" t="inlineStr">
        <x:is>
          <x:t xml:space="preserve">YES</x:t>
        </x:is>
      </x:c>
      <x:c r="J187" s="20" t="inlineStr">
        <x:is>
          <x:t xml:space="preserve">N</x:t>
        </x:is>
      </x:c>
      <x:c r="K187" s="25" t="n">
        <x:v>46</x:v>
      </x:c>
      <x:c r="L187" s="25" t="n">
        <x:v>57</x:v>
      </x:c>
      <x:c r="M187" s="25" t="n">
        <x:v>46</x:v>
      </x:c>
      <x:c r="N187" s="25" t="n">
        <x:v>51</x:v>
      </x:c>
      <x:c r="O187" s="25" t="n">
        <x:v>39</x:v>
      </x:c>
      <x:c r="P187" s="25" t="n">
        <x:v>75</x:v>
      </x:c>
      <x:c r="Q187" s="25" t="n"/>
      <x:c r="R187" s="25" t="n"/>
      <x:c r="S187" s="20" t="n">
        <x:v>490</x:v>
      </x:c>
      <x:c r="T187" s="20" t="n">
        <x:v>9</x:v>
      </x:c>
      <x:c r="U187" s="25" t="n">
        <x:v>54</x:v>
      </x:c>
      <x:c r="V187" s="25" t="n">
        <x:v>98</x:v>
      </x:c>
      <x:c r="W187" s="20" t="inlineStr">
        <x:is>
          <x:t xml:space="preserve">C</x:t>
        </x:is>
      </x:c>
      <x:c r="X187" s="20" t="inlineStr">
        <x:is>
          <x:t xml:space="preserve">C</x:t>
        </x:is>
      </x:c>
      <x:c r="Y187" s="25" t="n">
        <x:v>100</x:v>
      </x:c>
      <x:c r="Z187" s="20" t="inlineStr">
        <x:is>
          <x:t xml:space="preserve">https://www.fldoe.org/file/18534/SchoolGrades25.xlsx</x:t>
        </x:is>
      </x:c>
    </x:row>
    <x:row r="188">
      <x:c r="A188" s="20" t="inlineStr">
        <x:is>
          <x:t xml:space="preserve">531181</x:t>
        </x:is>
      </x:c>
      <x:c r="B188" s="20" t="inlineStr">
        <x:is>
          <x:t xml:space="preserve">53</x:t>
        </x:is>
      </x:c>
      <x:c r="C188" s="20" t="inlineStr">
        <x:is>
          <x:t xml:space="preserve">POLK</x:t>
        </x:is>
      </x:c>
      <x:c r="D188" s="20" t="inlineStr">
        <x:is>
          <x:t xml:space="preserve">1181</x:t>
        </x:is>
      </x:c>
      <x:c r="E188" s="20" t="inlineStr">
        <x:is>
          <x:t xml:space="preserve">KATHLEEN SENIOR HIGH SCHOOL</x:t>
        </x:is>
      </x:c>
      <x:c r="F188" s="20" t="inlineStr">
        <x:is>
          <x:t xml:space="preserve">03</x:t>
        </x:is>
      </x:c>
      <x:c r="G188" s="20" t="inlineStr">
        <x:is>
          <x:t xml:space="preserve">Senior High</x:t>
        </x:is>
      </x:c>
      <x:c r="H188" s="20" t="inlineStr">
        <x:is>
          <x:t xml:space="preserve">NO</x:t>
        </x:is>
      </x:c>
      <x:c r="I188" s="20" t="inlineStr">
        <x:is>
          <x:t xml:space="preserve">YES</x:t>
        </x:is>
      </x:c>
      <x:c r="J188" s="20" t="inlineStr">
        <x:is>
          <x:t xml:space="preserve">N</x:t>
        </x:is>
      </x:c>
      <x:c r="K188" s="25" t="n">
        <x:v>46</x:v>
      </x:c>
      <x:c r="L188" s="25" t="n">
        <x:v>56</x:v>
      </x:c>
      <x:c r="M188" s="25" t="n">
        <x:v>24</x:v>
      </x:c>
      <x:c r="N188" s="25" t="n">
        <x:v>40</x:v>
      </x:c>
      <x:c r="O188" s="25" t="n">
        <x:v>61</x:v>
      </x:c>
      <x:c r="P188" s="25" t="n">
        <x:v>65</x:v>
      </x:c>
      <x:c r="Q188" s="25" t="n">
        <x:v>79</x:v>
      </x:c>
      <x:c r="R188" s="25" t="n">
        <x:v>48</x:v>
      </x:c>
      <x:c r="S188" s="20" t="n">
        <x:v>531</x:v>
      </x:c>
      <x:c r="T188" s="20" t="n">
        <x:v>10</x:v>
      </x:c>
      <x:c r="U188" s="25" t="n">
        <x:v>53</x:v>
      </x:c>
      <x:c r="V188" s="25" t="n">
        <x:v>97</x:v>
      </x:c>
      <x:c r="W188" s="20" t="inlineStr">
        <x:is>
          <x:t xml:space="preserve">C</x:t>
        </x:is>
      </x:c>
      <x:c r="X188" s="20" t="inlineStr">
        <x:is>
          <x:t xml:space="preserve">D</x:t>
        </x:is>
      </x:c>
      <x:c r="Y188" s="25" t="n">
        <x:v>98.3</x:v>
      </x:c>
      <x:c r="Z188" s="20" t="inlineStr">
        <x:is>
          <x:t xml:space="preserve">https://www.fldoe.org/file/18534/SchoolGrades25.xlsx</x:t>
        </x:is>
      </x:c>
    </x:row>
    <x:row r="189">
      <x:c r="A189" s="20" t="inlineStr">
        <x:is>
          <x:t xml:space="preserve">531191</x:t>
        </x:is>
      </x:c>
      <x:c r="B189" s="20" t="inlineStr">
        <x:is>
          <x:t xml:space="preserve">53</x:t>
        </x:is>
      </x:c>
      <x:c r="C189" s="20" t="inlineStr">
        <x:is>
          <x:t xml:space="preserve">POLK</x:t>
        </x:is>
      </x:c>
      <x:c r="D189" s="20" t="inlineStr">
        <x:is>
          <x:t xml:space="preserve">1191</x:t>
        </x:is>
      </x:c>
      <x:c r="E189" s="20" t="inlineStr">
        <x:is>
          <x:t xml:space="preserve">KATHLEEN MIDDLE SCHOOL</x:t>
        </x:is>
      </x:c>
      <x:c r="F189" s="20" t="inlineStr">
        <x:is>
          <x:t xml:space="preserve">02</x:t>
        </x:is>
      </x:c>
      <x:c r="G189" s="20" t="inlineStr">
        <x:is>
          <x:t xml:space="preserve">Middle/Junior</x:t>
        </x:is>
      </x:c>
      <x:c r="H189" s="20" t="inlineStr">
        <x:is>
          <x:t xml:space="preserve">NO</x:t>
        </x:is>
      </x:c>
      <x:c r="I189" s="20" t="inlineStr">
        <x:is>
          <x:t xml:space="preserve">YES</x:t>
        </x:is>
      </x:c>
      <x:c r="J189" s="20" t="inlineStr">
        <x:is>
          <x:t xml:space="preserve">N</x:t>
        </x:is>
      </x:c>
      <x:c r="K189" s="25" t="n">
        <x:v>31</x:v>
      </x:c>
      <x:c r="L189" s="25" t="n">
        <x:v>43</x:v>
      </x:c>
      <x:c r="M189" s="25" t="n">
        <x:v>35</x:v>
      </x:c>
      <x:c r="N189" s="25" t="n">
        <x:v>38</x:v>
      </x:c>
      <x:c r="O189" s="25" t="n">
        <x:v>27</x:v>
      </x:c>
      <x:c r="P189" s="25" t="n">
        <x:v>50</x:v>
      </x:c>
      <x:c r="Q189" s="25" t="n"/>
      <x:c r="R189" s="25" t="n"/>
      <x:c r="S189" s="20" t="n">
        <x:v>385</x:v>
      </x:c>
      <x:c r="T189" s="20" t="n">
        <x:v>9</x:v>
      </x:c>
      <x:c r="U189" s="25" t="n">
        <x:v>43</x:v>
      </x:c>
      <x:c r="V189" s="25" t="n">
        <x:v>98</x:v>
      </x:c>
      <x:c r="W189" s="20" t="inlineStr">
        <x:is>
          <x:t xml:space="preserve">D</x:t>
        </x:is>
      </x:c>
      <x:c r="X189" s="20" t="inlineStr">
        <x:is>
          <x:t xml:space="preserve">C</x:t>
        </x:is>
      </x:c>
      <x:c r="Y189" s="25" t="n">
        <x:v>100</x:v>
      </x:c>
      <x:c r="Z189" s="20" t="inlineStr">
        <x:is>
          <x:t xml:space="preserve">https://www.fldoe.org/file/18534/SchoolGrades25.xlsx</x:t>
        </x:is>
      </x:c>
    </x:row>
    <x:row r="190">
      <x:c r="A190" s="20" t="inlineStr">
        <x:is>
          <x:t xml:space="preserve">531221</x:t>
        </x:is>
      </x:c>
      <x:c r="B190" s="20" t="inlineStr">
        <x:is>
          <x:t xml:space="preserve">53</x:t>
        </x:is>
      </x:c>
      <x:c r="C190" s="20" t="inlineStr">
        <x:is>
          <x:t xml:space="preserve">POLK</x:t>
        </x:is>
      </x:c>
      <x:c r="D190" s="20" t="inlineStr">
        <x:is>
          <x:t xml:space="preserve">1221</x:t>
        </x:is>
      </x:c>
      <x:c r="E190" s="20" t="inlineStr">
        <x:is>
          <x:t xml:space="preserve">KATHLEEN ELEMENTARY SCHOOL</x:t>
        </x:is>
      </x:c>
      <x:c r="F190" s="20" t="inlineStr">
        <x:is>
          <x:t xml:space="preserve">01</x:t>
        </x:is>
      </x:c>
      <x:c r="G190" s="20" t="inlineStr">
        <x:is>
          <x:t xml:space="preserve">Elementary</x:t>
        </x:is>
      </x:c>
      <x:c r="H190" s="20" t="inlineStr">
        <x:is>
          <x:t xml:space="preserve">NO</x:t>
        </x:is>
      </x:c>
      <x:c r="I190" s="20" t="inlineStr">
        <x:is>
          <x:t xml:space="preserve">YES</x:t>
        </x:is>
      </x:c>
      <x:c r="J190" s="20" t="inlineStr">
        <x:is>
          <x:t xml:space="preserve">N</x:t>
        </x:is>
      </x:c>
      <x:c r="K190" s="25" t="n">
        <x:v>42</x:v>
      </x:c>
      <x:c r="L190" s="25" t="n">
        <x:v>48</x:v>
      </x:c>
      <x:c r="M190" s="25" t="n">
        <x:v>45</x:v>
      </x:c>
      <x:c r="N190" s="25" t="n">
        <x:v>48</x:v>
      </x:c>
      <x:c r="O190" s="25" t="n">
        <x:v>47</x:v>
      </x:c>
      <x:c r="P190" s="25" t="n"/>
      <x:c r="Q190" s="25" t="n"/>
      <x:c r="R190" s="25" t="n"/>
      <x:c r="S190" s="20" t="n">
        <x:v>359</x:v>
      </x:c>
      <x:c r="T190" s="20" t="n">
        <x:v>8</x:v>
      </x:c>
      <x:c r="U190" s="25" t="n">
        <x:v>45</x:v>
      </x:c>
      <x:c r="V190" s="25" t="n">
        <x:v>100</x:v>
      </x:c>
      <x:c r="W190" s="20" t="inlineStr">
        <x:is>
          <x:t xml:space="preserve">C</x:t>
        </x:is>
      </x:c>
      <x:c r="X190" s="20" t="inlineStr">
        <x:is>
          <x:t xml:space="preserve">C</x:t>
        </x:is>
      </x:c>
      <x:c r="Y190" s="25" t="n">
        <x:v>100</x:v>
      </x:c>
      <x:c r="Z190" s="20" t="inlineStr">
        <x:is>
          <x:t xml:space="preserve">https://www.fldoe.org/file/18534/SchoolGrades25.xlsx</x:t>
        </x:is>
      </x:c>
    </x:row>
    <x:row r="191">
      <x:c r="A191" s="20" t="inlineStr">
        <x:is>
          <x:t xml:space="preserve">531231</x:t>
        </x:is>
      </x:c>
      <x:c r="B191" s="20" t="inlineStr">
        <x:is>
          <x:t xml:space="preserve">53</x:t>
        </x:is>
      </x:c>
      <x:c r="C191" s="20" t="inlineStr">
        <x:is>
          <x:t xml:space="preserve">POLK</x:t>
        </x:is>
      </x:c>
      <x:c r="D191" s="20" t="inlineStr">
        <x:is>
          <x:t xml:space="preserve">1231</x:t>
        </x:is>
      </x:c>
      <x:c r="E191" s="20" t="inlineStr">
        <x:is>
          <x:t xml:space="preserve">GRIFFIN ELEMENTARY SCHOOL</x:t>
        </x:is>
      </x:c>
      <x:c r="F191" s="20" t="inlineStr">
        <x:is>
          <x:t xml:space="preserve">01</x:t>
        </x:is>
      </x:c>
      <x:c r="G191" s="20" t="inlineStr">
        <x:is>
          <x:t xml:space="preserve">Elementary</x:t>
        </x:is>
      </x:c>
      <x:c r="H191" s="20" t="inlineStr">
        <x:is>
          <x:t xml:space="preserve">NO</x:t>
        </x:is>
      </x:c>
      <x:c r="I191" s="20" t="inlineStr">
        <x:is>
          <x:t xml:space="preserve">YES</x:t>
        </x:is>
      </x:c>
      <x:c r="J191" s="20" t="inlineStr">
        <x:is>
          <x:t xml:space="preserve">N</x:t>
        </x:is>
      </x:c>
      <x:c r="K191" s="25" t="n">
        <x:v>36</x:v>
      </x:c>
      <x:c r="L191" s="25" t="n">
        <x:v>54</x:v>
      </x:c>
      <x:c r="M191" s="25" t="n">
        <x:v>50</x:v>
      </x:c>
      <x:c r="N191" s="25" t="n">
        <x:v>56</x:v>
      </x:c>
      <x:c r="O191" s="25" t="n">
        <x:v>53</x:v>
      </x:c>
      <x:c r="P191" s="25" t="n"/>
      <x:c r="Q191" s="25" t="n"/>
      <x:c r="R191" s="25" t="n"/>
      <x:c r="S191" s="20" t="n">
        <x:v>404</x:v>
      </x:c>
      <x:c r="T191" s="20" t="n">
        <x:v>8</x:v>
      </x:c>
      <x:c r="U191" s="25" t="n">
        <x:v>51</x:v>
      </x:c>
      <x:c r="V191" s="25" t="n">
        <x:v>98</x:v>
      </x:c>
      <x:c r="W191" s="20" t="inlineStr">
        <x:is>
          <x:t xml:space="preserve">C</x:t>
        </x:is>
      </x:c>
      <x:c r="X191" s="20" t="inlineStr">
        <x:is>
          <x:t xml:space="preserve">C</x:t>
        </x:is>
      </x:c>
      <x:c r="Y191" s="25" t="n">
        <x:v>100</x:v>
      </x:c>
      <x:c r="Z191" s="20" t="inlineStr">
        <x:is>
          <x:t xml:space="preserve">https://www.fldoe.org/file/18534/SchoolGrades25.xlsx</x:t>
        </x:is>
      </x:c>
    </x:row>
    <x:row r="192">
      <x:c r="A192" s="20" t="inlineStr">
        <x:is>
          <x:t xml:space="preserve">531241</x:t>
        </x:is>
      </x:c>
      <x:c r="B192" s="20" t="inlineStr">
        <x:is>
          <x:t xml:space="preserve">53</x:t>
        </x:is>
      </x:c>
      <x:c r="C192" s="20" t="inlineStr">
        <x:is>
          <x:t xml:space="preserve">POLK</x:t>
        </x:is>
      </x:c>
      <x:c r="D192" s="20" t="inlineStr">
        <x:is>
          <x:t xml:space="preserve">1241</x:t>
        </x:is>
      </x:c>
      <x:c r="E192" s="20" t="inlineStr">
        <x:is>
          <x:t xml:space="preserve">JESSE KEEN ELEMENTARY SCHOOL</x:t>
        </x:is>
      </x:c>
      <x:c r="F192" s="20" t="inlineStr">
        <x:is>
          <x:t xml:space="preserve">01</x:t>
        </x:is>
      </x:c>
      <x:c r="G192" s="20" t="inlineStr">
        <x:is>
          <x:t xml:space="preserve">Elementary</x:t>
        </x:is>
      </x:c>
      <x:c r="H192" s="20" t="inlineStr">
        <x:is>
          <x:t xml:space="preserve">NO</x:t>
        </x:is>
      </x:c>
      <x:c r="I192" s="20" t="inlineStr">
        <x:is>
          <x:t xml:space="preserve">YES</x:t>
        </x:is>
      </x:c>
      <x:c r="J192" s="20" t="inlineStr">
        <x:is>
          <x:t xml:space="preserve">N</x:t>
        </x:is>
      </x:c>
      <x:c r="K192" s="25" t="n">
        <x:v>32</x:v>
      </x:c>
      <x:c r="L192" s="25" t="n">
        <x:v>45</x:v>
      </x:c>
      <x:c r="M192" s="25" t="n">
        <x:v>49</x:v>
      </x:c>
      <x:c r="N192" s="25" t="n">
        <x:v>60</x:v>
      </x:c>
      <x:c r="O192" s="25" t="n">
        <x:v>35</x:v>
      </x:c>
      <x:c r="P192" s="25" t="n"/>
      <x:c r="Q192" s="25" t="n"/>
      <x:c r="R192" s="25" t="n"/>
      <x:c r="S192" s="20" t="n">
        <x:v>357</x:v>
      </x:c>
      <x:c r="T192" s="20" t="n">
        <x:v>8</x:v>
      </x:c>
      <x:c r="U192" s="25" t="n">
        <x:v>45</x:v>
      </x:c>
      <x:c r="V192" s="25" t="n">
        <x:v>99</x:v>
      </x:c>
      <x:c r="W192" s="20" t="inlineStr">
        <x:is>
          <x:t xml:space="preserve">C</x:t>
        </x:is>
      </x:c>
      <x:c r="X192" s="20" t="inlineStr">
        <x:is>
          <x:t xml:space="preserve">C</x:t>
        </x:is>
      </x:c>
      <x:c r="Y192" s="25" t="n">
        <x:v>100</x:v>
      </x:c>
      <x:c r="Z192" s="20" t="inlineStr">
        <x:is>
          <x:t xml:space="preserve">https://www.fldoe.org/file/18534/SchoolGrades25.xlsx</x:t>
        </x:is>
      </x:c>
    </x:row>
    <x:row r="193">
      <x:c r="A193" s="20" t="inlineStr">
        <x:is>
          <x:t xml:space="preserve">531251</x:t>
        </x:is>
      </x:c>
      <x:c r="B193" s="20" t="inlineStr">
        <x:is>
          <x:t xml:space="preserve">53</x:t>
        </x:is>
      </x:c>
      <x:c r="C193" s="20" t="inlineStr">
        <x:is>
          <x:t xml:space="preserve">POLK</x:t>
        </x:is>
      </x:c>
      <x:c r="D193" s="20" t="inlineStr">
        <x:is>
          <x:t xml:space="preserve">1251</x:t>
        </x:is>
      </x:c>
      <x:c r="E193" s="20" t="inlineStr">
        <x:is>
          <x:t xml:space="preserve">WINSTON ACADEMY OF ENGINEERING</x:t>
        </x:is>
      </x:c>
      <x:c r="F193" s="20" t="inlineStr">
        <x:is>
          <x:t xml:space="preserve">01</x:t>
        </x:is>
      </x:c>
      <x:c r="G193" s="20" t="inlineStr">
        <x:is>
          <x:t xml:space="preserve">Elementary</x:t>
        </x:is>
      </x:c>
      <x:c r="H193" s="20" t="inlineStr">
        <x:is>
          <x:t xml:space="preserve">NO</x:t>
        </x:is>
      </x:c>
      <x:c r="I193" s="20" t="inlineStr">
        <x:is>
          <x:t xml:space="preserve">YES</x:t>
        </x:is>
      </x:c>
      <x:c r="J193" s="20" t="inlineStr">
        <x:is>
          <x:t xml:space="preserve">N</x:t>
        </x:is>
      </x:c>
      <x:c r="K193" s="25" t="n">
        <x:v>71</x:v>
      </x:c>
      <x:c r="L193" s="25" t="n">
        <x:v>63</x:v>
      </x:c>
      <x:c r="M193" s="25" t="n">
        <x:v>73</x:v>
      </x:c>
      <x:c r="N193" s="25" t="n">
        <x:v>63</x:v>
      </x:c>
      <x:c r="O193" s="25" t="n">
        <x:v>68</x:v>
      </x:c>
      <x:c r="P193" s="25" t="n"/>
      <x:c r="Q193" s="25" t="n"/>
      <x:c r="R193" s="25" t="n"/>
      <x:c r="S193" s="20" t="n">
        <x:v>502</x:v>
      </x:c>
      <x:c r="T193" s="20" t="n">
        <x:v>8</x:v>
      </x:c>
      <x:c r="U193" s="25" t="n">
        <x:v>63</x:v>
      </x:c>
      <x:c r="V193" s="25" t="n">
        <x:v>100</x:v>
      </x:c>
      <x:c r="W193" s="20" t="inlineStr">
        <x:is>
          <x:t xml:space="preserve">A</x:t>
        </x:is>
      </x:c>
      <x:c r="X193" s="20" t="inlineStr">
        <x:is>
          <x:t xml:space="preserve">B</x:t>
        </x:is>
      </x:c>
      <x:c r="Y193" s="25" t="n">
        <x:v>82.5</x:v>
      </x:c>
      <x:c r="Z193" s="20" t="inlineStr">
        <x:is>
          <x:t xml:space="preserve">https://www.fldoe.org/file/18534/SchoolGrades25.xlsx</x:t>
        </x:is>
      </x:c>
    </x:row>
    <x:row r="194">
      <x:c r="A194" s="20" t="inlineStr">
        <x:is>
          <x:t xml:space="preserve">531271</x:t>
        </x:is>
      </x:c>
      <x:c r="B194" s="20" t="inlineStr">
        <x:is>
          <x:t xml:space="preserve">53</x:t>
        </x:is>
      </x:c>
      <x:c r="C194" s="20" t="inlineStr">
        <x:is>
          <x:t xml:space="preserve">POLK</x:t>
        </x:is>
      </x:c>
      <x:c r="D194" s="20" t="inlineStr">
        <x:is>
          <x:t xml:space="preserve">1271</x:t>
        </x:is>
      </x:c>
      <x:c r="E194" s="20" t="inlineStr">
        <x:is>
          <x:t xml:space="preserve">SLEEPY HILL ELEMENTARY SCHOOL</x:t>
        </x:is>
      </x:c>
      <x:c r="F194" s="20" t="inlineStr">
        <x:is>
          <x:t xml:space="preserve">01</x:t>
        </x:is>
      </x:c>
      <x:c r="G194" s="20" t="inlineStr">
        <x:is>
          <x:t xml:space="preserve">Elementary</x:t>
        </x:is>
      </x:c>
      <x:c r="H194" s="20" t="inlineStr">
        <x:is>
          <x:t xml:space="preserve">NO</x:t>
        </x:is>
      </x:c>
      <x:c r="I194" s="20" t="inlineStr">
        <x:is>
          <x:t xml:space="preserve">YES</x:t>
        </x:is>
      </x:c>
      <x:c r="J194" s="20" t="inlineStr">
        <x:is>
          <x:t xml:space="preserve">N</x:t>
        </x:is>
      </x:c>
      <x:c r="K194" s="25" t="n">
        <x:v>45</x:v>
      </x:c>
      <x:c r="L194" s="25" t="n">
        <x:v>53</x:v>
      </x:c>
      <x:c r="M194" s="25" t="n">
        <x:v>49</x:v>
      </x:c>
      <x:c r="N194" s="25" t="n">
        <x:v>51</x:v>
      </x:c>
      <x:c r="O194" s="25" t="n">
        <x:v>45</x:v>
      </x:c>
      <x:c r="P194" s="25" t="n"/>
      <x:c r="Q194" s="25" t="n"/>
      <x:c r="R194" s="25" t="n"/>
      <x:c r="S194" s="20" t="n">
        <x:v>379</x:v>
      </x:c>
      <x:c r="T194" s="20" t="n">
        <x:v>8</x:v>
      </x:c>
      <x:c r="U194" s="25" t="n">
        <x:v>47</x:v>
      </x:c>
      <x:c r="V194" s="25" t="n">
        <x:v>99</x:v>
      </x:c>
      <x:c r="W194" s="20" t="inlineStr">
        <x:is>
          <x:t xml:space="preserve">C</x:t>
        </x:is>
      </x:c>
      <x:c r="X194" s="20" t="inlineStr">
        <x:is>
          <x:t xml:space="preserve">B</x:t>
        </x:is>
      </x:c>
      <x:c r="Y194" s="25" t="n">
        <x:v>100</x:v>
      </x:c>
      <x:c r="Z194" s="20" t="inlineStr">
        <x:is>
          <x:t xml:space="preserve">https://www.fldoe.org/file/18534/SchoolGrades25.xlsx</x:t>
        </x:is>
      </x:c>
    </x:row>
    <x:row r="195">
      <x:c r="A195" s="20" t="inlineStr">
        <x:is>
          <x:t xml:space="preserve">531281</x:t>
        </x:is>
      </x:c>
      <x:c r="B195" s="20" t="inlineStr">
        <x:is>
          <x:t xml:space="preserve">53</x:t>
        </x:is>
      </x:c>
      <x:c r="C195" s="20" t="inlineStr">
        <x:is>
          <x:t xml:space="preserve">POLK</x:t>
        </x:is>
      </x:c>
      <x:c r="D195" s="20" t="inlineStr">
        <x:is>
          <x:t xml:space="preserve">1281</x:t>
        </x:is>
      </x:c>
      <x:c r="E195" s="20" t="inlineStr">
        <x:is>
          <x:t xml:space="preserve">HIGHLANDS GROVE ELEMENTARY SCHOOL</x:t>
        </x:is>
      </x:c>
      <x:c r="F195" s="20" t="inlineStr">
        <x:is>
          <x:t xml:space="preserve">01</x:t>
        </x:is>
      </x:c>
      <x:c r="G195" s="20" t="inlineStr">
        <x:is>
          <x:t xml:space="preserve">Elementary</x:t>
        </x:is>
      </x:c>
      <x:c r="H195" s="20" t="inlineStr">
        <x:is>
          <x:t xml:space="preserve">NO</x:t>
        </x:is>
      </x:c>
      <x:c r="I195" s="20" t="inlineStr">
        <x:is>
          <x:t xml:space="preserve">YES</x:t>
        </x:is>
      </x:c>
      <x:c r="J195" s="20" t="inlineStr">
        <x:is>
          <x:t xml:space="preserve">N</x:t>
        </x:is>
      </x:c>
      <x:c r="K195" s="25" t="n">
        <x:v>67</x:v>
      </x:c>
      <x:c r="L195" s="25" t="n">
        <x:v>63</x:v>
      </x:c>
      <x:c r="M195" s="25" t="n">
        <x:v>72</x:v>
      </x:c>
      <x:c r="N195" s="25" t="n">
        <x:v>79</x:v>
      </x:c>
      <x:c r="O195" s="25" t="n">
        <x:v>66</x:v>
      </x:c>
      <x:c r="P195" s="25" t="n"/>
      <x:c r="Q195" s="25" t="n"/>
      <x:c r="R195" s="25" t="n"/>
      <x:c r="S195" s="20" t="n">
        <x:v>534</x:v>
      </x:c>
      <x:c r="T195" s="20" t="n">
        <x:v>8</x:v>
      </x:c>
      <x:c r="U195" s="25" t="n">
        <x:v>67</x:v>
      </x:c>
      <x:c r="V195" s="25" t="n">
        <x:v>99</x:v>
      </x:c>
      <x:c r="W195" s="20" t="inlineStr">
        <x:is>
          <x:t xml:space="preserve">A</x:t>
        </x:is>
      </x:c>
      <x:c r="X195" s="20" t="inlineStr">
        <x:is>
          <x:t xml:space="preserve">A</x:t>
        </x:is>
      </x:c>
      <x:c r="Y195" s="25" t="n">
        <x:v>70.40000000000001</x:v>
      </x:c>
      <x:c r="Z195" s="20" t="inlineStr">
        <x:is>
          <x:t xml:space="preserve">https://www.fldoe.org/file/18534/SchoolGrades25.xlsx</x:t>
        </x:is>
      </x:c>
    </x:row>
    <x:row r="196">
      <x:c r="A196" s="20" t="inlineStr">
        <x:is>
          <x:t xml:space="preserve">531341</x:t>
        </x:is>
      </x:c>
      <x:c r="B196" s="20" t="inlineStr">
        <x:is>
          <x:t xml:space="preserve">53</x:t>
        </x:is>
      </x:c>
      <x:c r="C196" s="20" t="inlineStr">
        <x:is>
          <x:t xml:space="preserve">POLK</x:t>
        </x:is>
      </x:c>
      <x:c r="D196" s="20" t="inlineStr">
        <x:is>
          <x:t xml:space="preserve">1341</x:t>
        </x:is>
      </x:c>
      <x:c r="E196" s="20" t="inlineStr">
        <x:is>
          <x:t xml:space="preserve">MCLAUGHLIN ACADEMY OF EXCELLENCE</x:t>
        </x:is>
      </x:c>
      <x:c r="F196" s="20" t="inlineStr">
        <x:is>
          <x:t xml:space="preserve">04</x:t>
        </x:is>
      </x:c>
      <x:c r="G196" s="20" t="inlineStr">
        <x:is>
          <x:t xml:space="preserve">Combination</x:t>
        </x:is>
      </x:c>
      <x:c r="H196" s="20" t="inlineStr">
        <x:is>
          <x:t xml:space="preserve">NO</x:t>
        </x:is>
      </x:c>
      <x:c r="I196" s="20" t="inlineStr">
        <x:is>
          <x:t xml:space="preserve">YES</x:t>
        </x:is>
      </x:c>
      <x:c r="J196" s="20" t="inlineStr">
        <x:is>
          <x:t xml:space="preserve">N</x:t>
        </x:is>
      </x:c>
      <x:c r="K196" s="25" t="n">
        <x:v>32</x:v>
      </x:c>
      <x:c r="L196" s="25" t="n">
        <x:v>49</x:v>
      </x:c>
      <x:c r="M196" s="25" t="n">
        <x:v>24</x:v>
      </x:c>
      <x:c r="N196" s="25" t="n">
        <x:v>43</x:v>
      </x:c>
      <x:c r="O196" s="25" t="n">
        <x:v>36</x:v>
      </x:c>
      <x:c r="P196" s="25" t="n">
        <x:v>44</x:v>
      </x:c>
      <x:c r="Q196" s="25" t="n"/>
      <x:c r="R196" s="25" t="n"/>
      <x:c r="S196" s="20" t="n">
        <x:v>406</x:v>
      </x:c>
      <x:c r="T196" s="20" t="n">
        <x:v>9</x:v>
      </x:c>
      <x:c r="U196" s="25" t="n">
        <x:v>45</x:v>
      </x:c>
      <x:c r="V196" s="25" t="n">
        <x:v>98</x:v>
      </x:c>
      <x:c r="W196" s="20" t="inlineStr">
        <x:is>
          <x:t xml:space="preserve">C</x:t>
        </x:is>
      </x:c>
      <x:c r="X196" s="20" t="inlineStr">
        <x:is>
          <x:t xml:space="preserve">D</x:t>
        </x:is>
      </x:c>
      <x:c r="Y196" s="25" t="n">
        <x:v>100</x:v>
      </x:c>
      <x:c r="Z196" s="20" t="inlineStr">
        <x:is>
          <x:t xml:space="preserve">https://www.fldoe.org/file/18534/SchoolGrades25.xlsx</x:t>
        </x:is>
      </x:c>
    </x:row>
    <x:row r="197">
      <x:c r="A197" s="20" t="inlineStr">
        <x:is>
          <x:t xml:space="preserve">531351</x:t>
        </x:is>
      </x:c>
      <x:c r="B197" s="20" t="inlineStr">
        <x:is>
          <x:t xml:space="preserve">53</x:t>
        </x:is>
      </x:c>
      <x:c r="C197" s="20" t="inlineStr">
        <x:is>
          <x:t xml:space="preserve">POLK</x:t>
        </x:is>
      </x:c>
      <x:c r="D197" s="20" t="inlineStr">
        <x:is>
          <x:t xml:space="preserve">1351</x:t>
        </x:is>
      </x:c>
      <x:c r="E197" s="20" t="inlineStr">
        <x:is>
          <x:t xml:space="preserve">POLK AVENUE ELEMENTARY SCHOOL</x:t>
        </x:is>
      </x:c>
      <x:c r="F197" s="20" t="inlineStr">
        <x:is>
          <x:t xml:space="preserve">01</x:t>
        </x:is>
      </x:c>
      <x:c r="G197" s="20" t="inlineStr">
        <x:is>
          <x:t xml:space="preserve">Elementary</x:t>
        </x:is>
      </x:c>
      <x:c r="H197" s="20" t="inlineStr">
        <x:is>
          <x:t xml:space="preserve">YES</x:t>
        </x:is>
      </x:c>
      <x:c r="I197" s="20" t="inlineStr">
        <x:is>
          <x:t xml:space="preserve">YES</x:t>
        </x:is>
      </x:c>
      <x:c r="J197" s="20" t="inlineStr">
        <x:is>
          <x:t xml:space="preserve">N</x:t>
        </x:is>
      </x:c>
      <x:c r="K197" s="25" t="n">
        <x:v>47</x:v>
      </x:c>
      <x:c r="L197" s="25" t="n">
        <x:v>51</x:v>
      </x:c>
      <x:c r="M197" s="25" t="n">
        <x:v>45</x:v>
      </x:c>
      <x:c r="N197" s="25" t="n">
        <x:v>42</x:v>
      </x:c>
      <x:c r="O197" s="25" t="n">
        <x:v>43</x:v>
      </x:c>
      <x:c r="P197" s="25" t="n"/>
      <x:c r="Q197" s="25" t="n"/>
      <x:c r="R197" s="25" t="n"/>
      <x:c r="S197" s="20" t="n">
        <x:v>401</x:v>
      </x:c>
      <x:c r="T197" s="20" t="n">
        <x:v>8</x:v>
      </x:c>
      <x:c r="U197" s="25" t="n">
        <x:v>50</x:v>
      </x:c>
      <x:c r="V197" s="25" t="n">
        <x:v>99</x:v>
      </x:c>
      <x:c r="W197" s="20" t="inlineStr">
        <x:is>
          <x:t xml:space="preserve">C</x:t>
        </x:is>
      </x:c>
      <x:c r="X197" s="20" t="inlineStr">
        <x:is>
          <x:t xml:space="preserve">C</x:t>
        </x:is>
      </x:c>
      <x:c r="Y197" s="25" t="n">
        <x:v>100</x:v>
      </x:c>
      <x:c r="Z197" s="20" t="inlineStr">
        <x:is>
          <x:t xml:space="preserve">https://www.fldoe.org/file/18534/SchoolGrades25.xlsx</x:t>
        </x:is>
      </x:c>
    </x:row>
    <x:row r="198">
      <x:c r="A198" s="20" t="inlineStr">
        <x:is>
          <x:t xml:space="preserve">531361</x:t>
        </x:is>
      </x:c>
      <x:c r="B198" s="20" t="inlineStr">
        <x:is>
          <x:t xml:space="preserve">53</x:t>
        </x:is>
      </x:c>
      <x:c r="C198" s="20" t="inlineStr">
        <x:is>
          <x:t xml:space="preserve">POLK</x:t>
        </x:is>
      </x:c>
      <x:c r="D198" s="20" t="inlineStr">
        <x:is>
          <x:t xml:space="preserve">1361</x:t>
        </x:is>
      </x:c>
      <x:c r="E198" s="20" t="inlineStr">
        <x:is>
          <x:t xml:space="preserve">HILLCREST ELEMENTARY SCHOOL</x:t>
        </x:is>
      </x:c>
      <x:c r="F198" s="20" t="inlineStr">
        <x:is>
          <x:t xml:space="preserve">01</x:t>
        </x:is>
      </x:c>
      <x:c r="G198" s="20" t="inlineStr">
        <x:is>
          <x:t xml:space="preserve">Elementary</x:t>
        </x:is>
      </x:c>
      <x:c r="H198" s="20" t="inlineStr">
        <x:is>
          <x:t xml:space="preserve">YES</x:t>
        </x:is>
      </x:c>
      <x:c r="I198" s="20" t="inlineStr">
        <x:is>
          <x:t xml:space="preserve">YES</x:t>
        </x:is>
      </x:c>
      <x:c r="J198" s="20" t="inlineStr">
        <x:is>
          <x:t xml:space="preserve">N</x:t>
        </x:is>
      </x:c>
      <x:c r="K198" s="25" t="n">
        <x:v>56</x:v>
      </x:c>
      <x:c r="L198" s="25" t="n">
        <x:v>64</x:v>
      </x:c>
      <x:c r="M198" s="25" t="n">
        <x:v>70</x:v>
      </x:c>
      <x:c r="N198" s="25" t="n">
        <x:v>63</x:v>
      </x:c>
      <x:c r="O198" s="25" t="n">
        <x:v>49</x:v>
      </x:c>
      <x:c r="P198" s="25" t="n"/>
      <x:c r="Q198" s="25" t="n"/>
      <x:c r="R198" s="25" t="n"/>
      <x:c r="S198" s="20" t="n">
        <x:v>456</x:v>
      </x:c>
      <x:c r="T198" s="20" t="n">
        <x:v>8</x:v>
      </x:c>
      <x:c r="U198" s="25" t="n">
        <x:v>57</x:v>
      </x:c>
      <x:c r="V198" s="25" t="n">
        <x:v>100</x:v>
      </x:c>
      <x:c r="W198" s="20" t="inlineStr">
        <x:is>
          <x:t xml:space="preserve">B</x:t>
        </x:is>
      </x:c>
      <x:c r="X198" s="20" t="inlineStr">
        <x:is>
          <x:t xml:space="preserve">B</x:t>
        </x:is>
      </x:c>
      <x:c r="Y198" s="25" t="n">
        <x:v>100</x:v>
      </x:c>
      <x:c r="Z198" s="20" t="inlineStr">
        <x:is>
          <x:t xml:space="preserve">https://www.fldoe.org/file/18534/SchoolGrades25.xlsx</x:t>
        </x:is>
      </x:c>
    </x:row>
    <x:row r="199">
      <x:c r="A199" s="20" t="inlineStr">
        <x:is>
          <x:t xml:space="preserve">531362</x:t>
        </x:is>
      </x:c>
      <x:c r="B199" s="20" t="inlineStr">
        <x:is>
          <x:t xml:space="preserve">53</x:t>
        </x:is>
      </x:c>
      <x:c r="C199" s="20" t="inlineStr">
        <x:is>
          <x:t xml:space="preserve">POLK</x:t>
        </x:is>
      </x:c>
      <x:c r="D199" s="20" t="inlineStr">
        <x:is>
          <x:t xml:space="preserve">1362</x:t>
        </x:is>
      </x:c>
      <x:c r="E199" s="20" t="inlineStr">
        <x:is>
          <x:t xml:space="preserve">HORIZONS ELEMENTARY SCHOOL</x:t>
        </x:is>
      </x:c>
      <x:c r="F199" s="20" t="inlineStr">
        <x:is>
          <x:t xml:space="preserve">01</x:t>
        </x:is>
      </x:c>
      <x:c r="G199" s="20" t="inlineStr">
        <x:is>
          <x:t xml:space="preserve">Elementary</x:t>
        </x:is>
      </x:c>
      <x:c r="H199" s="20" t="inlineStr">
        <x:is>
          <x:t xml:space="preserve">NO</x:t>
        </x:is>
      </x:c>
      <x:c r="I199" s="20" t="inlineStr">
        <x:is>
          <x:t xml:space="preserve">YES</x:t>
        </x:is>
      </x:c>
      <x:c r="J199" s="20" t="inlineStr">
        <x:is>
          <x:t xml:space="preserve">N</x:t>
        </x:is>
      </x:c>
      <x:c r="K199" s="25" t="n">
        <x:v>40</x:v>
      </x:c>
      <x:c r="L199" s="25" t="n">
        <x:v>47</x:v>
      </x:c>
      <x:c r="M199" s="25" t="n">
        <x:v>43</x:v>
      </x:c>
      <x:c r="N199" s="25" t="n">
        <x:v>44</x:v>
      </x:c>
      <x:c r="O199" s="25" t="n">
        <x:v>32</x:v>
      </x:c>
      <x:c r="P199" s="25" t="n"/>
      <x:c r="Q199" s="25" t="n"/>
      <x:c r="R199" s="25" t="n"/>
      <x:c r="S199" s="20" t="n">
        <x:v>357</x:v>
      </x:c>
      <x:c r="T199" s="20" t="n">
        <x:v>8</x:v>
      </x:c>
      <x:c r="U199" s="25" t="n">
        <x:v>45</x:v>
      </x:c>
      <x:c r="V199" s="25" t="n">
        <x:v>99</x:v>
      </x:c>
      <x:c r="W199" s="20" t="inlineStr">
        <x:is>
          <x:t xml:space="preserve">C</x:t>
        </x:is>
      </x:c>
      <x:c r="X199" s="20" t="inlineStr">
        <x:is>
          <x:t xml:space="preserve">C</x:t>
        </x:is>
      </x:c>
      <x:c r="Y199" s="25" t="n">
        <x:v>92.59999999999999</x:v>
      </x:c>
      <x:c r="Z199" s="20" t="inlineStr">
        <x:is>
          <x:t xml:space="preserve">https://www.fldoe.org/file/18534/SchoolGrades25.xlsx</x:t>
        </x:is>
      </x:c>
    </x:row>
    <x:row r="200">
      <x:c r="A200" s="20" t="inlineStr">
        <x:is>
          <x:t xml:space="preserve">531371</x:t>
        </x:is>
      </x:c>
      <x:c r="B200" s="20" t="inlineStr">
        <x:is>
          <x:t xml:space="preserve">53</x:t>
        </x:is>
      </x:c>
      <x:c r="C200" s="20" t="inlineStr">
        <x:is>
          <x:t xml:space="preserve">POLK</x:t>
        </x:is>
      </x:c>
      <x:c r="D200" s="20" t="inlineStr">
        <x:is>
          <x:t xml:space="preserve">1371</x:t>
        </x:is>
      </x:c>
      <x:c r="E200" s="20" t="inlineStr">
        <x:is>
          <x:t xml:space="preserve">SPOOK HILL ELEMENTARY SCHOOL</x:t>
        </x:is>
      </x:c>
      <x:c r="F200" s="20" t="inlineStr">
        <x:is>
          <x:t xml:space="preserve">01</x:t>
        </x:is>
      </x:c>
      <x:c r="G200" s="20" t="inlineStr">
        <x:is>
          <x:t xml:space="preserve">Elementary</x:t>
        </x:is>
      </x:c>
      <x:c r="H200" s="20" t="inlineStr">
        <x:is>
          <x:t xml:space="preserve">NO</x:t>
        </x:is>
      </x:c>
      <x:c r="I200" s="20" t="inlineStr">
        <x:is>
          <x:t xml:space="preserve">YES</x:t>
        </x:is>
      </x:c>
      <x:c r="J200" s="20" t="inlineStr">
        <x:is>
          <x:t xml:space="preserve">N</x:t>
        </x:is>
      </x:c>
      <x:c r="K200" s="25" t="n">
        <x:v>31</x:v>
      </x:c>
      <x:c r="L200" s="25" t="n">
        <x:v>38</x:v>
      </x:c>
      <x:c r="M200" s="25" t="n">
        <x:v>37</x:v>
      </x:c>
      <x:c r="N200" s="25" t="n">
        <x:v>50</x:v>
      </x:c>
      <x:c r="O200" s="25" t="n">
        <x:v>53</x:v>
      </x:c>
      <x:c r="P200" s="25" t="n"/>
      <x:c r="Q200" s="25" t="n"/>
      <x:c r="R200" s="25" t="n"/>
      <x:c r="S200" s="20" t="n">
        <x:v>338</x:v>
      </x:c>
      <x:c r="T200" s="20" t="n">
        <x:v>8</x:v>
      </x:c>
      <x:c r="U200" s="25" t="n">
        <x:v>42</x:v>
      </x:c>
      <x:c r="V200" s="25" t="n">
        <x:v>99</x:v>
      </x:c>
      <x:c r="W200" s="20" t="inlineStr">
        <x:is>
          <x:t xml:space="preserve">C</x:t>
        </x:is>
      </x:c>
      <x:c r="X200" s="20" t="inlineStr">
        <x:is>
          <x:t xml:space="preserve">C</x:t>
        </x:is>
      </x:c>
      <x:c r="Y200" s="25" t="n">
        <x:v>100</x:v>
      </x:c>
      <x:c r="Z200" s="20" t="inlineStr">
        <x:is>
          <x:t xml:space="preserve">https://www.fldoe.org/file/18534/SchoolGrades25.xlsx</x:t>
        </x:is>
      </x:c>
    </x:row>
    <x:row r="201">
      <x:c r="A201" s="20" t="inlineStr">
        <x:is>
          <x:t xml:space="preserve">531401</x:t>
        </x:is>
      </x:c>
      <x:c r="B201" s="20" t="inlineStr">
        <x:is>
          <x:t xml:space="preserve">53</x:t>
        </x:is>
      </x:c>
      <x:c r="C201" s="20" t="inlineStr">
        <x:is>
          <x:t xml:space="preserve">POLK</x:t>
        </x:is>
      </x:c>
      <x:c r="D201" s="20" t="inlineStr">
        <x:is>
          <x:t xml:space="preserve">1401</x:t>
        </x:is>
      </x:c>
      <x:c r="E201" s="20" t="inlineStr">
        <x:is>
          <x:t xml:space="preserve">JANIE HOWARD WILSON SCHOOL</x:t>
        </x:is>
      </x:c>
      <x:c r="F201" s="20" t="inlineStr">
        <x:is>
          <x:t xml:space="preserve">01</x:t>
        </x:is>
      </x:c>
      <x:c r="G201" s="20" t="inlineStr">
        <x:is>
          <x:t xml:space="preserve">Elementary</x:t>
        </x:is>
      </x:c>
      <x:c r="H201" s="20" t="inlineStr">
        <x:is>
          <x:t xml:space="preserve">YES</x:t>
        </x:is>
      </x:c>
      <x:c r="I201" s="20" t="inlineStr">
        <x:is>
          <x:t xml:space="preserve">YES</x:t>
        </x:is>
      </x:c>
      <x:c r="J201" s="20" t="inlineStr">
        <x:is>
          <x:t xml:space="preserve">N</x:t>
        </x:is>
      </x:c>
      <x:c r="K201" s="25" t="n">
        <x:v>43</x:v>
      </x:c>
      <x:c r="L201" s="25" t="n">
        <x:v>59</x:v>
      </x:c>
      <x:c r="M201" s="25" t="n">
        <x:v>51</x:v>
      </x:c>
      <x:c r="N201" s="25" t="n">
        <x:v>49</x:v>
      </x:c>
      <x:c r="O201" s="25" t="n">
        <x:v>21</x:v>
      </x:c>
      <x:c r="P201" s="25" t="n"/>
      <x:c r="Q201" s="25" t="n"/>
      <x:c r="R201" s="25" t="n"/>
      <x:c r="S201" s="20" t="n">
        <x:v>369</x:v>
      </x:c>
      <x:c r="T201" s="20" t="n">
        <x:v>8</x:v>
      </x:c>
      <x:c r="U201" s="25" t="n">
        <x:v>46</x:v>
      </x:c>
      <x:c r="V201" s="25" t="n">
        <x:v>97</x:v>
      </x:c>
      <x:c r="W201" s="20" t="inlineStr">
        <x:is>
          <x:t xml:space="preserve">C</x:t>
        </x:is>
      </x:c>
      <x:c r="X201" s="20" t="inlineStr">
        <x:is>
          <x:t xml:space="preserve">C</x:t>
        </x:is>
      </x:c>
      <x:c r="Y201" s="25" t="n">
        <x:v>100</x:v>
      </x:c>
      <x:c r="Z201" s="20" t="inlineStr">
        <x:is>
          <x:t xml:space="preserve">https://www.fldoe.org/file/18534/SchoolGrades25.xlsx</x:t>
        </x:is>
      </x:c>
    </x:row>
    <x:row r="202">
      <x:c r="A202" s="20" t="inlineStr">
        <x:is>
          <x:t xml:space="preserve">531421</x:t>
        </x:is>
      </x:c>
      <x:c r="B202" s="20" t="inlineStr">
        <x:is>
          <x:t xml:space="preserve">53</x:t>
        </x:is>
      </x:c>
      <x:c r="C202" s="20" t="inlineStr">
        <x:is>
          <x:t xml:space="preserve">POLK</x:t>
        </x:is>
      </x:c>
      <x:c r="D202" s="20" t="inlineStr">
        <x:is>
          <x:t xml:space="preserve">1421</x:t>
        </x:is>
      </x:c>
      <x:c r="E202" s="20" t="inlineStr">
        <x:is>
          <x:t xml:space="preserve">DALE R FAIR BABSON PARK ELEMENTARY</x:t>
        </x:is>
      </x:c>
      <x:c r="F202" s="20" t="inlineStr">
        <x:is>
          <x:t xml:space="preserve">01</x:t>
        </x:is>
      </x:c>
      <x:c r="G202" s="20" t="inlineStr">
        <x:is>
          <x:t xml:space="preserve">Elementary</x:t>
        </x:is>
      </x:c>
      <x:c r="H202" s="20" t="inlineStr">
        <x:is>
          <x:t xml:space="preserve">YES</x:t>
        </x:is>
      </x:c>
      <x:c r="I202" s="20" t="inlineStr">
        <x:is>
          <x:t xml:space="preserve">YES</x:t>
        </x:is>
      </x:c>
      <x:c r="J202" s="20" t="inlineStr">
        <x:is>
          <x:t xml:space="preserve">N</x:t>
        </x:is>
      </x:c>
      <x:c r="K202" s="25" t="n">
        <x:v>59</x:v>
      </x:c>
      <x:c r="L202" s="25" t="n">
        <x:v>51</x:v>
      </x:c>
      <x:c r="M202" s="25" t="n">
        <x:v>66</x:v>
      </x:c>
      <x:c r="N202" s="25" t="n">
        <x:v>62</x:v>
      </x:c>
      <x:c r="O202" s="25" t="n">
        <x:v>61</x:v>
      </x:c>
      <x:c r="P202" s="25" t="n"/>
      <x:c r="Q202" s="25" t="n"/>
      <x:c r="R202" s="25" t="n"/>
      <x:c r="S202" s="20" t="n">
        <x:v>436</x:v>
      </x:c>
      <x:c r="T202" s="20" t="n">
        <x:v>8</x:v>
      </x:c>
      <x:c r="U202" s="25" t="n">
        <x:v>55</x:v>
      </x:c>
      <x:c r="V202" s="25" t="n">
        <x:v>100</x:v>
      </x:c>
      <x:c r="W202" s="20" t="inlineStr">
        <x:is>
          <x:t xml:space="preserve">B</x:t>
        </x:is>
      </x:c>
      <x:c r="X202" s="20" t="inlineStr">
        <x:is>
          <x:t xml:space="preserve">B</x:t>
        </x:is>
      </x:c>
      <x:c r="Y202" s="25" t="n">
        <x:v>82.5</x:v>
      </x:c>
      <x:c r="Z202" s="20" t="inlineStr">
        <x:is>
          <x:t xml:space="preserve">https://www.fldoe.org/file/18534/SchoolGrades25.xlsx</x:t>
        </x:is>
      </x:c>
    </x:row>
    <x:row r="203">
      <x:c r="A203" s="20" t="inlineStr">
        <x:is>
          <x:t xml:space="preserve">531441</x:t>
        </x:is>
      </x:c>
      <x:c r="B203" s="20" t="inlineStr">
        <x:is>
          <x:t xml:space="preserve">53</x:t>
        </x:is>
      </x:c>
      <x:c r="C203" s="20" t="inlineStr">
        <x:is>
          <x:t xml:space="preserve">POLK</x:t>
        </x:is>
      </x:c>
      <x:c r="D203" s="20" t="inlineStr">
        <x:is>
          <x:t xml:space="preserve">1441</x:t>
        </x:is>
      </x:c>
      <x:c r="E203" s="20" t="inlineStr">
        <x:is>
          <x:t xml:space="preserve">WILLOW OAK SCHOOL</x:t>
        </x:is>
      </x:c>
      <x:c r="F203" s="20" t="inlineStr">
        <x:is>
          <x:t xml:space="preserve">01</x:t>
        </x:is>
      </x:c>
      <x:c r="G203" s="20" t="inlineStr">
        <x:is>
          <x:t xml:space="preserve">Elementary</x:t>
        </x:is>
      </x:c>
      <x:c r="H203" s="20" t="inlineStr">
        <x:is>
          <x:t xml:space="preserve">NO</x:t>
        </x:is>
      </x:c>
      <x:c r="I203" s="20" t="inlineStr">
        <x:is>
          <x:t xml:space="preserve">YES</x:t>
        </x:is>
      </x:c>
      <x:c r="J203" s="20" t="inlineStr">
        <x:is>
          <x:t xml:space="preserve">N</x:t>
        </x:is>
      </x:c>
      <x:c r="K203" s="25" t="n">
        <x:v>46</x:v>
      </x:c>
      <x:c r="L203" s="25" t="n">
        <x:v>54</x:v>
      </x:c>
      <x:c r="M203" s="25" t="n">
        <x:v>54</x:v>
      </x:c>
      <x:c r="N203" s="25" t="n">
        <x:v>60</x:v>
      </x:c>
      <x:c r="O203" s="25" t="n">
        <x:v>35</x:v>
      </x:c>
      <x:c r="P203" s="25" t="n"/>
      <x:c r="Q203" s="25" t="n"/>
      <x:c r="R203" s="25" t="n"/>
      <x:c r="S203" s="20" t="n">
        <x:v>395</x:v>
      </x:c>
      <x:c r="T203" s="20" t="n">
        <x:v>8</x:v>
      </x:c>
      <x:c r="U203" s="25" t="n">
        <x:v>49</x:v>
      </x:c>
      <x:c r="V203" s="25" t="n">
        <x:v>99</x:v>
      </x:c>
      <x:c r="W203" s="20" t="inlineStr">
        <x:is>
          <x:t xml:space="preserve">C</x:t>
        </x:is>
      </x:c>
      <x:c r="X203" s="20" t="inlineStr">
        <x:is>
          <x:t xml:space="preserve">C</x:t>
        </x:is>
      </x:c>
      <x:c r="Y203" s="25" t="n">
        <x:v>100</x:v>
      </x:c>
      <x:c r="Z203" s="20" t="inlineStr">
        <x:is>
          <x:t xml:space="preserve">https://www.fldoe.org/file/18534/SchoolGrades25.xlsx</x:t>
        </x:is>
      </x:c>
    </x:row>
    <x:row r="204">
      <x:c r="A204" s="20" t="inlineStr">
        <x:is>
          <x:t xml:space="preserve">531451</x:t>
        </x:is>
      </x:c>
      <x:c r="B204" s="20" t="inlineStr">
        <x:is>
          <x:t xml:space="preserve">53</x:t>
        </x:is>
      </x:c>
      <x:c r="C204" s="20" t="inlineStr">
        <x:is>
          <x:t xml:space="preserve">POLK</x:t>
        </x:is>
      </x:c>
      <x:c r="D204" s="20" t="inlineStr">
        <x:is>
          <x:t xml:space="preserve">1451</x:t>
        </x:is>
      </x:c>
      <x:c r="E204" s="20" t="inlineStr">
        <x:is>
          <x:t xml:space="preserve">EDGAR L. PADGETT ELEMENTARY</x:t>
        </x:is>
      </x:c>
      <x:c r="F204" s="20" t="inlineStr">
        <x:is>
          <x:t xml:space="preserve">01</x:t>
        </x:is>
      </x:c>
      <x:c r="G204" s="20" t="inlineStr">
        <x:is>
          <x:t xml:space="preserve">Elementary</x:t>
        </x:is>
      </x:c>
      <x:c r="H204" s="20" t="inlineStr">
        <x:is>
          <x:t xml:space="preserve">NO</x:t>
        </x:is>
      </x:c>
      <x:c r="I204" s="20" t="inlineStr">
        <x:is>
          <x:t xml:space="preserve">YES</x:t>
        </x:is>
      </x:c>
      <x:c r="J204" s="20" t="inlineStr">
        <x:is>
          <x:t xml:space="preserve">N</x:t>
        </x:is>
      </x:c>
      <x:c r="K204" s="25" t="n">
        <x:v>43</x:v>
      </x:c>
      <x:c r="L204" s="25" t="n">
        <x:v>50</x:v>
      </x:c>
      <x:c r="M204" s="25" t="n">
        <x:v>52</x:v>
      </x:c>
      <x:c r="N204" s="25" t="n">
        <x:v>59</x:v>
      </x:c>
      <x:c r="O204" s="25" t="n">
        <x:v>48</x:v>
      </x:c>
      <x:c r="P204" s="25" t="n"/>
      <x:c r="Q204" s="25" t="n"/>
      <x:c r="R204" s="25" t="n"/>
      <x:c r="S204" s="20" t="n">
        <x:v>401</x:v>
      </x:c>
      <x:c r="T204" s="20" t="n">
        <x:v>8</x:v>
      </x:c>
      <x:c r="U204" s="25" t="n">
        <x:v>50</x:v>
      </x:c>
      <x:c r="V204" s="25" t="n">
        <x:v>100</x:v>
      </x:c>
      <x:c r="W204" s="20" t="inlineStr">
        <x:is>
          <x:t xml:space="preserve">C</x:t>
        </x:is>
      </x:c>
      <x:c r="X204" s="20" t="inlineStr">
        <x:is>
          <x:t xml:space="preserve">C</x:t>
        </x:is>
      </x:c>
      <x:c r="Y204" s="25" t="n">
        <x:v>100</x:v>
      </x:c>
      <x:c r="Z204" s="20" t="inlineStr">
        <x:is>
          <x:t xml:space="preserve">https://www.fldoe.org/file/18534/SchoolGrades25.xlsx</x:t>
        </x:is>
      </x:c>
    </x:row>
    <x:row r="205">
      <x:c r="A205" s="20" t="inlineStr">
        <x:is>
          <x:t xml:space="preserve">531501</x:t>
        </x:is>
      </x:c>
      <x:c r="B205" s="20" t="inlineStr">
        <x:is>
          <x:t xml:space="preserve">53</x:t>
        </x:is>
      </x:c>
      <x:c r="C205" s="20" t="inlineStr">
        <x:is>
          <x:t xml:space="preserve">POLK</x:t>
        </x:is>
      </x:c>
      <x:c r="D205" s="20" t="inlineStr">
        <x:is>
          <x:t xml:space="preserve">1501</x:t>
        </x:is>
      </x:c>
      <x:c r="E205" s="20" t="inlineStr">
        <x:is>
          <x:t xml:space="preserve">CRYSTAL LAKE MIDDLE SCHOOL</x:t>
        </x:is>
      </x:c>
      <x:c r="F205" s="20" t="inlineStr">
        <x:is>
          <x:t xml:space="preserve">02</x:t>
        </x:is>
      </x:c>
      <x:c r="G205" s="20" t="inlineStr">
        <x:is>
          <x:t xml:space="preserve">Middle/Junior</x:t>
        </x:is>
      </x:c>
      <x:c r="H205" s="20" t="inlineStr">
        <x:is>
          <x:t xml:space="preserve">NO</x:t>
        </x:is>
      </x:c>
      <x:c r="I205" s="20" t="inlineStr">
        <x:is>
          <x:t xml:space="preserve">YES</x:t>
        </x:is>
      </x:c>
      <x:c r="J205" s="20" t="inlineStr">
        <x:is>
          <x:t xml:space="preserve">N</x:t>
        </x:is>
      </x:c>
      <x:c r="K205" s="25" t="n">
        <x:v>31</x:v>
      </x:c>
      <x:c r="L205" s="25" t="n">
        <x:v>44</x:v>
      </x:c>
      <x:c r="M205" s="25" t="n">
        <x:v>23</x:v>
      </x:c>
      <x:c r="N205" s="25" t="n">
        <x:v>37</x:v>
      </x:c>
      <x:c r="O205" s="25" t="n">
        <x:v>19</x:v>
      </x:c>
      <x:c r="P205" s="25" t="n">
        <x:v>55</x:v>
      </x:c>
      <x:c r="Q205" s="25" t="n"/>
      <x:c r="R205" s="25" t="n"/>
      <x:c r="S205" s="20" t="n">
        <x:v>361</x:v>
      </x:c>
      <x:c r="T205" s="20" t="n">
        <x:v>9</x:v>
      </x:c>
      <x:c r="U205" s="25" t="n">
        <x:v>40</x:v>
      </x:c>
      <x:c r="V205" s="25" t="n">
        <x:v>99</x:v>
      </x:c>
      <x:c r="W205" s="20" t="inlineStr">
        <x:is>
          <x:t xml:space="preserve">D</x:t>
        </x:is>
      </x:c>
      <x:c r="X205" s="20" t="inlineStr">
        <x:is>
          <x:t xml:space="preserve">D</x:t>
        </x:is>
      </x:c>
      <x:c r="Y205" s="25" t="n">
        <x:v>100</x:v>
      </x:c>
      <x:c r="Z205" s="20" t="inlineStr">
        <x:is>
          <x:t xml:space="preserve">https://www.fldoe.org/file/18534/SchoolGrades25.xlsx</x:t>
        </x:is>
      </x:c>
    </x:row>
    <x:row r="206">
      <x:c r="A206" s="20" t="inlineStr">
        <x:is>
          <x:t xml:space="preserve">531521</x:t>
        </x:is>
      </x:c>
      <x:c r="B206" s="20" t="inlineStr">
        <x:is>
          <x:t xml:space="preserve">53</x:t>
        </x:is>
      </x:c>
      <x:c r="C206" s="20" t="inlineStr">
        <x:is>
          <x:t xml:space="preserve">POLK</x:t>
        </x:is>
      </x:c>
      <x:c r="D206" s="20" t="inlineStr">
        <x:is>
          <x:t xml:space="preserve">1521</x:t>
        </x:is>
      </x:c>
      <x:c r="E206" s="20" t="inlineStr">
        <x:is>
          <x:t xml:space="preserve">OSCAR J. POPE ELEMENTARY SCHOOL</x:t>
        </x:is>
      </x:c>
      <x:c r="F206" s="20" t="inlineStr">
        <x:is>
          <x:t xml:space="preserve">01</x:t>
        </x:is>
      </x:c>
      <x:c r="G206" s="20" t="inlineStr">
        <x:is>
          <x:t xml:space="preserve">Elementary</x:t>
        </x:is>
      </x:c>
      <x:c r="H206" s="20" t="inlineStr">
        <x:is>
          <x:t xml:space="preserve">NO</x:t>
        </x:is>
      </x:c>
      <x:c r="I206" s="20" t="inlineStr">
        <x:is>
          <x:t xml:space="preserve">YES</x:t>
        </x:is>
      </x:c>
      <x:c r="J206" s="20" t="inlineStr">
        <x:is>
          <x:t xml:space="preserve">N</x:t>
        </x:is>
      </x:c>
      <x:c r="K206" s="25" t="n">
        <x:v>37</x:v>
      </x:c>
      <x:c r="L206" s="25" t="n">
        <x:v>46</x:v>
      </x:c>
      <x:c r="M206" s="25" t="n">
        <x:v>38</x:v>
      </x:c>
      <x:c r="N206" s="25" t="n">
        <x:v>42</x:v>
      </x:c>
      <x:c r="O206" s="25" t="n">
        <x:v>43</x:v>
      </x:c>
      <x:c r="P206" s="25" t="n"/>
      <x:c r="Q206" s="25" t="n"/>
      <x:c r="R206" s="25" t="n"/>
      <x:c r="S206" s="20" t="n">
        <x:v>333</x:v>
      </x:c>
      <x:c r="T206" s="20" t="n">
        <x:v>8</x:v>
      </x:c>
      <x:c r="U206" s="25" t="n">
        <x:v>42</x:v>
      </x:c>
      <x:c r="V206" s="25" t="n">
        <x:v>97</x:v>
      </x:c>
      <x:c r="W206" s="20" t="inlineStr">
        <x:is>
          <x:t xml:space="preserve">C</x:t>
        </x:is>
      </x:c>
      <x:c r="X206" s="20" t="inlineStr">
        <x:is>
          <x:t xml:space="preserve">A</x:t>
        </x:is>
      </x:c>
      <x:c r="Y206" s="25" t="n">
        <x:v>100</x:v>
      </x:c>
      <x:c r="Z206" s="20" t="inlineStr">
        <x:is>
          <x:t xml:space="preserve">https://www.fldoe.org/file/18534/SchoolGrades25.xlsx</x:t>
        </x:is>
      </x:c>
    </x:row>
    <x:row r="207">
      <x:c r="A207" s="20" t="inlineStr">
        <x:is>
          <x:t xml:space="preserve">531601</x:t>
        </x:is>
      </x:c>
      <x:c r="B207" s="20" t="inlineStr">
        <x:is>
          <x:t xml:space="preserve">53</x:t>
        </x:is>
      </x:c>
      <x:c r="C207" s="20" t="inlineStr">
        <x:is>
          <x:t xml:space="preserve">POLK</x:t>
        </x:is>
      </x:c>
      <x:c r="D207" s="20" t="inlineStr">
        <x:is>
          <x:t xml:space="preserve">1601</x:t>
        </x:is>
      </x:c>
      <x:c r="E207" s="20" t="inlineStr">
        <x:is>
          <x:t xml:space="preserve">BOK ACADEMY</x:t>
        </x:is>
      </x:c>
      <x:c r="F207" s="20" t="inlineStr">
        <x:is>
          <x:t xml:space="preserve">02</x:t>
        </x:is>
      </x:c>
      <x:c r="G207" s="20" t="inlineStr">
        <x:is>
          <x:t xml:space="preserve">Middle/Junior</x:t>
        </x:is>
      </x:c>
      <x:c r="H207" s="20" t="inlineStr">
        <x:is>
          <x:t xml:space="preserve">YES</x:t>
        </x:is>
      </x:c>
      <x:c r="I207" s="20" t="inlineStr">
        <x:is>
          <x:t xml:space="preserve">YES</x:t>
        </x:is>
      </x:c>
      <x:c r="J207" s="20" t="inlineStr">
        <x:is>
          <x:t xml:space="preserve">N</x:t>
        </x:is>
      </x:c>
      <x:c r="K207" s="25" t="n">
        <x:v>57</x:v>
      </x:c>
      <x:c r="L207" s="25" t="n">
        <x:v>54</x:v>
      </x:c>
      <x:c r="M207" s="25" t="n">
        <x:v>59</x:v>
      </x:c>
      <x:c r="N207" s="25" t="n">
        <x:v>60</x:v>
      </x:c>
      <x:c r="O207" s="25" t="n">
        <x:v>49</x:v>
      </x:c>
      <x:c r="P207" s="25" t="n">
        <x:v>83</x:v>
      </x:c>
      <x:c r="Q207" s="25" t="n"/>
      <x:c r="R207" s="25" t="n"/>
      <x:c r="S207" s="20" t="n">
        <x:v>546</x:v>
      </x:c>
      <x:c r="T207" s="20" t="n">
        <x:v>9</x:v>
      </x:c>
      <x:c r="U207" s="25" t="n">
        <x:v>61</x:v>
      </x:c>
      <x:c r="V207" s="25" t="n">
        <x:v>100</x:v>
      </x:c>
      <x:c r="W207" s="20" t="inlineStr">
        <x:is>
          <x:t xml:space="preserve">B</x:t>
        </x:is>
      </x:c>
      <x:c r="X207" s="20" t="inlineStr">
        <x:is>
          <x:t xml:space="preserve">B</x:t>
        </x:is>
      </x:c>
      <x:c r="Y207" s="25" t="n">
        <x:v>100</x:v>
      </x:c>
      <x:c r="Z207" s="20" t="inlineStr">
        <x:is>
          <x:t xml:space="preserve">https://www.fldoe.org/file/18534/SchoolGrades25.xlsx</x:t>
        </x:is>
      </x:c>
    </x:row>
    <x:row r="208">
      <x:c r="A208" s="20" t="inlineStr">
        <x:is>
          <x:t xml:space="preserve">531611</x:t>
        </x:is>
      </x:c>
      <x:c r="B208" s="20" t="inlineStr">
        <x:is>
          <x:t xml:space="preserve">53</x:t>
        </x:is>
      </x:c>
      <x:c r="C208" s="20" t="inlineStr">
        <x:is>
          <x:t xml:space="preserve">POLK</x:t>
        </x:is>
      </x:c>
      <x:c r="D208" s="20" t="inlineStr">
        <x:is>
          <x:t xml:space="preserve">1611</x:t>
        </x:is>
      </x:c>
      <x:c r="E208" s="20" t="inlineStr">
        <x:is>
          <x:t xml:space="preserve">LAUREL ELEMENTARY SCHOOL</x:t>
        </x:is>
      </x:c>
      <x:c r="F208" s="20" t="inlineStr">
        <x:is>
          <x:t xml:space="preserve">01</x:t>
        </x:is>
      </x:c>
      <x:c r="G208" s="20" t="inlineStr">
        <x:is>
          <x:t xml:space="preserve">Elementary</x:t>
        </x:is>
      </x:c>
      <x:c r="H208" s="20" t="inlineStr">
        <x:is>
          <x:t xml:space="preserve">NO</x:t>
        </x:is>
      </x:c>
      <x:c r="I208" s="20" t="inlineStr">
        <x:is>
          <x:t xml:space="preserve">YES</x:t>
        </x:is>
      </x:c>
      <x:c r="J208" s="20" t="inlineStr">
        <x:is>
          <x:t xml:space="preserve">N</x:t>
        </x:is>
      </x:c>
      <x:c r="K208" s="25" t="n">
        <x:v>49</x:v>
      </x:c>
      <x:c r="L208" s="25" t="n">
        <x:v>60</x:v>
      </x:c>
      <x:c r="M208" s="25" t="n">
        <x:v>52</x:v>
      </x:c>
      <x:c r="N208" s="25" t="n">
        <x:v>61</x:v>
      </x:c>
      <x:c r="O208" s="25" t="n">
        <x:v>45</x:v>
      </x:c>
      <x:c r="P208" s="25" t="n"/>
      <x:c r="Q208" s="25" t="n"/>
      <x:c r="R208" s="25" t="n"/>
      <x:c r="S208" s="20" t="n">
        <x:v>431</x:v>
      </x:c>
      <x:c r="T208" s="20" t="n">
        <x:v>8</x:v>
      </x:c>
      <x:c r="U208" s="25" t="n">
        <x:v>54</x:v>
      </x:c>
      <x:c r="V208" s="25" t="n">
        <x:v>100</x:v>
      </x:c>
      <x:c r="W208" s="20" t="inlineStr">
        <x:is>
          <x:t xml:space="preserve">B</x:t>
        </x:is>
      </x:c>
      <x:c r="X208" s="20" t="inlineStr">
        <x:is>
          <x:t xml:space="preserve">B</x:t>
        </x:is>
      </x:c>
      <x:c r="Y208" s="25" t="n">
        <x:v>100</x:v>
      </x:c>
      <x:c r="Z208" s="20" t="inlineStr">
        <x:is>
          <x:t xml:space="preserve">https://www.fldoe.org/file/18534/SchoolGrades25.xlsx</x:t>
        </x:is>
      </x:c>
    </x:row>
    <x:row r="209">
      <x:c r="A209" s="20" t="inlineStr">
        <x:is>
          <x:t xml:space="preserve">531621</x:t>
        </x:is>
      </x:c>
      <x:c r="B209" s="20" t="inlineStr">
        <x:is>
          <x:t xml:space="preserve">53</x:t>
        </x:is>
      </x:c>
      <x:c r="C209" s="20" t="inlineStr">
        <x:is>
          <x:t xml:space="preserve">POLK</x:t>
        </x:is>
      </x:c>
      <x:c r="D209" s="20" t="inlineStr">
        <x:is>
          <x:t xml:space="preserve">1621</x:t>
        </x:is>
      </x:c>
      <x:c r="E209" s="20" t="inlineStr">
        <x:is>
          <x:t xml:space="preserve">EDWARD W BOK ACADEMY NORTH</x:t>
        </x:is>
      </x:c>
      <x:c r="F209" s="20" t="inlineStr">
        <x:is>
          <x:t xml:space="preserve">02</x:t>
        </x:is>
      </x:c>
      <x:c r="G209" s="20" t="inlineStr">
        <x:is>
          <x:t xml:space="preserve">Middle/Junior</x:t>
        </x:is>
      </x:c>
      <x:c r="H209" s="20" t="inlineStr">
        <x:is>
          <x:t xml:space="preserve">YES</x:t>
        </x:is>
      </x:c>
      <x:c r="I209" s="20" t="inlineStr">
        <x:is>
          <x:t xml:space="preserve">YES</x:t>
        </x:is>
      </x:c>
      <x:c r="J209" s="20" t="inlineStr">
        <x:is>
          <x:t xml:space="preserve">N</x:t>
        </x:is>
      </x:c>
      <x:c r="K209" s="25" t="n">
        <x:v>56</x:v>
      </x:c>
      <x:c r="L209" s="25" t="n">
        <x:v>60</x:v>
      </x:c>
      <x:c r="M209" s="25" t="n">
        <x:v>43</x:v>
      </x:c>
      <x:c r="N209" s="25" t="n">
        <x:v>43</x:v>
      </x:c>
      <x:c r="O209" s="25" t="n">
        <x:v>39</x:v>
      </x:c>
      <x:c r="P209" s="25" t="n">
        <x:v>84</x:v>
      </x:c>
      <x:c r="Q209" s="25" t="n"/>
      <x:c r="R209" s="25" t="n"/>
      <x:c r="S209" s="20" t="n">
        <x:v>497</x:v>
      </x:c>
      <x:c r="T209" s="20" t="n">
        <x:v>9</x:v>
      </x:c>
      <x:c r="U209" s="25" t="n">
        <x:v>55</x:v>
      </x:c>
      <x:c r="V209" s="25" t="n">
        <x:v>97</x:v>
      </x:c>
      <x:c r="W209" s="20" t="inlineStr">
        <x:is>
          <x:t xml:space="preserve">C</x:t>
        </x:is>
      </x:c>
      <x:c r="X209" s="20" t="inlineStr">
        <x:is>
          <x:t xml:space="preserve">B</x:t>
        </x:is>
      </x:c>
      <x:c r="Y209" s="25" t="n">
        <x:v>100</x:v>
      </x:c>
      <x:c r="Z209" s="20" t="inlineStr">
        <x:is>
          <x:t xml:space="preserve">https://www.fldoe.org/file/18534/SchoolGrades25.xlsx</x:t>
        </x:is>
      </x:c>
    </x:row>
    <x:row r="210">
      <x:c r="A210" s="20" t="inlineStr">
        <x:is>
          <x:t xml:space="preserve">531662</x:t>
        </x:is>
      </x:c>
      <x:c r="B210" s="20" t="inlineStr">
        <x:is>
          <x:t xml:space="preserve">53</x:t>
        </x:is>
      </x:c>
      <x:c r="C210" s="20" t="inlineStr">
        <x:is>
          <x:t xml:space="preserve">POLK</x:t>
        </x:is>
      </x:c>
      <x:c r="D210" s="20" t="inlineStr">
        <x:is>
          <x:t xml:space="preserve">1662</x:t>
        </x:is>
      </x:c>
      <x:c r="E210" s="20" t="inlineStr">
        <x:is>
          <x:t xml:space="preserve">LAKE ALFRED POLYTECH ACADEMY</x:t>
        </x:is>
      </x:c>
      <x:c r="F210" s="20" t="inlineStr">
        <x:is>
          <x:t xml:space="preserve">02</x:t>
        </x:is>
      </x:c>
      <x:c r="G210" s="20" t="inlineStr">
        <x:is>
          <x:t xml:space="preserve">Middle/Junior</x:t>
        </x:is>
      </x:c>
      <x:c r="H210" s="20" t="inlineStr">
        <x:is>
          <x:t xml:space="preserve">NO</x:t>
        </x:is>
      </x:c>
      <x:c r="I210" s="20" t="inlineStr">
        <x:is>
          <x:t xml:space="preserve">YES</x:t>
        </x:is>
      </x:c>
      <x:c r="J210" s="20" t="inlineStr">
        <x:is>
          <x:t xml:space="preserve">N</x:t>
        </x:is>
      </x:c>
      <x:c r="K210" s="25" t="n">
        <x:v>47</x:v>
      </x:c>
      <x:c r="L210" s="25" t="n">
        <x:v>60</x:v>
      </x:c>
      <x:c r="M210" s="25" t="n">
        <x:v>50</x:v>
      </x:c>
      <x:c r="N210" s="25" t="n">
        <x:v>52</x:v>
      </x:c>
      <x:c r="O210" s="25" t="n">
        <x:v>40</x:v>
      </x:c>
      <x:c r="P210" s="25" t="n">
        <x:v>82</x:v>
      </x:c>
      <x:c r="Q210" s="25" t="n"/>
      <x:c r="R210" s="25" t="n"/>
      <x:c r="S210" s="20" t="n">
        <x:v>525</x:v>
      </x:c>
      <x:c r="T210" s="20" t="n">
        <x:v>9</x:v>
      </x:c>
      <x:c r="U210" s="25" t="n">
        <x:v>58</x:v>
      </x:c>
      <x:c r="V210" s="25" t="n">
        <x:v>100</x:v>
      </x:c>
      <x:c r="W210" s="20" t="inlineStr">
        <x:is>
          <x:t xml:space="preserve">B</x:t>
        </x:is>
      </x:c>
      <x:c r="X210" s="20" t="inlineStr">
        <x:is>
          <x:t xml:space="preserve">C</x:t>
        </x:is>
      </x:c>
      <x:c r="Y210" s="25" t="n">
        <x:v>99.3</x:v>
      </x:c>
      <x:c r="Z210" s="20" t="inlineStr">
        <x:is>
          <x:t xml:space="preserve">https://www.fldoe.org/file/18534/SchoolGrades25.xlsx</x:t>
        </x:is>
      </x:c>
    </x:row>
    <x:row r="211">
      <x:c r="A211" s="20" t="inlineStr">
        <x:is>
          <x:t xml:space="preserve">531671</x:t>
        </x:is>
      </x:c>
      <x:c r="B211" s="20" t="inlineStr">
        <x:is>
          <x:t xml:space="preserve">53</x:t>
        </x:is>
      </x:c>
      <x:c r="C211" s="20" t="inlineStr">
        <x:is>
          <x:t xml:space="preserve">POLK</x:t>
        </x:is>
      </x:c>
      <x:c r="D211" s="20" t="inlineStr">
        <x:is>
          <x:t xml:space="preserve">1671</x:t>
        </x:is>
      </x:c>
      <x:c r="E211" s="20" t="inlineStr">
        <x:is>
          <x:t xml:space="preserve">MCKEEL ACADEMY OF TECHNOLOGY</x:t>
        </x:is>
      </x:c>
      <x:c r="F211" s="20" t="inlineStr">
        <x:is>
          <x:t xml:space="preserve">04</x:t>
        </x:is>
      </x:c>
      <x:c r="G211" s="20" t="inlineStr">
        <x:is>
          <x:t xml:space="preserve">Combination</x:t>
        </x:is>
      </x:c>
      <x:c r="H211" s="20" t="inlineStr">
        <x:is>
          <x:t xml:space="preserve">YES</x:t>
        </x:is>
      </x:c>
      <x:c r="I211" s="20" t="inlineStr">
        <x:is>
          <x:t xml:space="preserve">NO</x:t>
        </x:is>
      </x:c>
      <x:c r="J211" s="20" t="inlineStr">
        <x:is>
          <x:t xml:space="preserve">N</x:t>
        </x:is>
      </x:c>
      <x:c r="K211" s="25" t="n">
        <x:v>74</x:v>
      </x:c>
      <x:c r="L211" s="25" t="n">
        <x:v>63</x:v>
      </x:c>
      <x:c r="M211" s="25" t="n">
        <x:v>80</x:v>
      </x:c>
      <x:c r="N211" s="25" t="n">
        <x:v>64</x:v>
      </x:c>
      <x:c r="O211" s="25" t="n">
        <x:v>76</x:v>
      </x:c>
      <x:c r="P211" s="25" t="n">
        <x:v>91</x:v>
      </x:c>
      <x:c r="Q211" s="25" t="n">
        <x:v>100</x:v>
      </x:c>
      <x:c r="R211" s="25" t="n">
        <x:v>68</x:v>
      </x:c>
      <x:c r="S211" s="20" t="n">
        <x:v>789</x:v>
      </x:c>
      <x:c r="T211" s="20" t="n">
        <x:v>11</x:v>
      </x:c>
      <x:c r="U211" s="25" t="n">
        <x:v>72</x:v>
      </x:c>
      <x:c r="V211" s="25" t="n">
        <x:v>100</x:v>
      </x:c>
      <x:c r="W211" s="20" t="inlineStr">
        <x:is>
          <x:t xml:space="preserve">A</x:t>
        </x:is>
      </x:c>
      <x:c r="X211" s="20" t="inlineStr">
        <x:is>
          <x:t xml:space="preserve">A</x:t>
        </x:is>
      </x:c>
      <x:c r="Y211" s="25" t="n">
        <x:v>36.1</x:v>
      </x:c>
      <x:c r="Z211" s="20" t="inlineStr">
        <x:is>
          <x:t xml:space="preserve">https://www.fldoe.org/file/18534/SchoolGrades25.xlsx</x:t>
        </x:is>
      </x:c>
    </x:row>
    <x:row r="212">
      <x:c r="A212" s="20" t="inlineStr">
        <x:is>
          <x:t xml:space="preserve">531681</x:t>
        </x:is>
      </x:c>
      <x:c r="B212" s="20" t="inlineStr">
        <x:is>
          <x:t xml:space="preserve">53</x:t>
        </x:is>
      </x:c>
      <x:c r="C212" s="20" t="inlineStr">
        <x:is>
          <x:t xml:space="preserve">POLK</x:t>
        </x:is>
      </x:c>
      <x:c r="D212" s="20" t="inlineStr">
        <x:is>
          <x:t xml:space="preserve">1681</x:t>
        </x:is>
      </x:c>
      <x:c r="E212" s="20" t="inlineStr">
        <x:is>
          <x:t xml:space="preserve">SCOTT LAKE ELEMENTARY SCHOOL</x:t>
        </x:is>
      </x:c>
      <x:c r="F212" s="20" t="inlineStr">
        <x:is>
          <x:t xml:space="preserve">01</x:t>
        </x:is>
      </x:c>
      <x:c r="G212" s="20" t="inlineStr">
        <x:is>
          <x:t xml:space="preserve">Elementary</x:t>
        </x:is>
      </x:c>
      <x:c r="H212" s="20" t="inlineStr">
        <x:is>
          <x:t xml:space="preserve">NO</x:t>
        </x:is>
      </x:c>
      <x:c r="I212" s="20" t="inlineStr">
        <x:is>
          <x:t xml:space="preserve">YES</x:t>
        </x:is>
      </x:c>
      <x:c r="J212" s="20" t="inlineStr">
        <x:is>
          <x:t xml:space="preserve">N</x:t>
        </x:is>
      </x:c>
      <x:c r="K212" s="25" t="n">
        <x:v>61</x:v>
      </x:c>
      <x:c r="L212" s="25" t="n">
        <x:v>49</x:v>
      </x:c>
      <x:c r="M212" s="25" t="n">
        <x:v>65</x:v>
      </x:c>
      <x:c r="N212" s="25" t="n">
        <x:v>49</x:v>
      </x:c>
      <x:c r="O212" s="25" t="n">
        <x:v>50</x:v>
      </x:c>
      <x:c r="P212" s="25" t="n"/>
      <x:c r="Q212" s="25" t="n"/>
      <x:c r="R212" s="25" t="n"/>
      <x:c r="S212" s="20" t="n">
        <x:v>426</x:v>
      </x:c>
      <x:c r="T212" s="20" t="n">
        <x:v>8</x:v>
      </x:c>
      <x:c r="U212" s="25" t="n">
        <x:v>53</x:v>
      </x:c>
      <x:c r="V212" s="25" t="n">
        <x:v>99</x:v>
      </x:c>
      <x:c r="W212" s="20" t="inlineStr">
        <x:is>
          <x:t xml:space="preserve">C</x:t>
        </x:is>
      </x:c>
      <x:c r="X212" s="20" t="inlineStr">
        <x:is>
          <x:t xml:space="preserve">A</x:t>
        </x:is>
      </x:c>
      <x:c r="Y212" s="25" t="n">
        <x:v>79.09999999999999</x:v>
      </x:c>
      <x:c r="Z212" s="20" t="inlineStr">
        <x:is>
          <x:t xml:space="preserve">https://www.fldoe.org/file/18534/SchoolGrades25.xlsx</x:t>
        </x:is>
      </x:c>
    </x:row>
    <x:row r="213">
      <x:c r="A213" s="20" t="inlineStr">
        <x:is>
          <x:t xml:space="preserve">531682</x:t>
        </x:is>
      </x:c>
      <x:c r="B213" s="20" t="inlineStr">
        <x:is>
          <x:t xml:space="preserve">53</x:t>
        </x:is>
      </x:c>
      <x:c r="C213" s="20" t="inlineStr">
        <x:is>
          <x:t xml:space="preserve">POLK</x:t>
        </x:is>
      </x:c>
      <x:c r="D213" s="20" t="inlineStr">
        <x:is>
          <x:t xml:space="preserve">1682</x:t>
        </x:is>
      </x:c>
      <x:c r="E213" s="20" t="inlineStr">
        <x:is>
          <x:t xml:space="preserve">MCKEEL ACADEMY CENTRAL</x:t>
        </x:is>
      </x:c>
      <x:c r="F213" s="20" t="inlineStr">
        <x:is>
          <x:t xml:space="preserve">01</x:t>
        </x:is>
      </x:c>
      <x:c r="G213" s="20" t="inlineStr">
        <x:is>
          <x:t xml:space="preserve">Elementary</x:t>
        </x:is>
      </x:c>
      <x:c r="H213" s="20" t="inlineStr">
        <x:is>
          <x:t xml:space="preserve">YES</x:t>
        </x:is>
      </x:c>
      <x:c r="I213" s="20" t="inlineStr">
        <x:is>
          <x:t xml:space="preserve">NO</x:t>
        </x:is>
      </x:c>
      <x:c r="J213" s="20" t="inlineStr">
        <x:is>
          <x:t xml:space="preserve">N</x:t>
        </x:is>
      </x:c>
      <x:c r="K213" s="25" t="n">
        <x:v>82</x:v>
      </x:c>
      <x:c r="L213" s="25" t="n">
        <x:v>74</x:v>
      </x:c>
      <x:c r="M213" s="25" t="n">
        <x:v>87</x:v>
      </x:c>
      <x:c r="N213" s="25" t="n">
        <x:v>74</x:v>
      </x:c>
      <x:c r="O213" s="25" t="n">
        <x:v>74</x:v>
      </x:c>
      <x:c r="P213" s="25" t="n"/>
      <x:c r="Q213" s="25" t="n"/>
      <x:c r="R213" s="25" t="n"/>
      <x:c r="S213" s="20" t="n">
        <x:v>608</x:v>
      </x:c>
      <x:c r="T213" s="20" t="n">
        <x:v>8</x:v>
      </x:c>
      <x:c r="U213" s="25" t="n">
        <x:v>76</x:v>
      </x:c>
      <x:c r="V213" s="25" t="n">
        <x:v>100</x:v>
      </x:c>
      <x:c r="W213" s="20" t="inlineStr">
        <x:is>
          <x:t xml:space="preserve">A</x:t>
        </x:is>
      </x:c>
      <x:c r="X213" s="20" t="inlineStr">
        <x:is>
          <x:t xml:space="preserve">A</x:t>
        </x:is>
      </x:c>
      <x:c r="Y213" s="25" t="n">
        <x:v>43.3</x:v>
      </x:c>
      <x:c r="Z213" s="20" t="inlineStr">
        <x:is>
          <x:t xml:space="preserve">https://www.fldoe.org/file/18534/SchoolGrades25.xlsx</x:t>
        </x:is>
      </x:c>
    </x:row>
    <x:row r="214">
      <x:c r="A214" s="20" t="inlineStr">
        <x:is>
          <x:t xml:space="preserve">531692</x:t>
        </x:is>
      </x:c>
      <x:c r="B214" s="20" t="inlineStr">
        <x:is>
          <x:t xml:space="preserve">53</x:t>
        </x:is>
      </x:c>
      <x:c r="C214" s="20" t="inlineStr">
        <x:is>
          <x:t xml:space="preserve">POLK</x:t>
        </x:is>
      </x:c>
      <x:c r="D214" s="20" t="inlineStr">
        <x:is>
          <x:t xml:space="preserve">1692</x:t>
        </x:is>
      </x:c>
      <x:c r="E214" s="20" t="inlineStr">
        <x:is>
          <x:t xml:space="preserve">SOUTH MCKEEL ACADEMY</x:t>
        </x:is>
      </x:c>
      <x:c r="F214" s="20" t="inlineStr">
        <x:is>
          <x:t xml:space="preserve">01</x:t>
        </x:is>
      </x:c>
      <x:c r="G214" s="20" t="inlineStr">
        <x:is>
          <x:t xml:space="preserve">Elementary</x:t>
        </x:is>
      </x:c>
      <x:c r="H214" s="20" t="inlineStr">
        <x:is>
          <x:t xml:space="preserve">YES</x:t>
        </x:is>
      </x:c>
      <x:c r="I214" s="20" t="inlineStr">
        <x:is>
          <x:t xml:space="preserve">NO</x:t>
        </x:is>
      </x:c>
      <x:c r="J214" s="20" t="inlineStr">
        <x:is>
          <x:t xml:space="preserve">N</x:t>
        </x:is>
      </x:c>
      <x:c r="K214" s="25" t="n">
        <x:v>79</x:v>
      </x:c>
      <x:c r="L214" s="25" t="n">
        <x:v>59</x:v>
      </x:c>
      <x:c r="M214" s="25" t="n">
        <x:v>84</x:v>
      </x:c>
      <x:c r="N214" s="25" t="n">
        <x:v>72</x:v>
      </x:c>
      <x:c r="O214" s="25" t="n">
        <x:v>80</x:v>
      </x:c>
      <x:c r="P214" s="25" t="n"/>
      <x:c r="Q214" s="25" t="n"/>
      <x:c r="R214" s="25" t="n"/>
      <x:c r="S214" s="20" t="n">
        <x:v>574</x:v>
      </x:c>
      <x:c r="T214" s="20" t="n">
        <x:v>8</x:v>
      </x:c>
      <x:c r="U214" s="25" t="n">
        <x:v>72</x:v>
      </x:c>
      <x:c r="V214" s="25" t="n">
        <x:v>100</x:v>
      </x:c>
      <x:c r="W214" s="20" t="inlineStr">
        <x:is>
          <x:t xml:space="preserve">A</x:t>
        </x:is>
      </x:c>
      <x:c r="X214" s="20" t="inlineStr">
        <x:is>
          <x:t xml:space="preserve">A</x:t>
        </x:is>
      </x:c>
      <x:c r="Y214" s="25" t="n">
        <x:v>56.2</x:v>
      </x:c>
      <x:c r="Z214" s="20" t="inlineStr">
        <x:is>
          <x:t xml:space="preserve">https://www.fldoe.org/file/18534/SchoolGrades25.xlsx</x:t>
        </x:is>
      </x:c>
    </x:row>
    <x:row r="215">
      <x:c r="A215" s="20" t="inlineStr">
        <x:is>
          <x:t xml:space="preserve">531701</x:t>
        </x:is>
      </x:c>
      <x:c r="B215" s="20" t="inlineStr">
        <x:is>
          <x:t xml:space="preserve">53</x:t>
        </x:is>
      </x:c>
      <x:c r="C215" s="20" t="inlineStr">
        <x:is>
          <x:t xml:space="preserve">POLK</x:t>
        </x:is>
      </x:c>
      <x:c r="D215" s="20" t="inlineStr">
        <x:is>
          <x:t xml:space="preserve">1701</x:t>
        </x:is>
      </x:c>
      <x:c r="E215" s="20" t="inlineStr">
        <x:is>
          <x:t xml:space="preserve">EAGLE LAKE ELEMENTARY SCHOOL</x:t>
        </x:is>
      </x:c>
      <x:c r="F215" s="20" t="inlineStr">
        <x:is>
          <x:t xml:space="preserve">01</x:t>
        </x:is>
      </x:c>
      <x:c r="G215" s="20" t="inlineStr">
        <x:is>
          <x:t xml:space="preserve">Elementary</x:t>
        </x:is>
      </x:c>
      <x:c r="H215" s="20" t="inlineStr">
        <x:is>
          <x:t xml:space="preserve">NO</x:t>
        </x:is>
      </x:c>
      <x:c r="I215" s="20" t="inlineStr">
        <x:is>
          <x:t xml:space="preserve">YES</x:t>
        </x:is>
      </x:c>
      <x:c r="J215" s="20" t="inlineStr">
        <x:is>
          <x:t xml:space="preserve">N</x:t>
        </x:is>
      </x:c>
      <x:c r="K215" s="25" t="n">
        <x:v>37</x:v>
      </x:c>
      <x:c r="L215" s="25" t="n">
        <x:v>44</x:v>
      </x:c>
      <x:c r="M215" s="25" t="n">
        <x:v>30</x:v>
      </x:c>
      <x:c r="N215" s="25" t="n">
        <x:v>35</x:v>
      </x:c>
      <x:c r="O215" s="25" t="n">
        <x:v>23</x:v>
      </x:c>
      <x:c r="P215" s="25" t="n"/>
      <x:c r="Q215" s="25" t="n"/>
      <x:c r="R215" s="25" t="n"/>
      <x:c r="S215" s="20" t="n">
        <x:v>294</x:v>
      </x:c>
      <x:c r="T215" s="20" t="n">
        <x:v>8</x:v>
      </x:c>
      <x:c r="U215" s="25" t="n">
        <x:v>37</x:v>
      </x:c>
      <x:c r="V215" s="25" t="n">
        <x:v>100</x:v>
      </x:c>
      <x:c r="W215" s="20" t="inlineStr">
        <x:is>
          <x:t xml:space="preserve">D</x:t>
        </x:is>
      </x:c>
      <x:c r="X215" s="20" t="inlineStr">
        <x:is>
          <x:t xml:space="preserve">C</x:t>
        </x:is>
      </x:c>
      <x:c r="Y215" s="25" t="n">
        <x:v>100</x:v>
      </x:c>
      <x:c r="Z215" s="20" t="inlineStr">
        <x:is>
          <x:t xml:space="preserve">https://www.fldoe.org/file/18534/SchoolGrades25.xlsx</x:t>
        </x:is>
      </x:c>
    </x:row>
    <x:row r="216">
      <x:c r="A216" s="20" t="inlineStr">
        <x:is>
          <x:t xml:space="preserve">531702</x:t>
        </x:is>
      </x:c>
      <x:c r="B216" s="20" t="inlineStr">
        <x:is>
          <x:t xml:space="preserve">53</x:t>
        </x:is>
      </x:c>
      <x:c r="C216" s="20" t="inlineStr">
        <x:is>
          <x:t xml:space="preserve">POLK</x:t>
        </x:is>
      </x:c>
      <x:c r="D216" s="20" t="inlineStr">
        <x:is>
          <x:t xml:space="preserve">1702</x:t>
        </x:is>
      </x:c>
      <x:c r="E216" s="20" t="inlineStr">
        <x:is>
          <x:t xml:space="preserve">PALMETTO ELEMENTARY SCHOOL</x:t>
        </x:is>
      </x:c>
      <x:c r="F216" s="20" t="inlineStr">
        <x:is>
          <x:t xml:space="preserve">01</x:t>
        </x:is>
      </x:c>
      <x:c r="G216" s="20" t="inlineStr">
        <x:is>
          <x:t xml:space="preserve">Elementary</x:t>
        </x:is>
      </x:c>
      <x:c r="H216" s="20" t="inlineStr">
        <x:is>
          <x:t xml:space="preserve">NO</x:t>
        </x:is>
      </x:c>
      <x:c r="I216" s="20" t="inlineStr">
        <x:is>
          <x:t xml:space="preserve">YES</x:t>
        </x:is>
      </x:c>
      <x:c r="J216" s="20" t="inlineStr">
        <x:is>
          <x:t xml:space="preserve">N</x:t>
        </x:is>
      </x:c>
      <x:c r="K216" s="25" t="n">
        <x:v>38</x:v>
      </x:c>
      <x:c r="L216" s="25" t="n">
        <x:v>52</x:v>
      </x:c>
      <x:c r="M216" s="25" t="n">
        <x:v>35</x:v>
      </x:c>
      <x:c r="N216" s="25" t="n">
        <x:v>29</x:v>
      </x:c>
      <x:c r="O216" s="25" t="n">
        <x:v>46</x:v>
      </x:c>
      <x:c r="P216" s="25" t="n"/>
      <x:c r="Q216" s="25" t="n"/>
      <x:c r="R216" s="25" t="n"/>
      <x:c r="S216" s="20" t="n">
        <x:v>341</x:v>
      </x:c>
      <x:c r="T216" s="20" t="n">
        <x:v>8</x:v>
      </x:c>
      <x:c r="U216" s="25" t="n">
        <x:v>43</x:v>
      </x:c>
      <x:c r="V216" s="25" t="n">
        <x:v>98</x:v>
      </x:c>
      <x:c r="W216" s="20" t="inlineStr">
        <x:is>
          <x:t xml:space="preserve">C</x:t>
        </x:is>
      </x:c>
      <x:c r="X216" s="20" t="inlineStr">
        <x:is>
          <x:t xml:space="preserve">C</x:t>
        </x:is>
      </x:c>
      <x:c r="Y216" s="25" t="n">
        <x:v>100</x:v>
      </x:c>
      <x:c r="Z216" s="20" t="inlineStr">
        <x:is>
          <x:t xml:space="preserve">https://www.fldoe.org/file/18534/SchoolGrades25.xlsx</x:t>
        </x:is>
      </x:c>
    </x:row>
    <x:row r="217">
      <x:c r="A217" s="20" t="inlineStr">
        <x:is>
          <x:t xml:space="preserve">531711</x:t>
        </x:is>
      </x:c>
      <x:c r="B217" s="20" t="inlineStr">
        <x:is>
          <x:t xml:space="preserve">53</x:t>
        </x:is>
      </x:c>
      <x:c r="C217" s="20" t="inlineStr">
        <x:is>
          <x:t xml:space="preserve">POLK</x:t>
        </x:is>
      </x:c>
      <x:c r="D217" s="20" t="inlineStr">
        <x:is>
          <x:t xml:space="preserve">1711</x:t>
        </x:is>
      </x:c>
      <x:c r="E217" s="20" t="inlineStr">
        <x:is>
          <x:t xml:space="preserve">GARDEN GROVE ELEMENTARY SCHOOL</x:t>
        </x:is>
      </x:c>
      <x:c r="F217" s="20" t="inlineStr">
        <x:is>
          <x:t xml:space="preserve">01</x:t>
        </x:is>
      </x:c>
      <x:c r="G217" s="20" t="inlineStr">
        <x:is>
          <x:t xml:space="preserve">Elementary</x:t>
        </x:is>
      </x:c>
      <x:c r="H217" s="20" t="inlineStr">
        <x:is>
          <x:t xml:space="preserve">NO</x:t>
        </x:is>
      </x:c>
      <x:c r="I217" s="20" t="inlineStr">
        <x:is>
          <x:t xml:space="preserve">YES</x:t>
        </x:is>
      </x:c>
      <x:c r="J217" s="20" t="inlineStr">
        <x:is>
          <x:t xml:space="preserve">N</x:t>
        </x:is>
      </x:c>
      <x:c r="K217" s="25" t="n">
        <x:v>47</x:v>
      </x:c>
      <x:c r="L217" s="25" t="n">
        <x:v>58</x:v>
      </x:c>
      <x:c r="M217" s="25" t="n">
        <x:v>45</x:v>
      </x:c>
      <x:c r="N217" s="25" t="n">
        <x:v>58</x:v>
      </x:c>
      <x:c r="O217" s="25" t="n">
        <x:v>56</x:v>
      </x:c>
      <x:c r="P217" s="25" t="n"/>
      <x:c r="Q217" s="25" t="n"/>
      <x:c r="R217" s="25" t="n"/>
      <x:c r="S217" s="20" t="n">
        <x:v>402</x:v>
      </x:c>
      <x:c r="T217" s="20" t="n">
        <x:v>8</x:v>
      </x:c>
      <x:c r="U217" s="25" t="n">
        <x:v>50</x:v>
      </x:c>
      <x:c r="V217" s="25" t="n">
        <x:v>99</x:v>
      </x:c>
      <x:c r="W217" s="20" t="inlineStr">
        <x:is>
          <x:t xml:space="preserve">C</x:t>
        </x:is>
      </x:c>
      <x:c r="X217" s="20" t="inlineStr">
        <x:is>
          <x:t xml:space="preserve">B</x:t>
        </x:is>
      </x:c>
      <x:c r="Y217" s="25" t="n">
        <x:v>100</x:v>
      </x:c>
      <x:c r="Z217" s="20" t="inlineStr">
        <x:is>
          <x:t xml:space="preserve">https://www.fldoe.org/file/18534/SchoolGrades25.xlsx</x:t>
        </x:is>
      </x:c>
    </x:row>
    <x:row r="218">
      <x:c r="A218" s="20" t="inlineStr">
        <x:is>
          <x:t xml:space="preserve">531721</x:t>
        </x:is>
      </x:c>
      <x:c r="B218" s="20" t="inlineStr">
        <x:is>
          <x:t xml:space="preserve">53</x:t>
        </x:is>
      </x:c>
      <x:c r="C218" s="20" t="inlineStr">
        <x:is>
          <x:t xml:space="preserve">POLK</x:t>
        </x:is>
      </x:c>
      <x:c r="D218" s="20" t="inlineStr">
        <x:is>
          <x:t xml:space="preserve">1721</x:t>
        </x:is>
      </x:c>
      <x:c r="E218" s="20" t="inlineStr">
        <x:is>
          <x:t xml:space="preserve">LAKE WALES SENIOR HIGH SCHOOL</x:t>
        </x:is>
      </x:c>
      <x:c r="F218" s="20" t="inlineStr">
        <x:is>
          <x:t xml:space="preserve">03</x:t>
        </x:is>
      </x:c>
      <x:c r="G218" s="20" t="inlineStr">
        <x:is>
          <x:t xml:space="preserve">Senior High</x:t>
        </x:is>
      </x:c>
      <x:c r="H218" s="20" t="inlineStr">
        <x:is>
          <x:t xml:space="preserve">YES</x:t>
        </x:is>
      </x:c>
      <x:c r="I218" s="20" t="inlineStr">
        <x:is>
          <x:t xml:space="preserve">YES</x:t>
        </x:is>
      </x:c>
      <x:c r="J218" s="20" t="inlineStr">
        <x:is>
          <x:t xml:space="preserve">N</x:t>
        </x:is>
      </x:c>
      <x:c r="K218" s="25" t="n">
        <x:v>59</x:v>
      </x:c>
      <x:c r="L218" s="25" t="n">
        <x:v>55</x:v>
      </x:c>
      <x:c r="M218" s="25" t="n">
        <x:v>44</x:v>
      </x:c>
      <x:c r="N218" s="25" t="n">
        <x:v>46</x:v>
      </x:c>
      <x:c r="O218" s="25" t="n">
        <x:v>72</x:v>
      </x:c>
      <x:c r="P218" s="25" t="n">
        <x:v>74</x:v>
      </x:c>
      <x:c r="Q218" s="25" t="n">
        <x:v>93</x:v>
      </x:c>
      <x:c r="R218" s="25" t="n">
        <x:v>46</x:v>
      </x:c>
      <x:c r="S218" s="20" t="n">
        <x:v>588</x:v>
      </x:c>
      <x:c r="T218" s="20" t="n">
        <x:v>10</x:v>
      </x:c>
      <x:c r="U218" s="25" t="n">
        <x:v>59</x:v>
      </x:c>
      <x:c r="V218" s="25" t="n">
        <x:v>98</x:v>
      </x:c>
      <x:c r="W218" s="20" t="inlineStr">
        <x:is>
          <x:t xml:space="preserve">B</x:t>
        </x:is>
      </x:c>
      <x:c r="X218" s="20" t="inlineStr">
        <x:is>
          <x:t xml:space="preserve">B</x:t>
        </x:is>
      </x:c>
      <x:c r="Y218" s="25" t="n">
        <x:v>100</x:v>
      </x:c>
      <x:c r="Z218" s="20" t="inlineStr">
        <x:is>
          <x:t xml:space="preserve">https://www.fldoe.org/file/18534/SchoolGrades25.xlsx</x:t>
        </x:is>
      </x:c>
    </x:row>
    <x:row r="219">
      <x:c r="A219" s="20" t="inlineStr">
        <x:is>
          <x:t xml:space="preserve">531731</x:t>
        </x:is>
      </x:c>
      <x:c r="B219" s="20" t="inlineStr">
        <x:is>
          <x:t xml:space="preserve">53</x:t>
        </x:is>
      </x:c>
      <x:c r="C219" s="20" t="inlineStr">
        <x:is>
          <x:t xml:space="preserve">POLK</x:t>
        </x:is>
      </x:c>
      <x:c r="D219" s="20" t="inlineStr">
        <x:is>
          <x:t xml:space="preserve">1731</x:t>
        </x:is>
      </x:c>
      <x:c r="E219" s="20" t="inlineStr">
        <x:is>
          <x:t xml:space="preserve">PINEWOOD ELEMENTARY SCHOOL</x:t>
        </x:is>
      </x:c>
      <x:c r="F219" s="20" t="inlineStr">
        <x:is>
          <x:t xml:space="preserve">01</x:t>
        </x:is>
      </x:c>
      <x:c r="G219" s="20" t="inlineStr">
        <x:is>
          <x:t xml:space="preserve">Elementary</x:t>
        </x:is>
      </x:c>
      <x:c r="H219" s="20" t="inlineStr">
        <x:is>
          <x:t xml:space="preserve">NO</x:t>
        </x:is>
      </x:c>
      <x:c r="I219" s="20" t="inlineStr">
        <x:is>
          <x:t xml:space="preserve">YES</x:t>
        </x:is>
      </x:c>
      <x:c r="J219" s="20" t="inlineStr">
        <x:is>
          <x:t xml:space="preserve">N</x:t>
        </x:is>
      </x:c>
      <x:c r="K219" s="25" t="n">
        <x:v>48</x:v>
      </x:c>
      <x:c r="L219" s="25" t="n">
        <x:v>51</x:v>
      </x:c>
      <x:c r="M219" s="25" t="n">
        <x:v>48</x:v>
      </x:c>
      <x:c r="N219" s="25" t="n">
        <x:v>44</x:v>
      </x:c>
      <x:c r="O219" s="25" t="n">
        <x:v>51</x:v>
      </x:c>
      <x:c r="P219" s="25" t="n"/>
      <x:c r="Q219" s="25" t="n"/>
      <x:c r="R219" s="25" t="n"/>
      <x:c r="S219" s="20" t="n">
        <x:v>388</x:v>
      </x:c>
      <x:c r="T219" s="20" t="n">
        <x:v>8</x:v>
      </x:c>
      <x:c r="U219" s="25" t="n">
        <x:v>49</x:v>
      </x:c>
      <x:c r="V219" s="25" t="n">
        <x:v>99</x:v>
      </x:c>
      <x:c r="W219" s="20" t="inlineStr">
        <x:is>
          <x:t xml:space="preserve">C</x:t>
        </x:is>
      </x:c>
      <x:c r="X219" s="20" t="inlineStr">
        <x:is>
          <x:t xml:space="preserve">C</x:t>
        </x:is>
      </x:c>
      <x:c r="Y219" s="25" t="n">
        <x:v>100</x:v>
      </x:c>
      <x:c r="Z219" s="20" t="inlineStr">
        <x:is>
          <x:t xml:space="preserve">https://www.fldoe.org/file/18534/SchoolGrades25.xlsx</x:t>
        </x:is>
      </x:c>
    </x:row>
    <x:row r="220">
      <x:c r="A220" s="20" t="inlineStr">
        <x:is>
          <x:t xml:space="preserve">531751</x:t>
        </x:is>
      </x:c>
      <x:c r="B220" s="20" t="inlineStr">
        <x:is>
          <x:t xml:space="preserve">53</x:t>
        </x:is>
      </x:c>
      <x:c r="C220" s="20" t="inlineStr">
        <x:is>
          <x:t xml:space="preserve">POLK</x:t>
        </x:is>
      </x:c>
      <x:c r="D220" s="20" t="inlineStr">
        <x:is>
          <x:t xml:space="preserve">1751</x:t>
        </x:is>
      </x:c>
      <x:c r="E220" s="20" t="inlineStr">
        <x:is>
          <x:t xml:space="preserve">JAMES E. STEPHENS ACADEMY</x:t>
        </x:is>
      </x:c>
      <x:c r="F220" s="20" t="inlineStr">
        <x:is>
          <x:t xml:space="preserve">01</x:t>
        </x:is>
      </x:c>
      <x:c r="G220" s="20" t="inlineStr">
        <x:is>
          <x:t xml:space="preserve">Elementary</x:t>
        </x:is>
      </x:c>
      <x:c r="H220" s="20" t="inlineStr">
        <x:is>
          <x:t xml:space="preserve">NO</x:t>
        </x:is>
      </x:c>
      <x:c r="I220" s="20" t="inlineStr">
        <x:is>
          <x:t xml:space="preserve">YES</x:t>
        </x:is>
      </x:c>
      <x:c r="J220" s="20" t="inlineStr">
        <x:is>
          <x:t xml:space="preserve">N</x:t>
        </x:is>
      </x:c>
      <x:c r="K220" s="25" t="n">
        <x:v>59</x:v>
      </x:c>
      <x:c r="L220" s="25" t="n">
        <x:v>51</x:v>
      </x:c>
      <x:c r="M220" s="25" t="n">
        <x:v>62</x:v>
      </x:c>
      <x:c r="N220" s="25" t="n">
        <x:v>51</x:v>
      </x:c>
      <x:c r="O220" s="25" t="n">
        <x:v>52</x:v>
      </x:c>
      <x:c r="P220" s="25" t="n"/>
      <x:c r="Q220" s="25" t="n"/>
      <x:c r="R220" s="25" t="n"/>
      <x:c r="S220" s="20" t="n">
        <x:v>451</x:v>
      </x:c>
      <x:c r="T220" s="20" t="n">
        <x:v>8</x:v>
      </x:c>
      <x:c r="U220" s="25" t="n">
        <x:v>56</x:v>
      </x:c>
      <x:c r="V220" s="25" t="n">
        <x:v>99</x:v>
      </x:c>
      <x:c r="W220" s="20" t="inlineStr">
        <x:is>
          <x:t xml:space="preserve">B</x:t>
        </x:is>
      </x:c>
      <x:c r="X220" s="20" t="inlineStr">
        <x:is>
          <x:t xml:space="preserve">B</x:t>
        </x:is>
      </x:c>
      <x:c r="Y220" s="25" t="n">
        <x:v>100</x:v>
      </x:c>
      <x:c r="Z220" s="20" t="inlineStr">
        <x:is>
          <x:t xml:space="preserve">https://www.fldoe.org/file/18534/SchoolGrades25.xlsx</x:t>
        </x:is>
      </x:c>
    </x:row>
    <x:row r="221">
      <x:c r="A221" s="20" t="inlineStr">
        <x:is>
          <x:t xml:space="preserve">531761</x:t>
        </x:is>
      </x:c>
      <x:c r="B221" s="20" t="inlineStr">
        <x:is>
          <x:t xml:space="preserve">53</x:t>
        </x:is>
      </x:c>
      <x:c r="C221" s="20" t="inlineStr">
        <x:is>
          <x:t xml:space="preserve">POLK</x:t>
        </x:is>
      </x:c>
      <x:c r="D221" s="20" t="inlineStr">
        <x:is>
          <x:t xml:space="preserve">1761</x:t>
        </x:is>
      </x:c>
      <x:c r="E221" s="20" t="inlineStr">
        <x:is>
          <x:t xml:space="preserve">LAKE GIBSON MIDDLE SCHOOL</x:t>
        </x:is>
      </x:c>
      <x:c r="F221" s="20" t="inlineStr">
        <x:is>
          <x:t xml:space="preserve">02</x:t>
        </x:is>
      </x:c>
      <x:c r="G221" s="20" t="inlineStr">
        <x:is>
          <x:t xml:space="preserve">Middle/Junior</x:t>
        </x:is>
      </x:c>
      <x:c r="H221" s="20" t="inlineStr">
        <x:is>
          <x:t xml:space="preserve">NO</x:t>
        </x:is>
      </x:c>
      <x:c r="I221" s="20" t="inlineStr">
        <x:is>
          <x:t xml:space="preserve">YES</x:t>
        </x:is>
      </x:c>
      <x:c r="J221" s="20" t="inlineStr">
        <x:is>
          <x:t xml:space="preserve">N</x:t>
        </x:is>
      </x:c>
      <x:c r="K221" s="25" t="n">
        <x:v>40</x:v>
      </x:c>
      <x:c r="L221" s="25" t="n">
        <x:v>51</x:v>
      </x:c>
      <x:c r="M221" s="25" t="n">
        <x:v>40</x:v>
      </x:c>
      <x:c r="N221" s="25" t="n">
        <x:v>50</x:v>
      </x:c>
      <x:c r="O221" s="25" t="n">
        <x:v>32</x:v>
      </x:c>
      <x:c r="P221" s="25" t="n">
        <x:v>62</x:v>
      </x:c>
      <x:c r="Q221" s="25" t="n"/>
      <x:c r="R221" s="25" t="n"/>
      <x:c r="S221" s="20" t="n">
        <x:v>450</x:v>
      </x:c>
      <x:c r="T221" s="20" t="n">
        <x:v>9</x:v>
      </x:c>
      <x:c r="U221" s="25" t="n">
        <x:v>50</x:v>
      </x:c>
      <x:c r="V221" s="25" t="n">
        <x:v>99</x:v>
      </x:c>
      <x:c r="W221" s="20" t="inlineStr">
        <x:is>
          <x:t xml:space="preserve">C</x:t>
        </x:is>
      </x:c>
      <x:c r="X221" s="20" t="inlineStr">
        <x:is>
          <x:t xml:space="preserve">C</x:t>
        </x:is>
      </x:c>
      <x:c r="Y221" s="25" t="n">
        <x:v>97.90000000000001</x:v>
      </x:c>
      <x:c r="Z221" s="20" t="inlineStr">
        <x:is>
          <x:t xml:space="preserve">https://www.fldoe.org/file/18534/SchoolGrades25.xlsx</x:t>
        </x:is>
      </x:c>
    </x:row>
    <x:row r="222">
      <x:c r="A222" s="20" t="inlineStr">
        <x:is>
          <x:t xml:space="preserve">531762</x:t>
        </x:is>
      </x:c>
      <x:c r="B222" s="20" t="inlineStr">
        <x:is>
          <x:t xml:space="preserve">53</x:t>
        </x:is>
      </x:c>
      <x:c r="C222" s="20" t="inlineStr">
        <x:is>
          <x:t xml:space="preserve">POLK</x:t>
        </x:is>
      </x:c>
      <x:c r="D222" s="20" t="inlineStr">
        <x:is>
          <x:t xml:space="preserve">1762</x:t>
        </x:is>
      </x:c>
      <x:c r="E222" s="20" t="inlineStr">
        <x:is>
          <x:t xml:space="preserve">LAKE GIBSON SENIOR HIGH SCHOOL</x:t>
        </x:is>
      </x:c>
      <x:c r="F222" s="20" t="inlineStr">
        <x:is>
          <x:t xml:space="preserve">03</x:t>
        </x:is>
      </x:c>
      <x:c r="G222" s="20" t="inlineStr">
        <x:is>
          <x:t xml:space="preserve">Senior High</x:t>
        </x:is>
      </x:c>
      <x:c r="H222" s="20" t="inlineStr">
        <x:is>
          <x:t xml:space="preserve">NO</x:t>
        </x:is>
      </x:c>
      <x:c r="I222" s="20" t="inlineStr">
        <x:is>
          <x:t xml:space="preserve">YES</x:t>
        </x:is>
      </x:c>
      <x:c r="J222" s="20" t="inlineStr">
        <x:is>
          <x:t xml:space="preserve">N</x:t>
        </x:is>
      </x:c>
      <x:c r="K222" s="25" t="n">
        <x:v>44</x:v>
      </x:c>
      <x:c r="L222" s="25" t="n">
        <x:v>51</x:v>
      </x:c>
      <x:c r="M222" s="25" t="n">
        <x:v>23</x:v>
      </x:c>
      <x:c r="N222" s="25" t="n">
        <x:v>36</x:v>
      </x:c>
      <x:c r="O222" s="25" t="n">
        <x:v>69</x:v>
      </x:c>
      <x:c r="P222" s="25" t="n">
        <x:v>58</x:v>
      </x:c>
      <x:c r="Q222" s="25" t="n">
        <x:v>93</x:v>
      </x:c>
      <x:c r="R222" s="25" t="n">
        <x:v>78</x:v>
      </x:c>
      <x:c r="S222" s="20" t="n">
        <x:v>550</x:v>
      </x:c>
      <x:c r="T222" s="20" t="n">
        <x:v>10</x:v>
      </x:c>
      <x:c r="U222" s="25" t="n">
        <x:v>55</x:v>
      </x:c>
      <x:c r="V222" s="25" t="n">
        <x:v>97</x:v>
      </x:c>
      <x:c r="W222" s="20" t="inlineStr">
        <x:is>
          <x:t xml:space="preserve">C</x:t>
        </x:is>
      </x:c>
      <x:c r="X222" s="20" t="inlineStr">
        <x:is>
          <x:t xml:space="preserve">C</x:t>
        </x:is>
      </x:c>
      <x:c r="Y222" s="25" t="n">
        <x:v>85.59999999999999</x:v>
      </x:c>
      <x:c r="Z222" s="20" t="inlineStr">
        <x:is>
          <x:t xml:space="preserve">https://www.fldoe.org/file/18534/SchoolGrades25.xlsx</x:t>
        </x:is>
      </x:c>
    </x:row>
    <x:row r="223">
      <x:c r="A223" s="20" t="inlineStr">
        <x:is>
          <x:t xml:space="preserve">531771</x:t>
        </x:is>
      </x:c>
      <x:c r="B223" s="20" t="inlineStr">
        <x:is>
          <x:t xml:space="preserve">53</x:t>
        </x:is>
      </x:c>
      <x:c r="C223" s="20" t="inlineStr">
        <x:is>
          <x:t xml:space="preserve">POLK</x:t>
        </x:is>
      </x:c>
      <x:c r="D223" s="20" t="inlineStr">
        <x:is>
          <x:t xml:space="preserve">1771</x:t>
        </x:is>
      </x:c>
      <x:c r="E223" s="20" t="inlineStr">
        <x:is>
          <x:t xml:space="preserve">LAKELAND HIGHLANDS MIDDLE SCHOOL</x:t>
        </x:is>
      </x:c>
      <x:c r="F223" s="20" t="inlineStr">
        <x:is>
          <x:t xml:space="preserve">02</x:t>
        </x:is>
      </x:c>
      <x:c r="G223" s="20" t="inlineStr">
        <x:is>
          <x:t xml:space="preserve">Middle/Junior</x:t>
        </x:is>
      </x:c>
      <x:c r="H223" s="20" t="inlineStr">
        <x:is>
          <x:t xml:space="preserve">NO</x:t>
        </x:is>
      </x:c>
      <x:c r="I223" s="20" t="inlineStr">
        <x:is>
          <x:t xml:space="preserve">YES</x:t>
        </x:is>
      </x:c>
      <x:c r="J223" s="20" t="inlineStr">
        <x:is>
          <x:t xml:space="preserve">N</x:t>
        </x:is>
      </x:c>
      <x:c r="K223" s="25" t="n">
        <x:v>60</x:v>
      </x:c>
      <x:c r="L223" s="25" t="n">
        <x:v>57</x:v>
      </x:c>
      <x:c r="M223" s="25" t="n">
        <x:v>58</x:v>
      </x:c>
      <x:c r="N223" s="25" t="n">
        <x:v>47</x:v>
      </x:c>
      <x:c r="O223" s="25" t="n">
        <x:v>56</x:v>
      </x:c>
      <x:c r="P223" s="25" t="n">
        <x:v>84</x:v>
      </x:c>
      <x:c r="Q223" s="25" t="n"/>
      <x:c r="R223" s="25" t="n"/>
      <x:c r="S223" s="20" t="n">
        <x:v>537</x:v>
      </x:c>
      <x:c r="T223" s="20" t="n">
        <x:v>9</x:v>
      </x:c>
      <x:c r="U223" s="25" t="n">
        <x:v>60</x:v>
      </x:c>
      <x:c r="V223" s="25" t="n">
        <x:v>98</x:v>
      </x:c>
      <x:c r="W223" s="20" t="inlineStr">
        <x:is>
          <x:t xml:space="preserve">B</x:t>
        </x:is>
      </x:c>
      <x:c r="X223" s="20" t="inlineStr">
        <x:is>
          <x:t xml:space="preserve">B</x:t>
        </x:is>
      </x:c>
      <x:c r="Y223" s="25" t="n">
        <x:v>68.90000000000001</x:v>
      </x:c>
      <x:c r="Z223" s="20" t="inlineStr">
        <x:is>
          <x:t xml:space="preserve">https://www.fldoe.org/file/18534/SchoolGrades25.xlsx</x:t>
        </x:is>
      </x:c>
    </x:row>
    <x:row r="224">
      <x:c r="A224" s="20" t="inlineStr">
        <x:is>
          <x:t xml:space="preserve">531781</x:t>
        </x:is>
      </x:c>
      <x:c r="B224" s="20" t="inlineStr">
        <x:is>
          <x:t xml:space="preserve">53</x:t>
        </x:is>
      </x:c>
      <x:c r="C224" s="20" t="inlineStr">
        <x:is>
          <x:t xml:space="preserve">POLK</x:t>
        </x:is>
      </x:c>
      <x:c r="D224" s="20" t="inlineStr">
        <x:is>
          <x:t xml:space="preserve">1781</x:t>
        </x:is>
      </x:c>
      <x:c r="E224" s="20" t="inlineStr">
        <x:is>
          <x:t xml:space="preserve">DUNDEE ELEMENTARY ACADEMY</x:t>
        </x:is>
      </x:c>
      <x:c r="F224" s="20" t="inlineStr">
        <x:is>
          <x:t xml:space="preserve">01</x:t>
        </x:is>
      </x:c>
      <x:c r="G224" s="20" t="inlineStr">
        <x:is>
          <x:t xml:space="preserve">Elementary</x:t>
        </x:is>
      </x:c>
      <x:c r="H224" s="20" t="inlineStr">
        <x:is>
          <x:t xml:space="preserve">NO</x:t>
        </x:is>
      </x:c>
      <x:c r="I224" s="20" t="inlineStr">
        <x:is>
          <x:t xml:space="preserve">YES</x:t>
        </x:is>
      </x:c>
      <x:c r="J224" s="20" t="inlineStr">
        <x:is>
          <x:t xml:space="preserve">N</x:t>
        </x:is>
      </x:c>
      <x:c r="K224" s="25" t="n">
        <x:v>59</x:v>
      </x:c>
      <x:c r="L224" s="25" t="n">
        <x:v>53</x:v>
      </x:c>
      <x:c r="M224" s="25" t="n">
        <x:v>66</x:v>
      </x:c>
      <x:c r="N224" s="25" t="n">
        <x:v>62</x:v>
      </x:c>
      <x:c r="O224" s="25" t="n">
        <x:v>61</x:v>
      </x:c>
      <x:c r="P224" s="25" t="n"/>
      <x:c r="Q224" s="25" t="n"/>
      <x:c r="R224" s="25" t="n"/>
      <x:c r="S224" s="20" t="n">
        <x:v>476</x:v>
      </x:c>
      <x:c r="T224" s="20" t="n">
        <x:v>8</x:v>
      </x:c>
      <x:c r="U224" s="25" t="n">
        <x:v>60</x:v>
      </x:c>
      <x:c r="V224" s="25" t="n">
        <x:v>100</x:v>
      </x:c>
      <x:c r="W224" s="20" t="inlineStr">
        <x:is>
          <x:t xml:space="preserve">B</x:t>
        </x:is>
      </x:c>
      <x:c r="X224" s="20" t="inlineStr">
        <x:is>
          <x:t xml:space="preserve">A</x:t>
        </x:is>
      </x:c>
      <x:c r="Y224" s="25" t="n">
        <x:v>85.8</x:v>
      </x:c>
      <x:c r="Z224" s="20" t="inlineStr">
        <x:is>
          <x:t xml:space="preserve">https://www.fldoe.org/file/18534/SchoolGrades25.xlsx</x:t>
        </x:is>
      </x:c>
    </x:row>
    <x:row r="225">
      <x:c r="A225" s="20" t="inlineStr">
        <x:is>
          <x:t xml:space="preserve">531791</x:t>
        </x:is>
      </x:c>
      <x:c r="B225" s="20" t="inlineStr">
        <x:is>
          <x:t xml:space="preserve">53</x:t>
        </x:is>
      </x:c>
      <x:c r="C225" s="20" t="inlineStr">
        <x:is>
          <x:t xml:space="preserve">POLK</x:t>
        </x:is>
      </x:c>
      <x:c r="D225" s="20" t="inlineStr">
        <x:is>
          <x:t xml:space="preserve">1791</x:t>
        </x:is>
      </x:c>
      <x:c r="E225" s="20" t="inlineStr">
        <x:is>
          <x:t xml:space="preserve">HAINES CITY SENIOR HIGH SCHOOL</x:t>
        </x:is>
      </x:c>
      <x:c r="F225" s="20" t="inlineStr">
        <x:is>
          <x:t xml:space="preserve">03</x:t>
        </x:is>
      </x:c>
      <x:c r="G225" s="20" t="inlineStr">
        <x:is>
          <x:t xml:space="preserve">Senior High</x:t>
        </x:is>
      </x:c>
      <x:c r="H225" s="20" t="inlineStr">
        <x:is>
          <x:t xml:space="preserve">NO</x:t>
        </x:is>
      </x:c>
      <x:c r="I225" s="20" t="inlineStr">
        <x:is>
          <x:t xml:space="preserve">YES</x:t>
        </x:is>
      </x:c>
      <x:c r="J225" s="20" t="inlineStr">
        <x:is>
          <x:t xml:space="preserve">N</x:t>
        </x:is>
      </x:c>
      <x:c r="K225" s="25" t="n">
        <x:v>46</x:v>
      </x:c>
      <x:c r="L225" s="25" t="n">
        <x:v>55</x:v>
      </x:c>
      <x:c r="M225" s="25" t="n">
        <x:v>31</x:v>
      </x:c>
      <x:c r="N225" s="25" t="n">
        <x:v>39</x:v>
      </x:c>
      <x:c r="O225" s="25" t="n">
        <x:v>61</x:v>
      </x:c>
      <x:c r="P225" s="25" t="n">
        <x:v>68</x:v>
      </x:c>
      <x:c r="Q225" s="25" t="n">
        <x:v>81</x:v>
      </x:c>
      <x:c r="R225" s="25" t="n">
        <x:v>47</x:v>
      </x:c>
      <x:c r="S225" s="20" t="n">
        <x:v>542</x:v>
      </x:c>
      <x:c r="T225" s="20" t="n">
        <x:v>10</x:v>
      </x:c>
      <x:c r="U225" s="25" t="n">
        <x:v>54</x:v>
      </x:c>
      <x:c r="V225" s="25" t="n">
        <x:v>95</x:v>
      </x:c>
      <x:c r="W225" s="20" t="inlineStr">
        <x:is>
          <x:t xml:space="preserve">C</x:t>
        </x:is>
      </x:c>
      <x:c r="X225" s="20" t="inlineStr">
        <x:is>
          <x:t xml:space="preserve">C</x:t>
        </x:is>
      </x:c>
      <x:c r="Y225" s="25" t="n">
        <x:v>95.2</x:v>
      </x:c>
      <x:c r="Z225" s="20" t="inlineStr">
        <x:is>
          <x:t xml:space="preserve">https://www.fldoe.org/file/18534/SchoolGrades25.xlsx</x:t>
        </x:is>
      </x:c>
    </x:row>
    <x:row r="226">
      <x:c r="A226" s="20" t="inlineStr">
        <x:is>
          <x:t xml:space="preserve">531801</x:t>
        </x:is>
      </x:c>
      <x:c r="B226" s="20" t="inlineStr">
        <x:is>
          <x:t xml:space="preserve">53</x:t>
        </x:is>
      </x:c>
      <x:c r="C226" s="20" t="inlineStr">
        <x:is>
          <x:t xml:space="preserve">POLK</x:t>
        </x:is>
      </x:c>
      <x:c r="D226" s="20" t="inlineStr">
        <x:is>
          <x:t xml:space="preserve">1801</x:t>
        </x:is>
      </x:c>
      <x:c r="E226" s="20" t="inlineStr">
        <x:is>
          <x:t xml:space="preserve">FROSTPROOF MIDDLE/SENIOR HIGH</x:t>
        </x:is>
      </x:c>
      <x:c r="F226" s="20" t="inlineStr">
        <x:is>
          <x:t xml:space="preserve">04</x:t>
        </x:is>
      </x:c>
      <x:c r="G226" s="20" t="inlineStr">
        <x:is>
          <x:t xml:space="preserve">Combination</x:t>
        </x:is>
      </x:c>
      <x:c r="H226" s="20" t="inlineStr">
        <x:is>
          <x:t xml:space="preserve">NO</x:t>
        </x:is>
      </x:c>
      <x:c r="I226" s="20" t="inlineStr">
        <x:is>
          <x:t xml:space="preserve">YES</x:t>
        </x:is>
      </x:c>
      <x:c r="J226" s="20" t="inlineStr">
        <x:is>
          <x:t xml:space="preserve">N</x:t>
        </x:is>
      </x:c>
      <x:c r="K226" s="25" t="n">
        <x:v>47</x:v>
      </x:c>
      <x:c r="L226" s="25" t="n">
        <x:v>50</x:v>
      </x:c>
      <x:c r="M226" s="25" t="n">
        <x:v>44</x:v>
      </x:c>
      <x:c r="N226" s="25" t="n">
        <x:v>53</x:v>
      </x:c>
      <x:c r="O226" s="25" t="n">
        <x:v>46</x:v>
      </x:c>
      <x:c r="P226" s="25" t="n">
        <x:v>61</x:v>
      </x:c>
      <x:c r="Q226" s="25" t="n">
        <x:v>90</x:v>
      </x:c>
      <x:c r="R226" s="25" t="n">
        <x:v>72</x:v>
      </x:c>
      <x:c r="S226" s="20" t="n">
        <x:v>637</x:v>
      </x:c>
      <x:c r="T226" s="20" t="n">
        <x:v>11</x:v>
      </x:c>
      <x:c r="U226" s="25" t="n">
        <x:v>58</x:v>
      </x:c>
      <x:c r="V226" s="25" t="n">
        <x:v>99</x:v>
      </x:c>
      <x:c r="W226" s="20" t="inlineStr">
        <x:is>
          <x:t xml:space="preserve">B</x:t>
        </x:is>
      </x:c>
      <x:c r="X226" s="20" t="inlineStr">
        <x:is>
          <x:t xml:space="preserve">C</x:t>
        </x:is>
      </x:c>
      <x:c r="Y226" s="25" t="n">
        <x:v>96.40000000000001</x:v>
      </x:c>
      <x:c r="Z226" s="20" t="inlineStr">
        <x:is>
          <x:t xml:space="preserve">https://www.fldoe.org/file/18534/SchoolGrades25.xlsx</x:t>
        </x:is>
      </x:c>
    </x:row>
    <x:row r="227">
      <x:c r="A227" s="20" t="inlineStr">
        <x:is>
          <x:t xml:space="preserve">531811</x:t>
        </x:is>
      </x:c>
      <x:c r="B227" s="20" t="inlineStr">
        <x:is>
          <x:t xml:space="preserve">53</x:t>
        </x:is>
      </x:c>
      <x:c r="C227" s="20" t="inlineStr">
        <x:is>
          <x:t xml:space="preserve">POLK</x:t>
        </x:is>
      </x:c>
      <x:c r="D227" s="20" t="inlineStr">
        <x:is>
          <x:t xml:space="preserve">1811</x:t>
        </x:is>
      </x:c>
      <x:c r="E227" s="20" t="inlineStr">
        <x:is>
          <x:t xml:space="preserve">CLARENCE BOSWELL ELEMENTARY SCHOOL</x:t>
        </x:is>
      </x:c>
      <x:c r="F227" s="20" t="inlineStr">
        <x:is>
          <x:t xml:space="preserve">01</x:t>
        </x:is>
      </x:c>
      <x:c r="G227" s="20" t="inlineStr">
        <x:is>
          <x:t xml:space="preserve">Elementary</x:t>
        </x:is>
      </x:c>
      <x:c r="H227" s="20" t="inlineStr">
        <x:is>
          <x:t xml:space="preserve">NO</x:t>
        </x:is>
      </x:c>
      <x:c r="I227" s="20" t="inlineStr">
        <x:is>
          <x:t xml:space="preserve">YES</x:t>
        </x:is>
      </x:c>
      <x:c r="J227" s="20" t="inlineStr">
        <x:is>
          <x:t xml:space="preserve">N</x:t>
        </x:is>
      </x:c>
      <x:c r="K227" s="25" t="n">
        <x:v>54</x:v>
      </x:c>
      <x:c r="L227" s="25" t="n">
        <x:v>58</x:v>
      </x:c>
      <x:c r="M227" s="25" t="n">
        <x:v>62</x:v>
      </x:c>
      <x:c r="N227" s="25" t="n">
        <x:v>63</x:v>
      </x:c>
      <x:c r="O227" s="25" t="n">
        <x:v>45</x:v>
      </x:c>
      <x:c r="P227" s="25" t="n"/>
      <x:c r="Q227" s="25" t="n"/>
      <x:c r="R227" s="25" t="n"/>
      <x:c r="S227" s="20" t="n">
        <x:v>474</x:v>
      </x:c>
      <x:c r="T227" s="20" t="n">
        <x:v>8</x:v>
      </x:c>
      <x:c r="U227" s="25" t="n">
        <x:v>59</x:v>
      </x:c>
      <x:c r="V227" s="25" t="n">
        <x:v>100</x:v>
      </x:c>
      <x:c r="W227" s="20" t="inlineStr">
        <x:is>
          <x:t xml:space="preserve">B</x:t>
        </x:is>
      </x:c>
      <x:c r="X227" s="20" t="inlineStr">
        <x:is>
          <x:t xml:space="preserve">B</x:t>
        </x:is>
      </x:c>
      <x:c r="Y227" s="25" t="n">
        <x:v>100</x:v>
      </x:c>
      <x:c r="Z227" s="20" t="inlineStr">
        <x:is>
          <x:t xml:space="preserve">https://www.fldoe.org/file/18534/SchoolGrades25.xlsx</x:t>
        </x:is>
      </x:c>
    </x:row>
    <x:row r="228">
      <x:c r="A228" s="20" t="inlineStr">
        <x:is>
          <x:t xml:space="preserve">531821</x:t>
        </x:is>
      </x:c>
      <x:c r="B228" s="20" t="inlineStr">
        <x:is>
          <x:t xml:space="preserve">53</x:t>
        </x:is>
      </x:c>
      <x:c r="C228" s="20" t="inlineStr">
        <x:is>
          <x:t xml:space="preserve">POLK</x:t>
        </x:is>
      </x:c>
      <x:c r="D228" s="20" t="inlineStr">
        <x:is>
          <x:t xml:space="preserve">1821</x:t>
        </x:is>
      </x:c>
      <x:c r="E228" s="20" t="inlineStr">
        <x:is>
          <x:t xml:space="preserve">JAMES W. SIKES ELEMENTARY SCHOOL</x:t>
        </x:is>
      </x:c>
      <x:c r="F228" s="20" t="inlineStr">
        <x:is>
          <x:t xml:space="preserve">01</x:t>
        </x:is>
      </x:c>
      <x:c r="G228" s="20" t="inlineStr">
        <x:is>
          <x:t xml:space="preserve">Elementary</x:t>
        </x:is>
      </x:c>
      <x:c r="H228" s="20" t="inlineStr">
        <x:is>
          <x:t xml:space="preserve">NO</x:t>
        </x:is>
      </x:c>
      <x:c r="I228" s="20" t="inlineStr">
        <x:is>
          <x:t xml:space="preserve">YES</x:t>
        </x:is>
      </x:c>
      <x:c r="J228" s="20" t="inlineStr">
        <x:is>
          <x:t xml:space="preserve">N</x:t>
        </x:is>
      </x:c>
      <x:c r="K228" s="25" t="n">
        <x:v>60</x:v>
      </x:c>
      <x:c r="L228" s="25" t="n">
        <x:v>54</x:v>
      </x:c>
      <x:c r="M228" s="25" t="n">
        <x:v>57</x:v>
      </x:c>
      <x:c r="N228" s="25" t="n">
        <x:v>46</x:v>
      </x:c>
      <x:c r="O228" s="25" t="n">
        <x:v>54</x:v>
      </x:c>
      <x:c r="P228" s="25" t="n"/>
      <x:c r="Q228" s="25" t="n"/>
      <x:c r="R228" s="25" t="n"/>
      <x:c r="S228" s="20" t="n">
        <x:v>418</x:v>
      </x:c>
      <x:c r="T228" s="20" t="n">
        <x:v>8</x:v>
      </x:c>
      <x:c r="U228" s="25" t="n">
        <x:v>52</x:v>
      </x:c>
      <x:c r="V228" s="25" t="n">
        <x:v>100</x:v>
      </x:c>
      <x:c r="W228" s="20" t="inlineStr">
        <x:is>
          <x:t xml:space="preserve">C</x:t>
        </x:is>
      </x:c>
      <x:c r="X228" s="20" t="inlineStr">
        <x:is>
          <x:t xml:space="preserve">B</x:t>
        </x:is>
      </x:c>
      <x:c r="Y228" s="25" t="n">
        <x:v>88.2</x:v>
      </x:c>
      <x:c r="Z228" s="20" t="inlineStr">
        <x:is>
          <x:t xml:space="preserve">https://www.fldoe.org/file/18534/SchoolGrades25.xlsx</x:t>
        </x:is>
      </x:c>
    </x:row>
    <x:row r="229">
      <x:c r="A229" s="20" t="inlineStr">
        <x:is>
          <x:t xml:space="preserve">531831</x:t>
        </x:is>
      </x:c>
      <x:c r="B229" s="20" t="inlineStr">
        <x:is>
          <x:t xml:space="preserve">53</x:t>
        </x:is>
      </x:c>
      <x:c r="C229" s="20" t="inlineStr">
        <x:is>
          <x:t xml:space="preserve">POLK</x:t>
        </x:is>
      </x:c>
      <x:c r="D229" s="20" t="inlineStr">
        <x:is>
          <x:t xml:space="preserve">1831</x:t>
        </x:is>
      </x:c>
      <x:c r="E229" s="20" t="inlineStr">
        <x:is>
          <x:t xml:space="preserve">LAKE MARION CREEK MIDDLE SCHOOL</x:t>
        </x:is>
      </x:c>
      <x:c r="F229" s="20" t="inlineStr">
        <x:is>
          <x:t xml:space="preserve">02</x:t>
        </x:is>
      </x:c>
      <x:c r="G229" s="20" t="inlineStr">
        <x:is>
          <x:t xml:space="preserve">Middle/Junior</x:t>
        </x:is>
      </x:c>
      <x:c r="H229" s="20" t="inlineStr">
        <x:is>
          <x:t xml:space="preserve">NO</x:t>
        </x:is>
      </x:c>
      <x:c r="I229" s="20" t="inlineStr">
        <x:is>
          <x:t xml:space="preserve">YES</x:t>
        </x:is>
      </x:c>
      <x:c r="J229" s="20" t="inlineStr">
        <x:is>
          <x:t xml:space="preserve">N</x:t>
        </x:is>
      </x:c>
      <x:c r="K229" s="25" t="n">
        <x:v>40</x:v>
      </x:c>
      <x:c r="L229" s="25" t="n">
        <x:v>50</x:v>
      </x:c>
      <x:c r="M229" s="25" t="n">
        <x:v>41</x:v>
      </x:c>
      <x:c r="N229" s="25" t="n">
        <x:v>58</x:v>
      </x:c>
      <x:c r="O229" s="25" t="n">
        <x:v>28</x:v>
      </x:c>
      <x:c r="P229" s="25" t="n">
        <x:v>56</x:v>
      </x:c>
      <x:c r="Q229" s="25" t="n"/>
      <x:c r="R229" s="25" t="n"/>
      <x:c r="S229" s="20" t="n">
        <x:v>467</x:v>
      </x:c>
      <x:c r="T229" s="20" t="n">
        <x:v>9</x:v>
      </x:c>
      <x:c r="U229" s="25" t="n">
        <x:v>52</x:v>
      </x:c>
      <x:c r="V229" s="25" t="n">
        <x:v>99</x:v>
      </x:c>
      <x:c r="W229" s="20" t="inlineStr">
        <x:is>
          <x:t xml:space="preserve">C</x:t>
        </x:is>
      </x:c>
      <x:c r="X229" s="20" t="inlineStr">
        <x:is>
          <x:t xml:space="preserve">C</x:t>
        </x:is>
      </x:c>
      <x:c r="Y229" s="25" t="n">
        <x:v>100</x:v>
      </x:c>
      <x:c r="Z229" s="20" t="inlineStr">
        <x:is>
          <x:t xml:space="preserve">https://www.fldoe.org/file/18534/SchoolGrades25.xlsx</x:t>
        </x:is>
      </x:c>
    </x:row>
    <x:row r="230">
      <x:c r="A230" s="20" t="inlineStr">
        <x:is>
          <x:t xml:space="preserve">531841</x:t>
        </x:is>
      </x:c>
      <x:c r="B230" s="20" t="inlineStr">
        <x:is>
          <x:t xml:space="preserve">53</x:t>
        </x:is>
      </x:c>
      <x:c r="C230" s="20" t="inlineStr">
        <x:is>
          <x:t xml:space="preserve">POLK</x:t>
        </x:is>
      </x:c>
      <x:c r="D230" s="20" t="inlineStr">
        <x:is>
          <x:t xml:space="preserve">1841</x:t>
        </x:is>
      </x:c>
      <x:c r="E230" s="20" t="inlineStr">
        <x:is>
          <x:t xml:space="preserve">R. CLEM CHURCHWELL ELEMENTARY SCHOOL</x:t>
        </x:is>
      </x:c>
      <x:c r="F230" s="20" t="inlineStr">
        <x:is>
          <x:t xml:space="preserve">01</x:t>
        </x:is>
      </x:c>
      <x:c r="G230" s="20" t="inlineStr">
        <x:is>
          <x:t xml:space="preserve">Elementary</x:t>
        </x:is>
      </x:c>
      <x:c r="H230" s="20" t="inlineStr">
        <x:is>
          <x:t xml:space="preserve">NO</x:t>
        </x:is>
      </x:c>
      <x:c r="I230" s="20" t="inlineStr">
        <x:is>
          <x:t xml:space="preserve">YES</x:t>
        </x:is>
      </x:c>
      <x:c r="J230" s="20" t="inlineStr">
        <x:is>
          <x:t xml:space="preserve">N</x:t>
        </x:is>
      </x:c>
      <x:c r="K230" s="25" t="n">
        <x:v>46</x:v>
      </x:c>
      <x:c r="L230" s="25" t="n">
        <x:v>45</x:v>
      </x:c>
      <x:c r="M230" s="25" t="n">
        <x:v>40</x:v>
      </x:c>
      <x:c r="N230" s="25" t="n">
        <x:v>33</x:v>
      </x:c>
      <x:c r="O230" s="25" t="n">
        <x:v>27</x:v>
      </x:c>
      <x:c r="P230" s="25" t="n"/>
      <x:c r="Q230" s="25" t="n"/>
      <x:c r="R230" s="25" t="n"/>
      <x:c r="S230" s="20" t="n">
        <x:v>331</x:v>
      </x:c>
      <x:c r="T230" s="20" t="n">
        <x:v>8</x:v>
      </x:c>
      <x:c r="U230" s="25" t="n">
        <x:v>41</x:v>
      </x:c>
      <x:c r="V230" s="25" t="n">
        <x:v>99</x:v>
      </x:c>
      <x:c r="W230" s="20" t="inlineStr">
        <x:is>
          <x:t xml:space="preserve">C</x:t>
        </x:is>
      </x:c>
      <x:c r="X230" s="20" t="inlineStr">
        <x:is>
          <x:t xml:space="preserve">C</x:t>
        </x:is>
      </x:c>
      <x:c r="Y230" s="25" t="n">
        <x:v>100</x:v>
      </x:c>
      <x:c r="Z230" s="20" t="inlineStr">
        <x:is>
          <x:t xml:space="preserve">https://www.fldoe.org/file/18534/SchoolGrades25.xlsx</x:t>
        </x:is>
      </x:c>
    </x:row>
    <x:row r="231">
      <x:c r="A231" s="20" t="inlineStr">
        <x:is>
          <x:t xml:space="preserve">531851</x:t>
        </x:is>
      </x:c>
      <x:c r="B231" s="20" t="inlineStr">
        <x:is>
          <x:t xml:space="preserve">53</x:t>
        </x:is>
      </x:c>
      <x:c r="C231" s="20" t="inlineStr">
        <x:is>
          <x:t xml:space="preserve">POLK</x:t>
        </x:is>
      </x:c>
      <x:c r="D231" s="20" t="inlineStr">
        <x:is>
          <x:t xml:space="preserve">1851</x:t>
        </x:is>
      </x:c>
      <x:c r="E231" s="20" t="inlineStr">
        <x:is>
          <x:t xml:space="preserve">DR. NE ROBERTS ELEMENTARY SCHOOL</x:t>
        </x:is>
      </x:c>
      <x:c r="F231" s="20" t="inlineStr">
        <x:is>
          <x:t xml:space="preserve">01</x:t>
        </x:is>
      </x:c>
      <x:c r="G231" s="20" t="inlineStr">
        <x:is>
          <x:t xml:space="preserve">Elementary</x:t>
        </x:is>
      </x:c>
      <x:c r="H231" s="20" t="inlineStr">
        <x:is>
          <x:t xml:space="preserve">NO</x:t>
        </x:is>
      </x:c>
      <x:c r="I231" s="20" t="inlineStr">
        <x:is>
          <x:t xml:space="preserve">YES</x:t>
        </x:is>
      </x:c>
      <x:c r="J231" s="20" t="inlineStr">
        <x:is>
          <x:t xml:space="preserve">N</x:t>
        </x:is>
      </x:c>
      <x:c r="K231" s="25" t="n">
        <x:v>45</x:v>
      </x:c>
      <x:c r="L231" s="25" t="n">
        <x:v>47</x:v>
      </x:c>
      <x:c r="M231" s="25" t="n">
        <x:v>45</x:v>
      </x:c>
      <x:c r="N231" s="25" t="n">
        <x:v>43</x:v>
      </x:c>
      <x:c r="O231" s="25" t="n">
        <x:v>51</x:v>
      </x:c>
      <x:c r="P231" s="25" t="n"/>
      <x:c r="Q231" s="25" t="n"/>
      <x:c r="R231" s="25" t="n"/>
      <x:c r="S231" s="20" t="n">
        <x:v>354</x:v>
      </x:c>
      <x:c r="T231" s="20" t="n">
        <x:v>8</x:v>
      </x:c>
      <x:c r="U231" s="25" t="n">
        <x:v>44</x:v>
      </x:c>
      <x:c r="V231" s="25" t="n">
        <x:v>100</x:v>
      </x:c>
      <x:c r="W231" s="20" t="inlineStr">
        <x:is>
          <x:t xml:space="preserve">C</x:t>
        </x:is>
      </x:c>
      <x:c r="X231" s="20" t="inlineStr">
        <x:is>
          <x:t xml:space="preserve">C</x:t>
        </x:is>
      </x:c>
      <x:c r="Y231" s="25" t="n">
        <x:v>100</x:v>
      </x:c>
      <x:c r="Z231" s="20" t="inlineStr">
        <x:is>
          <x:t xml:space="preserve">https://www.fldoe.org/file/18534/SchoolGrades25.xlsx</x:t>
        </x:is>
      </x:c>
    </x:row>
    <x:row r="232">
      <x:c r="A232" s="20" t="inlineStr">
        <x:is>
          <x:t xml:space="preserve">531861</x:t>
        </x:is>
      </x:c>
      <x:c r="B232" s="20" t="inlineStr">
        <x:is>
          <x:t xml:space="preserve">53</x:t>
        </x:is>
      </x:c>
      <x:c r="C232" s="20" t="inlineStr">
        <x:is>
          <x:t xml:space="preserve">POLK</x:t>
        </x:is>
      </x:c>
      <x:c r="D232" s="20" t="inlineStr">
        <x:is>
          <x:t xml:space="preserve">1861</x:t>
        </x:is>
      </x:c>
      <x:c r="E232" s="20" t="inlineStr">
        <x:is>
          <x:t xml:space="preserve">ROSABELLE W. BLAKE ACADEMY</x:t>
        </x:is>
      </x:c>
      <x:c r="F232" s="20" t="inlineStr">
        <x:is>
          <x:t xml:space="preserve">04</x:t>
        </x:is>
      </x:c>
      <x:c r="G232" s="20" t="inlineStr">
        <x:is>
          <x:t xml:space="preserve">Combination</x:t>
        </x:is>
      </x:c>
      <x:c r="H232" s="20" t="inlineStr">
        <x:is>
          <x:t xml:space="preserve">NO</x:t>
        </x:is>
      </x:c>
      <x:c r="I232" s="20" t="inlineStr">
        <x:is>
          <x:t xml:space="preserve">YES</x:t>
        </x:is>
      </x:c>
      <x:c r="J232" s="20" t="inlineStr">
        <x:is>
          <x:t xml:space="preserve">N</x:t>
        </x:is>
      </x:c>
      <x:c r="K232" s="25" t="n">
        <x:v>41</x:v>
      </x:c>
      <x:c r="L232" s="25" t="n">
        <x:v>50</x:v>
      </x:c>
      <x:c r="M232" s="25" t="n">
        <x:v>46</x:v>
      </x:c>
      <x:c r="N232" s="25" t="n">
        <x:v>51</x:v>
      </x:c>
      <x:c r="O232" s="25" t="n">
        <x:v>31</x:v>
      </x:c>
      <x:c r="P232" s="25" t="n">
        <x:v>65</x:v>
      </x:c>
      <x:c r="Q232" s="25" t="n"/>
      <x:c r="R232" s="25" t="n"/>
      <x:c r="S232" s="20" t="n">
        <x:v>490</x:v>
      </x:c>
      <x:c r="T232" s="20" t="n">
        <x:v>10</x:v>
      </x:c>
      <x:c r="U232" s="25" t="n">
        <x:v>49</x:v>
      </x:c>
      <x:c r="V232" s="25" t="n">
        <x:v>99</x:v>
      </x:c>
      <x:c r="W232" s="20" t="inlineStr">
        <x:is>
          <x:t xml:space="preserve">C</x:t>
        </x:is>
      </x:c>
      <x:c r="X232" s="20" t="inlineStr">
        <x:is>
          <x:t xml:space="preserve">C</x:t>
        </x:is>
      </x:c>
      <x:c r="Y232" s="25" t="n">
        <x:v>100</x:v>
      </x:c>
      <x:c r="Z232" s="20" t="inlineStr">
        <x:is>
          <x:t xml:space="preserve">https://www.fldoe.org/file/18534/SchoolGrades25.xlsx</x:t>
        </x:is>
      </x:c>
    </x:row>
    <x:row r="233">
      <x:c r="A233" s="20" t="inlineStr">
        <x:is>
          <x:t xml:space="preserve">531881</x:t>
        </x:is>
      </x:c>
      <x:c r="B233" s="20" t="inlineStr">
        <x:is>
          <x:t xml:space="preserve">53</x:t>
        </x:is>
      </x:c>
      <x:c r="C233" s="20" t="inlineStr">
        <x:is>
          <x:t xml:space="preserve">POLK</x:t>
        </x:is>
      </x:c>
      <x:c r="D233" s="20" t="inlineStr">
        <x:is>
          <x:t xml:space="preserve">1881</x:t>
        </x:is>
      </x:c>
      <x:c r="E233" s="20" t="inlineStr">
        <x:is>
          <x:t xml:space="preserve">WENDELL WATSON ELEMENTARY SCHOOL</x:t>
        </x:is>
      </x:c>
      <x:c r="F233" s="20" t="inlineStr">
        <x:is>
          <x:t xml:space="preserve">01</x:t>
        </x:is>
      </x:c>
      <x:c r="G233" s="20" t="inlineStr">
        <x:is>
          <x:t xml:space="preserve">Elementary</x:t>
        </x:is>
      </x:c>
      <x:c r="H233" s="20" t="inlineStr">
        <x:is>
          <x:t xml:space="preserve">NO</x:t>
        </x:is>
      </x:c>
      <x:c r="I233" s="20" t="inlineStr">
        <x:is>
          <x:t xml:space="preserve">YES</x:t>
        </x:is>
      </x:c>
      <x:c r="J233" s="20" t="inlineStr">
        <x:is>
          <x:t xml:space="preserve">N</x:t>
        </x:is>
      </x:c>
      <x:c r="K233" s="25" t="n">
        <x:v>46</x:v>
      </x:c>
      <x:c r="L233" s="25" t="n">
        <x:v>51</x:v>
      </x:c>
      <x:c r="M233" s="25" t="n">
        <x:v>47</x:v>
      </x:c>
      <x:c r="N233" s="25" t="n">
        <x:v>48</x:v>
      </x:c>
      <x:c r="O233" s="25" t="n">
        <x:v>43</x:v>
      </x:c>
      <x:c r="P233" s="25" t="n"/>
      <x:c r="Q233" s="25" t="n"/>
      <x:c r="R233" s="25" t="n"/>
      <x:c r="S233" s="20" t="n">
        <x:v>375</x:v>
      </x:c>
      <x:c r="T233" s="20" t="n">
        <x:v>8</x:v>
      </x:c>
      <x:c r="U233" s="25" t="n">
        <x:v>47</x:v>
      </x:c>
      <x:c r="V233" s="25" t="n">
        <x:v>99</x:v>
      </x:c>
      <x:c r="W233" s="20" t="inlineStr">
        <x:is>
          <x:t xml:space="preserve">C</x:t>
        </x:is>
      </x:c>
      <x:c r="X233" s="20" t="inlineStr">
        <x:is>
          <x:t xml:space="preserve">C</x:t>
        </x:is>
      </x:c>
      <x:c r="Y233" s="25" t="n">
        <x:v>85.8</x:v>
      </x:c>
      <x:c r="Z233" s="20" t="inlineStr">
        <x:is>
          <x:t xml:space="preserve">https://www.fldoe.org/file/18534/SchoolGrades25.xlsx</x:t>
        </x:is>
      </x:c>
    </x:row>
    <x:row r="234">
      <x:c r="A234" s="20" t="inlineStr">
        <x:is>
          <x:t xml:space="preserve">531891</x:t>
        </x:is>
      </x:c>
      <x:c r="B234" s="20" t="inlineStr">
        <x:is>
          <x:t xml:space="preserve">53</x:t>
        </x:is>
      </x:c>
      <x:c r="C234" s="20" t="inlineStr">
        <x:is>
          <x:t xml:space="preserve">POLK</x:t>
        </x:is>
      </x:c>
      <x:c r="D234" s="20" t="inlineStr">
        <x:is>
          <x:t xml:space="preserve">1891</x:t>
        </x:is>
      </x:c>
      <x:c r="E234" s="20" t="inlineStr">
        <x:is>
          <x:t xml:space="preserve">VALLEYVIEW ELEMENTARY SCHOOL</x:t>
        </x:is>
      </x:c>
      <x:c r="F234" s="20" t="inlineStr">
        <x:is>
          <x:t xml:space="preserve">01</x:t>
        </x:is>
      </x:c>
      <x:c r="G234" s="20" t="inlineStr">
        <x:is>
          <x:t xml:space="preserve">Elementary</x:t>
        </x:is>
      </x:c>
      <x:c r="H234" s="20" t="inlineStr">
        <x:is>
          <x:t xml:space="preserve">NO</x:t>
        </x:is>
      </x:c>
      <x:c r="I234" s="20" t="inlineStr">
        <x:is>
          <x:t xml:space="preserve">NO</x:t>
        </x:is>
      </x:c>
      <x:c r="J234" s="20" t="inlineStr">
        <x:is>
          <x:t xml:space="preserve">N</x:t>
        </x:is>
      </x:c>
      <x:c r="K234" s="25" t="n">
        <x:v>69</x:v>
      </x:c>
      <x:c r="L234" s="25" t="n">
        <x:v>58</x:v>
      </x:c>
      <x:c r="M234" s="25" t="n">
        <x:v>79</x:v>
      </x:c>
      <x:c r="N234" s="25" t="n">
        <x:v>71</x:v>
      </x:c>
      <x:c r="O234" s="25" t="n">
        <x:v>71</x:v>
      </x:c>
      <x:c r="P234" s="25" t="n"/>
      <x:c r="Q234" s="25" t="n"/>
      <x:c r="R234" s="25" t="n"/>
      <x:c r="S234" s="20" t="n">
        <x:v>511</x:v>
      </x:c>
      <x:c r="T234" s="20" t="n">
        <x:v>8</x:v>
      </x:c>
      <x:c r="U234" s="25" t="n">
        <x:v>64</x:v>
      </x:c>
      <x:c r="V234" s="25" t="n">
        <x:v>100</x:v>
      </x:c>
      <x:c r="W234" s="20" t="inlineStr">
        <x:is>
          <x:t xml:space="preserve">A</x:t>
        </x:is>
      </x:c>
      <x:c r="X234" s="20" t="inlineStr">
        <x:is>
          <x:t xml:space="preserve">A</x:t>
        </x:is>
      </x:c>
      <x:c r="Y234" s="25" t="n">
        <x:v>59.9</x:v>
      </x:c>
      <x:c r="Z234" s="20" t="inlineStr">
        <x:is>
          <x:t xml:space="preserve">https://www.fldoe.org/file/18534/SchoolGrades25.xlsx</x:t>
        </x:is>
      </x:c>
    </x:row>
    <x:row r="235">
      <x:c r="A235" s="20" t="inlineStr">
        <x:is>
          <x:t xml:space="preserve">531901</x:t>
        </x:is>
      </x:c>
      <x:c r="B235" s="20" t="inlineStr">
        <x:is>
          <x:t xml:space="preserve">53</x:t>
        </x:is>
      </x:c>
      <x:c r="C235" s="20" t="inlineStr">
        <x:is>
          <x:t xml:space="preserve">POLK</x:t>
        </x:is>
      </x:c>
      <x:c r="D235" s="20" t="inlineStr">
        <x:is>
          <x:t xml:space="preserve">1901</x:t>
        </x:is>
      </x:c>
      <x:c r="E235" s="20" t="inlineStr">
        <x:is>
          <x:t xml:space="preserve">SOCRUM ELEMENTARY SCHOOL</x:t>
        </x:is>
      </x:c>
      <x:c r="F235" s="20" t="inlineStr">
        <x:is>
          <x:t xml:space="preserve">01</x:t>
        </x:is>
      </x:c>
      <x:c r="G235" s="20" t="inlineStr">
        <x:is>
          <x:t xml:space="preserve">Elementary</x:t>
        </x:is>
      </x:c>
      <x:c r="H235" s="20" t="inlineStr">
        <x:is>
          <x:t xml:space="preserve">NO</x:t>
        </x:is>
      </x:c>
      <x:c r="I235" s="20" t="inlineStr">
        <x:is>
          <x:t xml:space="preserve">YES</x:t>
        </x:is>
      </x:c>
      <x:c r="J235" s="20" t="inlineStr">
        <x:is>
          <x:t xml:space="preserve">N</x:t>
        </x:is>
      </x:c>
      <x:c r="K235" s="25" t="n">
        <x:v>38</x:v>
      </x:c>
      <x:c r="L235" s="25" t="n">
        <x:v>61</x:v>
      </x:c>
      <x:c r="M235" s="25" t="n">
        <x:v>56</x:v>
      </x:c>
      <x:c r="N235" s="25" t="n">
        <x:v>68</x:v>
      </x:c>
      <x:c r="O235" s="25" t="n">
        <x:v>52</x:v>
      </x:c>
      <x:c r="P235" s="25" t="n"/>
      <x:c r="Q235" s="25" t="n"/>
      <x:c r="R235" s="25" t="n"/>
      <x:c r="S235" s="20" t="n">
        <x:v>441</x:v>
      </x:c>
      <x:c r="T235" s="20" t="n">
        <x:v>8</x:v>
      </x:c>
      <x:c r="U235" s="25" t="n">
        <x:v>55</x:v>
      </x:c>
      <x:c r="V235" s="25" t="n">
        <x:v>100</x:v>
      </x:c>
      <x:c r="W235" s="20" t="inlineStr">
        <x:is>
          <x:t xml:space="preserve">B</x:t>
        </x:is>
      </x:c>
      <x:c r="X235" s="20" t="inlineStr">
        <x:is>
          <x:t xml:space="preserve">C</x:t>
        </x:is>
      </x:c>
      <x:c r="Y235" s="25" t="n">
        <x:v>100</x:v>
      </x:c>
      <x:c r="Z235" s="20" t="inlineStr">
        <x:is>
          <x:t xml:space="preserve">https://www.fldoe.org/file/18534/SchoolGrades25.xlsx</x:t>
        </x:is>
      </x:c>
    </x:row>
    <x:row r="236">
      <x:c r="A236" s="20" t="inlineStr">
        <x:is>
          <x:t xml:space="preserve">531908</x:t>
        </x:is>
      </x:c>
      <x:c r="B236" s="20" t="inlineStr">
        <x:is>
          <x:t xml:space="preserve">53</x:t>
        </x:is>
      </x:c>
      <x:c r="C236" s="20" t="inlineStr">
        <x:is>
          <x:t xml:space="preserve">POLK</x:t>
        </x:is>
      </x:c>
      <x:c r="D236" s="20" t="inlineStr">
        <x:is>
          <x:t xml:space="preserve">1908</x:t>
        </x:is>
      </x:c>
      <x:c r="E236" s="20" t="inlineStr">
        <x:is>
          <x:t xml:space="preserve">SPESSARD L HOLLAND ELEMENTARY</x:t>
        </x:is>
      </x:c>
      <x:c r="F236" s="20" t="inlineStr">
        <x:is>
          <x:t xml:space="preserve">01</x:t>
        </x:is>
      </x:c>
      <x:c r="G236" s="20" t="inlineStr">
        <x:is>
          <x:t xml:space="preserve">Elementary</x:t>
        </x:is>
      </x:c>
      <x:c r="H236" s="20" t="inlineStr">
        <x:is>
          <x:t xml:space="preserve">NO</x:t>
        </x:is>
      </x:c>
      <x:c r="I236" s="20" t="inlineStr">
        <x:is>
          <x:t xml:space="preserve">YES</x:t>
        </x:is>
      </x:c>
      <x:c r="J236" s="20" t="inlineStr">
        <x:is>
          <x:t xml:space="preserve">N</x:t>
        </x:is>
      </x:c>
      <x:c r="K236" s="25" t="n">
        <x:v>52</x:v>
      </x:c>
      <x:c r="L236" s="25" t="n">
        <x:v>60</x:v>
      </x:c>
      <x:c r="M236" s="25" t="n">
        <x:v>50</x:v>
      </x:c>
      <x:c r="N236" s="25" t="n">
        <x:v>56</x:v>
      </x:c>
      <x:c r="O236" s="25" t="n">
        <x:v>40</x:v>
      </x:c>
      <x:c r="P236" s="25" t="n"/>
      <x:c r="Q236" s="25" t="n"/>
      <x:c r="R236" s="25" t="n"/>
      <x:c r="S236" s="20" t="n">
        <x:v>412</x:v>
      </x:c>
      <x:c r="T236" s="20" t="n">
        <x:v>8</x:v>
      </x:c>
      <x:c r="U236" s="25" t="n">
        <x:v>52</x:v>
      </x:c>
      <x:c r="V236" s="25" t="n">
        <x:v>99</x:v>
      </x:c>
      <x:c r="W236" s="20" t="inlineStr">
        <x:is>
          <x:t xml:space="preserve">C</x:t>
        </x:is>
      </x:c>
      <x:c r="X236" s="20" t="inlineStr">
        <x:is>
          <x:t xml:space="preserve">B</x:t>
        </x:is>
      </x:c>
      <x:c r="Y236" s="25" t="n">
        <x:v>94.09999999999999</x:v>
      </x:c>
      <x:c r="Z236" s="20" t="inlineStr">
        <x:is>
          <x:t xml:space="preserve">https://www.fldoe.org/file/18534/SchoolGrades25.xlsx</x:t>
        </x:is>
      </x:c>
    </x:row>
    <x:row r="237">
      <x:c r="A237" s="20" t="inlineStr">
        <x:is>
          <x:t xml:space="preserve">531921</x:t>
        </x:is>
      </x:c>
      <x:c r="B237" s="20" t="inlineStr">
        <x:is>
          <x:t xml:space="preserve">53</x:t>
        </x:is>
      </x:c>
      <x:c r="C237" s="20" t="inlineStr">
        <x:is>
          <x:t xml:space="preserve">POLK</x:t>
        </x:is>
      </x:c>
      <x:c r="D237" s="20" t="inlineStr">
        <x:is>
          <x:t xml:space="preserve">1921</x:t>
        </x:is>
      </x:c>
      <x:c r="E237" s="20" t="inlineStr">
        <x:is>
          <x:t xml:space="preserve">FROSTPROOF BEN HILL GRIFFIN, JR ELEMENTARY SCHOOL</x:t>
        </x:is>
      </x:c>
      <x:c r="F237" s="20" t="inlineStr">
        <x:is>
          <x:t xml:space="preserve">01</x:t>
        </x:is>
      </x:c>
      <x:c r="G237" s="20" t="inlineStr">
        <x:is>
          <x:t xml:space="preserve">Elementary</x:t>
        </x:is>
      </x:c>
      <x:c r="H237" s="20" t="inlineStr">
        <x:is>
          <x:t xml:space="preserve">NO</x:t>
        </x:is>
      </x:c>
      <x:c r="I237" s="20" t="inlineStr">
        <x:is>
          <x:t xml:space="preserve">YES</x:t>
        </x:is>
      </x:c>
      <x:c r="J237" s="20" t="inlineStr">
        <x:is>
          <x:t xml:space="preserve">N</x:t>
        </x:is>
      </x:c>
      <x:c r="K237" s="25" t="n">
        <x:v>46</x:v>
      </x:c>
      <x:c r="L237" s="25" t="n">
        <x:v>52</x:v>
      </x:c>
      <x:c r="M237" s="25" t="n">
        <x:v>51</x:v>
      </x:c>
      <x:c r="N237" s="25" t="n">
        <x:v>55</x:v>
      </x:c>
      <x:c r="O237" s="25" t="n">
        <x:v>48</x:v>
      </x:c>
      <x:c r="P237" s="25" t="n"/>
      <x:c r="Q237" s="25" t="n"/>
      <x:c r="R237" s="25" t="n"/>
      <x:c r="S237" s="20" t="n">
        <x:v>416</x:v>
      </x:c>
      <x:c r="T237" s="20" t="n">
        <x:v>8</x:v>
      </x:c>
      <x:c r="U237" s="25" t="n">
        <x:v>52</x:v>
      </x:c>
      <x:c r="V237" s="25" t="n">
        <x:v>99</x:v>
      </x:c>
      <x:c r="W237" s="20" t="inlineStr">
        <x:is>
          <x:t xml:space="preserve">C</x:t>
        </x:is>
      </x:c>
      <x:c r="X237" s="20" t="inlineStr">
        <x:is>
          <x:t xml:space="preserve">C</x:t>
        </x:is>
      </x:c>
      <x:c r="Y237" s="25" t="n">
        <x:v>100</x:v>
      </x:c>
      <x:c r="Z237" s="20" t="inlineStr">
        <x:is>
          <x:t xml:space="preserve">https://www.fldoe.org/file/18534/SchoolGrades25.xlsx</x:t>
        </x:is>
      </x:c>
    </x:row>
    <x:row r="238">
      <x:c r="A238" s="20" t="inlineStr">
        <x:is>
          <x:t xml:space="preserve">531931</x:t>
        </x:is>
      </x:c>
      <x:c r="B238" s="20" t="inlineStr">
        <x:is>
          <x:t xml:space="preserve">53</x:t>
        </x:is>
      </x:c>
      <x:c r="C238" s="20" t="inlineStr">
        <x:is>
          <x:t xml:space="preserve">POLK</x:t>
        </x:is>
      </x:c>
      <x:c r="D238" s="20" t="inlineStr">
        <x:is>
          <x:t xml:space="preserve">1931</x:t>
        </x:is>
      </x:c>
      <x:c r="E238" s="20" t="inlineStr">
        <x:is>
          <x:t xml:space="preserve">GEORGE W. JENKINS SENIOR HIGH</x:t>
        </x:is>
      </x:c>
      <x:c r="F238" s="20" t="inlineStr">
        <x:is>
          <x:t xml:space="preserve">03</x:t>
        </x:is>
      </x:c>
      <x:c r="G238" s="20" t="inlineStr">
        <x:is>
          <x:t xml:space="preserve">Senior High</x:t>
        </x:is>
      </x:c>
      <x:c r="H238" s="20" t="inlineStr">
        <x:is>
          <x:t xml:space="preserve">NO</x:t>
        </x:is>
      </x:c>
      <x:c r="I238" s="20" t="inlineStr">
        <x:is>
          <x:t xml:space="preserve">NO</x:t>
        </x:is>
      </x:c>
      <x:c r="J238" s="20" t="inlineStr">
        <x:is>
          <x:t xml:space="preserve">N</x:t>
        </x:is>
      </x:c>
      <x:c r="K238" s="25" t="n">
        <x:v>60</x:v>
      </x:c>
      <x:c r="L238" s="25" t="n">
        <x:v>58</x:v>
      </x:c>
      <x:c r="M238" s="25" t="n">
        <x:v>35</x:v>
      </x:c>
      <x:c r="N238" s="25" t="n">
        <x:v>35</x:v>
      </x:c>
      <x:c r="O238" s="25" t="n">
        <x:v>71</x:v>
      </x:c>
      <x:c r="P238" s="25" t="n">
        <x:v>75</x:v>
      </x:c>
      <x:c r="Q238" s="25" t="n">
        <x:v>98</x:v>
      </x:c>
      <x:c r="R238" s="25" t="n">
        <x:v>80</x:v>
      </x:c>
      <x:c r="S238" s="20" t="n">
        <x:v>609</x:v>
      </x:c>
      <x:c r="T238" s="20" t="n">
        <x:v>10</x:v>
      </x:c>
      <x:c r="U238" s="25" t="n">
        <x:v>61</x:v>
      </x:c>
      <x:c r="V238" s="25" t="n">
        <x:v>96</x:v>
      </x:c>
      <x:c r="W238" s="20" t="inlineStr">
        <x:is>
          <x:t xml:space="preserve">B</x:t>
        </x:is>
      </x:c>
      <x:c r="X238" s="20" t="inlineStr">
        <x:is>
          <x:t xml:space="preserve">B</x:t>
        </x:is>
      </x:c>
      <x:c r="Y238" s="25" t="n">
        <x:v>62.3</x:v>
      </x:c>
      <x:c r="Z238" s="20" t="inlineStr">
        <x:is>
          <x:t xml:space="preserve">https://www.fldoe.org/file/18534/SchoolGrades25.xlsx</x:t>
        </x:is>
      </x:c>
    </x:row>
    <x:row r="239">
      <x:c r="A239" s="20" t="inlineStr">
        <x:is>
          <x:t xml:space="preserve">531941</x:t>
        </x:is>
      </x:c>
      <x:c r="B239" s="20" t="inlineStr">
        <x:is>
          <x:t xml:space="preserve">53</x:t>
        </x:is>
      </x:c>
      <x:c r="C239" s="20" t="inlineStr">
        <x:is>
          <x:t xml:space="preserve">POLK</x:t>
        </x:is>
      </x:c>
      <x:c r="D239" s="20" t="inlineStr">
        <x:is>
          <x:t xml:space="preserve">1941</x:t>
        </x:is>
      </x:c>
      <x:c r="E239" s="20" t="inlineStr">
        <x:is>
          <x:t xml:space="preserve">LOUGHMAN OAKS ELEMENTARY SCHOOL</x:t>
        </x:is>
      </x:c>
      <x:c r="F239" s="20" t="inlineStr">
        <x:is>
          <x:t xml:space="preserve">01</x:t>
        </x:is>
      </x:c>
      <x:c r="G239" s="20" t="inlineStr">
        <x:is>
          <x:t xml:space="preserve">Elementary</x:t>
        </x:is>
      </x:c>
      <x:c r="H239" s="20" t="inlineStr">
        <x:is>
          <x:t xml:space="preserve">NO</x:t>
        </x:is>
      </x:c>
      <x:c r="I239" s="20" t="inlineStr">
        <x:is>
          <x:t xml:space="preserve">YES</x:t>
        </x:is>
      </x:c>
      <x:c r="J239" s="20" t="inlineStr">
        <x:is>
          <x:t xml:space="preserve">N</x:t>
        </x:is>
      </x:c>
      <x:c r="K239" s="25" t="n">
        <x:v>38</x:v>
      </x:c>
      <x:c r="L239" s="25" t="n">
        <x:v>47</x:v>
      </x:c>
      <x:c r="M239" s="25" t="n">
        <x:v>41</x:v>
      </x:c>
      <x:c r="N239" s="25" t="n">
        <x:v>54</x:v>
      </x:c>
      <x:c r="O239" s="25" t="n">
        <x:v>35</x:v>
      </x:c>
      <x:c r="P239" s="25" t="n"/>
      <x:c r="Q239" s="25" t="n"/>
      <x:c r="R239" s="25" t="n"/>
      <x:c r="S239" s="20" t="n">
        <x:v>340</x:v>
      </x:c>
      <x:c r="T239" s="20" t="n">
        <x:v>8</x:v>
      </x:c>
      <x:c r="U239" s="25" t="n">
        <x:v>43</x:v>
      </x:c>
      <x:c r="V239" s="25" t="n">
        <x:v>98</x:v>
      </x:c>
      <x:c r="W239" s="20" t="inlineStr">
        <x:is>
          <x:t xml:space="preserve">C</x:t>
        </x:is>
      </x:c>
      <x:c r="X239" s="20" t="inlineStr">
        <x:is>
          <x:t xml:space="preserve">C</x:t>
        </x:is>
      </x:c>
      <x:c r="Y239" s="25" t="n">
        <x:v>78.90000000000001</x:v>
      </x:c>
      <x:c r="Z239" s="20" t="inlineStr">
        <x:is>
          <x:t xml:space="preserve">https://www.fldoe.org/file/18534/SchoolGrades25.xlsx</x:t>
        </x:is>
      </x:c>
    </x:row>
    <x:row r="240">
      <x:c r="A240" s="20" t="inlineStr">
        <x:is>
          <x:t xml:space="preserve">531951</x:t>
        </x:is>
      </x:c>
      <x:c r="B240" s="20" t="inlineStr">
        <x:is>
          <x:t xml:space="preserve">53</x:t>
        </x:is>
      </x:c>
      <x:c r="C240" s="20" t="inlineStr">
        <x:is>
          <x:t xml:space="preserve">POLK</x:t>
        </x:is>
      </x:c>
      <x:c r="D240" s="20" t="inlineStr">
        <x:is>
          <x:t xml:space="preserve">1951</x:t>
        </x:is>
      </x:c>
      <x:c r="E240" s="20" t="inlineStr">
        <x:is>
          <x:t xml:space="preserve">BERKLEY ELEMENTARY SCHOOL</x:t>
        </x:is>
      </x:c>
      <x:c r="F240" s="20" t="inlineStr">
        <x:is>
          <x:t xml:space="preserve">01</x:t>
        </x:is>
      </x:c>
      <x:c r="G240" s="20" t="inlineStr">
        <x:is>
          <x:t xml:space="preserve">Elementary</x:t>
        </x:is>
      </x:c>
      <x:c r="H240" s="20" t="inlineStr">
        <x:is>
          <x:t xml:space="preserve">YES</x:t>
        </x:is>
      </x:c>
      <x:c r="I240" s="20" t="inlineStr">
        <x:is>
          <x:t xml:space="preserve">NO</x:t>
        </x:is>
      </x:c>
      <x:c r="J240" s="20" t="inlineStr">
        <x:is>
          <x:t xml:space="preserve">N</x:t>
        </x:is>
      </x:c>
      <x:c r="K240" s="25" t="n">
        <x:v>76</x:v>
      </x:c>
      <x:c r="L240" s="25" t="n">
        <x:v>58</x:v>
      </x:c>
      <x:c r="M240" s="25" t="n">
        <x:v>85</x:v>
      </x:c>
      <x:c r="N240" s="25" t="n">
        <x:v>68</x:v>
      </x:c>
      <x:c r="O240" s="25" t="n">
        <x:v>71</x:v>
      </x:c>
      <x:c r="P240" s="25" t="n"/>
      <x:c r="Q240" s="25" t="n"/>
      <x:c r="R240" s="25" t="n"/>
      <x:c r="S240" s="20" t="n">
        <x:v>558</x:v>
      </x:c>
      <x:c r="T240" s="20" t="n">
        <x:v>8</x:v>
      </x:c>
      <x:c r="U240" s="25" t="n">
        <x:v>70</x:v>
      </x:c>
      <x:c r="V240" s="25" t="n">
        <x:v>100</x:v>
      </x:c>
      <x:c r="W240" s="20" t="inlineStr">
        <x:is>
          <x:t xml:space="preserve">A</x:t>
        </x:is>
      </x:c>
      <x:c r="X240" s="20" t="inlineStr">
        <x:is>
          <x:t xml:space="preserve">A</x:t>
        </x:is>
      </x:c>
      <x:c r="Y240" s="25" t="n">
        <x:v>37.6</x:v>
      </x:c>
      <x:c r="Z240" s="20" t="inlineStr">
        <x:is>
          <x:t xml:space="preserve">https://www.fldoe.org/file/18534/SchoolGrades25.xlsx</x:t>
        </x:is>
      </x:c>
    </x:row>
    <x:row r="241">
      <x:c r="A241" s="20" t="inlineStr">
        <x:is>
          <x:t xml:space="preserve">531961</x:t>
        </x:is>
      </x:c>
      <x:c r="B241" s="20" t="inlineStr">
        <x:is>
          <x:t xml:space="preserve">53</x:t>
        </x:is>
      </x:c>
      <x:c r="C241" s="20" t="inlineStr">
        <x:is>
          <x:t xml:space="preserve">POLK</x:t>
        </x:is>
      </x:c>
      <x:c r="D241" s="20" t="inlineStr">
        <x:is>
          <x:t xml:space="preserve">1961</x:t>
        </x:is>
      </x:c>
      <x:c r="E241" s="20" t="inlineStr">
        <x:is>
          <x:t xml:space="preserve">DISCOVERY ACADEMY OF LAKE ALFRED</x:t>
        </x:is>
      </x:c>
      <x:c r="F241" s="20" t="inlineStr">
        <x:is>
          <x:t xml:space="preserve">02</x:t>
        </x:is>
      </x:c>
      <x:c r="G241" s="20" t="inlineStr">
        <x:is>
          <x:t xml:space="preserve">Middle/Junior</x:t>
        </x:is>
      </x:c>
      <x:c r="H241" s="20" t="inlineStr">
        <x:is>
          <x:t xml:space="preserve">YES</x:t>
        </x:is>
      </x:c>
      <x:c r="I241" s="20" t="inlineStr">
        <x:is>
          <x:t xml:space="preserve">YES</x:t>
        </x:is>
      </x:c>
      <x:c r="J241" s="20" t="inlineStr">
        <x:is>
          <x:t xml:space="preserve">N</x:t>
        </x:is>
      </x:c>
      <x:c r="K241" s="25" t="n">
        <x:v>57</x:v>
      </x:c>
      <x:c r="L241" s="25" t="n">
        <x:v>61</x:v>
      </x:c>
      <x:c r="M241" s="25" t="n">
        <x:v>54</x:v>
      </x:c>
      <x:c r="N241" s="25" t="n">
        <x:v>56</x:v>
      </x:c>
      <x:c r="O241" s="25" t="n">
        <x:v>54</x:v>
      </x:c>
      <x:c r="P241" s="25" t="n">
        <x:v>83</x:v>
      </x:c>
      <x:c r="Q241" s="25" t="n"/>
      <x:c r="R241" s="25" t="n"/>
      <x:c r="S241" s="20" t="n">
        <x:v>557</x:v>
      </x:c>
      <x:c r="T241" s="20" t="n">
        <x:v>9</x:v>
      </x:c>
      <x:c r="U241" s="25" t="n">
        <x:v>62</x:v>
      </x:c>
      <x:c r="V241" s="25" t="n">
        <x:v>99</x:v>
      </x:c>
      <x:c r="W241" s="20" t="inlineStr">
        <x:is>
          <x:t xml:space="preserve">B</x:t>
        </x:is>
      </x:c>
      <x:c r="X241" s="20" t="inlineStr">
        <x:is>
          <x:t xml:space="preserve">B</x:t>
        </x:is>
      </x:c>
      <x:c r="Y241" s="25" t="n">
        <x:v>79.3</x:v>
      </x:c>
      <x:c r="Z241" s="20" t="inlineStr">
        <x:is>
          <x:t xml:space="preserve">https://www.fldoe.org/file/18534/SchoolGrades25.xlsx</x:t>
        </x:is>
      </x:c>
    </x:row>
    <x:row r="242">
      <x:c r="A242" s="20" t="inlineStr">
        <x:is>
          <x:t xml:space="preserve">531971</x:t>
        </x:is>
      </x:c>
      <x:c r="B242" s="20" t="inlineStr">
        <x:is>
          <x:t xml:space="preserve">53</x:t>
        </x:is>
      </x:c>
      <x:c r="C242" s="20" t="inlineStr">
        <x:is>
          <x:t xml:space="preserve">POLK</x:t>
        </x:is>
      </x:c>
      <x:c r="D242" s="20" t="inlineStr">
        <x:is>
          <x:t xml:space="preserve">1971</x:t>
        </x:is>
      </x:c>
      <x:c r="E242" s="20" t="inlineStr">
        <x:is>
          <x:t xml:space="preserve">SLEEPY HILL MIDDLE SCHOOL</x:t>
        </x:is>
      </x:c>
      <x:c r="F242" s="20" t="inlineStr">
        <x:is>
          <x:t xml:space="preserve">02</x:t>
        </x:is>
      </x:c>
      <x:c r="G242" s="20" t="inlineStr">
        <x:is>
          <x:t xml:space="preserve">Middle/Junior</x:t>
        </x:is>
      </x:c>
      <x:c r="H242" s="20" t="inlineStr">
        <x:is>
          <x:t xml:space="preserve">NO</x:t>
        </x:is>
      </x:c>
      <x:c r="I242" s="20" t="inlineStr">
        <x:is>
          <x:t xml:space="preserve">YES</x:t>
        </x:is>
      </x:c>
      <x:c r="J242" s="20" t="inlineStr">
        <x:is>
          <x:t xml:space="preserve">N</x:t>
        </x:is>
      </x:c>
      <x:c r="K242" s="25" t="n">
        <x:v>29</x:v>
      </x:c>
      <x:c r="L242" s="25" t="n">
        <x:v>46</x:v>
      </x:c>
      <x:c r="M242" s="25" t="n">
        <x:v>27</x:v>
      </x:c>
      <x:c r="N242" s="25" t="n">
        <x:v>41</x:v>
      </x:c>
      <x:c r="O242" s="25" t="n">
        <x:v>24</x:v>
      </x:c>
      <x:c r="P242" s="25" t="n">
        <x:v>67</x:v>
      </x:c>
      <x:c r="Q242" s="25" t="n"/>
      <x:c r="R242" s="25" t="n"/>
      <x:c r="S242" s="20" t="n">
        <x:v>406</x:v>
      </x:c>
      <x:c r="T242" s="20" t="n">
        <x:v>9</x:v>
      </x:c>
      <x:c r="U242" s="25" t="n">
        <x:v>45</x:v>
      </x:c>
      <x:c r="V242" s="25" t="n">
        <x:v>99</x:v>
      </x:c>
      <x:c r="W242" s="20" t="inlineStr">
        <x:is>
          <x:t xml:space="preserve">C</x:t>
        </x:is>
      </x:c>
      <x:c r="X242" s="20" t="inlineStr">
        <x:is>
          <x:t xml:space="preserve">C</x:t>
        </x:is>
      </x:c>
      <x:c r="Y242" s="25" t="n">
        <x:v>100</x:v>
      </x:c>
      <x:c r="Z242" s="20" t="inlineStr">
        <x:is>
          <x:t xml:space="preserve">https://www.fldoe.org/file/18534/SchoolGrades25.xlsx</x:t>
        </x:is>
      </x:c>
    </x:row>
    <x:row r="243">
      <x:c r="A243" s="20" t="inlineStr">
        <x:is>
          <x:t xml:space="preserve">531981</x:t>
        </x:is>
      </x:c>
      <x:c r="B243" s="20" t="inlineStr">
        <x:is>
          <x:t xml:space="preserve">53</x:t>
        </x:is>
      </x:c>
      <x:c r="C243" s="20" t="inlineStr">
        <x:is>
          <x:t xml:space="preserve">POLK</x:t>
        </x:is>
      </x:c>
      <x:c r="D243" s="20" t="inlineStr">
        <x:is>
          <x:t xml:space="preserve">1981</x:t>
        </x:is>
      </x:c>
      <x:c r="E243" s="20" t="inlineStr">
        <x:is>
          <x:t xml:space="preserve">DUNDEE RIDGE MIDDLE ACADEMY</x:t>
        </x:is>
      </x:c>
      <x:c r="F243" s="20" t="inlineStr">
        <x:is>
          <x:t xml:space="preserve">02</x:t>
        </x:is>
      </x:c>
      <x:c r="G243" s="20" t="inlineStr">
        <x:is>
          <x:t xml:space="preserve">Middle/Junior</x:t>
        </x:is>
      </x:c>
      <x:c r="H243" s="20" t="inlineStr">
        <x:is>
          <x:t xml:space="preserve">NO</x:t>
        </x:is>
      </x:c>
      <x:c r="I243" s="20" t="inlineStr">
        <x:is>
          <x:t xml:space="preserve">YES</x:t>
        </x:is>
      </x:c>
      <x:c r="J243" s="20" t="inlineStr">
        <x:is>
          <x:t xml:space="preserve">N</x:t>
        </x:is>
      </x:c>
      <x:c r="K243" s="25" t="n">
        <x:v>58</x:v>
      </x:c>
      <x:c r="L243" s="25" t="n">
        <x:v>57</x:v>
      </x:c>
      <x:c r="M243" s="25" t="n">
        <x:v>58</x:v>
      </x:c>
      <x:c r="N243" s="25" t="n">
        <x:v>53</x:v>
      </x:c>
      <x:c r="O243" s="25" t="n">
        <x:v>51</x:v>
      </x:c>
      <x:c r="P243" s="25" t="n">
        <x:v>87</x:v>
      </x:c>
      <x:c r="Q243" s="25" t="n"/>
      <x:c r="R243" s="25" t="n"/>
      <x:c r="S243" s="20" t="n">
        <x:v>561</x:v>
      </x:c>
      <x:c r="T243" s="20" t="n">
        <x:v>9</x:v>
      </x:c>
      <x:c r="U243" s="25" t="n">
        <x:v>62</x:v>
      </x:c>
      <x:c r="V243" s="25" t="n">
        <x:v>100</x:v>
      </x:c>
      <x:c r="W243" s="20" t="inlineStr">
        <x:is>
          <x:t xml:space="preserve">B</x:t>
        </x:is>
      </x:c>
      <x:c r="X243" s="20" t="inlineStr">
        <x:is>
          <x:t xml:space="preserve">B</x:t>
        </x:is>
      </x:c>
      <x:c r="Y243" s="25" t="n">
        <x:v>97.3</x:v>
      </x:c>
      <x:c r="Z243" s="20" t="inlineStr">
        <x:is>
          <x:t xml:space="preserve">https://www.fldoe.org/file/18534/SchoolGrades25.xlsx</x:t>
        </x:is>
      </x:c>
    </x:row>
    <x:row r="244">
      <x:c r="A244" s="20" t="inlineStr">
        <x:is>
          <x:t xml:space="preserve">531991</x:t>
        </x:is>
      </x:c>
      <x:c r="B244" s="20" t="inlineStr">
        <x:is>
          <x:t xml:space="preserve">53</x:t>
        </x:is>
      </x:c>
      <x:c r="C244" s="20" t="inlineStr">
        <x:is>
          <x:t xml:space="preserve">POLK</x:t>
        </x:is>
      </x:c>
      <x:c r="D244" s="20" t="inlineStr">
        <x:is>
          <x:t xml:space="preserve">1991</x:t>
        </x:is>
      </x:c>
      <x:c r="E244" s="20" t="inlineStr">
        <x:is>
          <x:t xml:space="preserve">LAKE REGION HIGH SCHOOL</x:t>
        </x:is>
      </x:c>
      <x:c r="F244" s="20" t="inlineStr">
        <x:is>
          <x:t xml:space="preserve">03</x:t>
        </x:is>
      </x:c>
      <x:c r="G244" s="20" t="inlineStr">
        <x:is>
          <x:t xml:space="preserve">Senior High</x:t>
        </x:is>
      </x:c>
      <x:c r="H244" s="20" t="inlineStr">
        <x:is>
          <x:t xml:space="preserve">NO</x:t>
        </x:is>
      </x:c>
      <x:c r="I244" s="20" t="inlineStr">
        <x:is>
          <x:t xml:space="preserve">YES</x:t>
        </x:is>
      </x:c>
      <x:c r="J244" s="20" t="inlineStr">
        <x:is>
          <x:t xml:space="preserve">N</x:t>
        </x:is>
      </x:c>
      <x:c r="K244" s="25" t="n">
        <x:v>35</x:v>
      </x:c>
      <x:c r="L244" s="25" t="n">
        <x:v>45</x:v>
      </x:c>
      <x:c r="M244" s="25" t="n">
        <x:v>28</x:v>
      </x:c>
      <x:c r="N244" s="25" t="n">
        <x:v>43</x:v>
      </x:c>
      <x:c r="O244" s="25" t="n">
        <x:v>56</x:v>
      </x:c>
      <x:c r="P244" s="25" t="n">
        <x:v>61</x:v>
      </x:c>
      <x:c r="Q244" s="25" t="n">
        <x:v>80</x:v>
      </x:c>
      <x:c r="R244" s="25" t="n">
        <x:v>45</x:v>
      </x:c>
      <x:c r="S244" s="20" t="n">
        <x:v>497</x:v>
      </x:c>
      <x:c r="T244" s="20" t="n">
        <x:v>10</x:v>
      </x:c>
      <x:c r="U244" s="25" t="n">
        <x:v>50</x:v>
      </x:c>
      <x:c r="V244" s="25" t="n">
        <x:v>97</x:v>
      </x:c>
      <x:c r="W244" s="20" t="inlineStr">
        <x:is>
          <x:t xml:space="preserve">C</x:t>
        </x:is>
      </x:c>
      <x:c r="X244" s="20" t="inlineStr">
        <x:is>
          <x:t xml:space="preserve">C</x:t>
        </x:is>
      </x:c>
      <x:c r="Y244" s="25" t="n">
        <x:v>100</x:v>
      </x:c>
      <x:c r="Z244" s="20" t="inlineStr">
        <x:is>
          <x:t xml:space="preserve">https://www.fldoe.org/file/18534/SchoolGrades25.xlsx</x:t>
        </x:is>
      </x:c>
    </x:row>
    <x:row r="245">
      <x:c r="A245" s="20" t="inlineStr">
        <x:is>
          <x:t xml:space="preserve">532002</x:t>
        </x:is>
      </x:c>
      <x:c r="B245" s="20" t="inlineStr">
        <x:is>
          <x:t xml:space="preserve">53</x:t>
        </x:is>
      </x:c>
      <x:c r="C245" s="20" t="inlineStr">
        <x:is>
          <x:t xml:space="preserve">POLK</x:t>
        </x:is>
      </x:c>
      <x:c r="D245" s="20" t="inlineStr">
        <x:is>
          <x:t xml:space="preserve">2002</x:t>
        </x:is>
      </x:c>
      <x:c r="E245" s="20" t="inlineStr">
        <x:is>
          <x:t xml:space="preserve">DAVENPORT HIGH SCHOOL</x:t>
        </x:is>
      </x:c>
      <x:c r="F245" s="20" t="inlineStr">
        <x:is>
          <x:t xml:space="preserve">03</x:t>
        </x:is>
      </x:c>
      <x:c r="G245" s="20" t="inlineStr">
        <x:is>
          <x:t xml:space="preserve">Senior High</x:t>
        </x:is>
      </x:c>
      <x:c r="H245" s="20" t="inlineStr">
        <x:is>
          <x:t xml:space="preserve">NO</x:t>
        </x:is>
      </x:c>
      <x:c r="I245" s="20" t="inlineStr">
        <x:is>
          <x:t xml:space="preserve">YES</x:t>
        </x:is>
      </x:c>
      <x:c r="J245" s="20" t="inlineStr">
        <x:is>
          <x:t xml:space="preserve">N</x:t>
        </x:is>
      </x:c>
      <x:c r="K245" s="25" t="n">
        <x:v>49</x:v>
      </x:c>
      <x:c r="L245" s="25" t="n">
        <x:v>54</x:v>
      </x:c>
      <x:c r="M245" s="25" t="n">
        <x:v>27</x:v>
      </x:c>
      <x:c r="N245" s="25" t="n">
        <x:v>37</x:v>
      </x:c>
      <x:c r="O245" s="25" t="n">
        <x:v>60</x:v>
      </x:c>
      <x:c r="P245" s="25" t="n">
        <x:v>68</x:v>
      </x:c>
      <x:c r="Q245" s="25" t="n">
        <x:v>87</x:v>
      </x:c>
      <x:c r="R245" s="25" t="n">
        <x:v>58</x:v>
      </x:c>
      <x:c r="S245" s="20" t="n">
        <x:v>543</x:v>
      </x:c>
      <x:c r="T245" s="20" t="n">
        <x:v>10</x:v>
      </x:c>
      <x:c r="U245" s="25" t="n">
        <x:v>54</x:v>
      </x:c>
      <x:c r="V245" s="25" t="n">
        <x:v>96</x:v>
      </x:c>
      <x:c r="W245" s="20" t="inlineStr">
        <x:is>
          <x:t xml:space="preserve">C</x:t>
        </x:is>
      </x:c>
      <x:c r="X245" s="20" t="inlineStr">
        <x:is>
          <x:t xml:space="preserve">C</x:t>
        </x:is>
      </x:c>
      <x:c r="Y245" s="25" t="n">
        <x:v>64</x:v>
      </x:c>
      <x:c r="Z245" s="20" t="inlineStr">
        <x:is>
          <x:t xml:space="preserve">https://www.fldoe.org/file/18534/SchoolGrades25.xlsx</x:t>
        </x:is>
      </x:c>
    </x:row>
    <x:row r="246">
      <x:c r="A246" s="20" t="inlineStr">
        <x:is>
          <x:t xml:space="preserve">532003</x:t>
        </x:is>
      </x:c>
      <x:c r="B246" s="20" t="inlineStr">
        <x:is>
          <x:t xml:space="preserve">53</x:t>
        </x:is>
      </x:c>
      <x:c r="C246" s="20" t="inlineStr">
        <x:is>
          <x:t xml:space="preserve">POLK</x:t>
        </x:is>
      </x:c>
      <x:c r="D246" s="20" t="inlineStr">
        <x:is>
          <x:t xml:space="preserve">2003</x:t>
        </x:is>
      </x:c>
      <x:c r="E246" s="20" t="inlineStr">
        <x:is>
          <x:t xml:space="preserve">BELLA CITTA</x:t>
        </x:is>
      </x:c>
      <x:c r="F246" s="20" t="inlineStr">
        <x:is>
          <x:t xml:space="preserve">04</x:t>
        </x:is>
      </x:c>
      <x:c r="G246" s="20" t="inlineStr">
        <x:is>
          <x:t xml:space="preserve">Combination</x:t>
        </x:is>
      </x:c>
      <x:c r="H246" s="20" t="inlineStr">
        <x:is>
          <x:t xml:space="preserve">NO</x:t>
        </x:is>
      </x:c>
      <x:c r="I246" s="20" t="inlineStr">
        <x:is>
          <x:t xml:space="preserve">YES</x:t>
        </x:is>
      </x:c>
      <x:c r="J246" s="20" t="inlineStr">
        <x:is>
          <x:t xml:space="preserve">N</x:t>
        </x:is>
      </x:c>
      <x:c r="K246" s="25" t="n">
        <x:v>47</x:v>
      </x:c>
      <x:c r="L246" s="25" t="n">
        <x:v>56</x:v>
      </x:c>
      <x:c r="M246" s="25" t="n">
        <x:v>46</x:v>
      </x:c>
      <x:c r="N246" s="25" t="n">
        <x:v>48</x:v>
      </x:c>
      <x:c r="O246" s="25" t="n">
        <x:v>41</x:v>
      </x:c>
      <x:c r="P246" s="25" t="n">
        <x:v>64</x:v>
      </x:c>
      <x:c r="Q246" s="25" t="n"/>
      <x:c r="R246" s="25" t="n"/>
      <x:c r="S246" s="20" t="n">
        <x:v>538</x:v>
      </x:c>
      <x:c r="T246" s="20" t="n">
        <x:v>10</x:v>
      </x:c>
      <x:c r="U246" s="25" t="n">
        <x:v>54</x:v>
      </x:c>
      <x:c r="V246" s="25" t="n">
        <x:v>98</x:v>
      </x:c>
      <x:c r="W246" s="20" t="inlineStr">
        <x:is>
          <x:t xml:space="preserve">C</x:t>
        </x:is>
      </x:c>
      <x:c r="X246" s="20" t="inlineStr">
        <x:is>
          <x:t xml:space="preserve">C</x:t>
        </x:is>
      </x:c>
      <x:c r="Y246" s="25" t="n">
        <x:v>76.2</x:v>
      </x:c>
      <x:c r="Z246" s="20" t="inlineStr">
        <x:is>
          <x:t xml:space="preserve">https://www.fldoe.org/file/18534/SchoolGrades25.xlsx</x:t>
        </x:is>
      </x:c>
    </x:row>
    <x:row r="247">
      <x:c r="A247" s="20" t="inlineStr">
        <x:is>
          <x:t xml:space="preserve">537001</x:t>
        </x:is>
      </x:c>
      <x:c r="B247" s="20" t="inlineStr">
        <x:is>
          <x:t xml:space="preserve">53</x:t>
        </x:is>
      </x:c>
      <x:c r="C247" s="20" t="inlineStr">
        <x:is>
          <x:t xml:space="preserve">POLK</x:t>
        </x:is>
      </x:c>
      <x:c r="D247" s="20" t="inlineStr">
        <x:is>
          <x:t xml:space="preserve">7001</x:t>
        </x:is>
      </x:c>
      <x:c r="E247" s="20" t="inlineStr">
        <x:is>
          <x:t xml:space="preserve">K12 FLORIDA, LLC – GRADES KG-12</x:t>
        </x:is>
      </x:c>
      <x:c r="F247" s="20" t="inlineStr">
        <x:is>
          <x:t xml:space="preserve">04</x:t>
        </x:is>
      </x:c>
      <x:c r="G247" s="20" t="inlineStr">
        <x:is>
          <x:t xml:space="preserve">Combination</x:t>
        </x:is>
      </x:c>
      <x:c r="H247" s="20" t="inlineStr">
        <x:is>
          <x:t xml:space="preserve">NO</x:t>
        </x:is>
      </x:c>
      <x:c r="I247" s="20" t="inlineStr">
        <x:is>
          <x:t xml:space="preserve">NO</x:t>
        </x:is>
      </x:c>
      <x:c r="J247" s="20" t="inlineStr">
        <x:is>
          <x:t xml:space="preserve">N</x:t>
        </x:is>
      </x:c>
      <x:c r="K247" s="25" t="n">
        <x:v>45</x:v>
      </x:c>
      <x:c r="L247" s="25" t="n">
        <x:v>55</x:v>
      </x:c>
      <x:c r="M247" s="25" t="n">
        <x:v>30</x:v>
      </x:c>
      <x:c r="N247" s="25" t="n"/>
      <x:c r="O247" s="25" t="n"/>
      <x:c r="P247" s="25" t="n"/>
      <x:c r="Q247" s="25" t="n"/>
      <x:c r="R247" s="25" t="n"/>
      <x:c r="S247" s="20" t="n">
        <x:v>130</x:v>
      </x:c>
      <x:c r="T247" s="20" t="n">
        <x:v>3</x:v>
      </x:c>
      <x:c r="U247" s="25" t="n">
        <x:v>43</x:v>
      </x:c>
      <x:c r="V247" s="25" t="n">
        <x:v>91</x:v>
      </x:c>
      <x:c r="W247" s="20" t="inlineStr">
        <x:is>
          <x:t xml:space="preserve">D</x:t>
        </x:is>
      </x:c>
      <x:c r="X247" s="20" t="inlineStr">
        <x:is>
          <x:t xml:space="preserve">D</x:t>
        </x:is>
      </x:c>
      <x:c r="Y247" s="25" t="n"/>
      <x:c r="Z247" s="20" t="inlineStr">
        <x:is>
          <x:t xml:space="preserve">https://www.fldoe.org/file/18534/SchoolGrades25.xlsx</x:t>
        </x:is>
      </x:c>
    </x:row>
    <x:row r="248">
      <x:c r="A248" s="20" t="inlineStr">
        <x:is>
          <x:t xml:space="preserve">537023</x:t>
        </x:is>
      </x:c>
      <x:c r="B248" s="20" t="inlineStr">
        <x:is>
          <x:t xml:space="preserve">53</x:t>
        </x:is>
      </x:c>
      <x:c r="C248" s="20" t="inlineStr">
        <x:is>
          <x:t xml:space="preserve">POLK</x:t>
        </x:is>
      </x:c>
      <x:c r="D248" s="20" t="inlineStr">
        <x:is>
          <x:t xml:space="preserve">7023</x:t>
        </x:is>
      </x:c>
      <x:c r="E248" s="20" t="inlineStr">
        <x:is>
          <x:t xml:space="preserve">POLK FULL TIME ESCHOOL</x:t>
        </x:is>
      </x:c>
      <x:c r="F248" s="20" t="inlineStr">
        <x:is>
          <x:t xml:space="preserve">04</x:t>
        </x:is>
      </x:c>
      <x:c r="G248" s="20" t="inlineStr">
        <x:is>
          <x:t xml:space="preserve">Combination</x:t>
        </x:is>
      </x:c>
      <x:c r="H248" s="20" t="inlineStr">
        <x:is>
          <x:t xml:space="preserve">NO</x:t>
        </x:is>
      </x:c>
      <x:c r="I248" s="20" t="inlineStr">
        <x:is>
          <x:t xml:space="preserve">NO</x:t>
        </x:is>
      </x:c>
      <x:c r="J248" s="20" t="inlineStr">
        <x:is>
          <x:t xml:space="preserve">N</x:t>
        </x:is>
      </x:c>
      <x:c r="K248" s="25" t="n">
        <x:v>52</x:v>
      </x:c>
      <x:c r="L248" s="25" t="n">
        <x:v>46</x:v>
      </x:c>
      <x:c r="M248" s="25" t="n">
        <x:v>29</x:v>
      </x:c>
      <x:c r="N248" s="25" t="n">
        <x:v>39</x:v>
      </x:c>
      <x:c r="O248" s="25" t="n">
        <x:v>48</x:v>
      </x:c>
      <x:c r="P248" s="25" t="n">
        <x:v>74</x:v>
      </x:c>
      <x:c r="Q248" s="25" t="n">
        <x:v>75</x:v>
      </x:c>
      <x:c r="R248" s="25" t="n">
        <x:v>43</x:v>
      </x:c>
      <x:c r="S248" s="20" t="n">
        <x:v>584</x:v>
      </x:c>
      <x:c r="T248" s="20" t="n">
        <x:v>12</x:v>
      </x:c>
      <x:c r="U248" s="25" t="n">
        <x:v>49</x:v>
      </x:c>
      <x:c r="V248" s="25" t="n">
        <x:v>94</x:v>
      </x:c>
      <x:c r="W248" s="20" t="inlineStr">
        <x:is>
          <x:t xml:space="preserve">C</x:t>
        </x:is>
      </x:c>
      <x:c r="X248" s="20" t="inlineStr">
        <x:is>
          <x:t xml:space="preserve">C</x:t>
        </x:is>
      </x:c>
      <x:c r="Y248" s="25" t="n">
        <x:v>8.199999999999999</x:v>
      </x:c>
      <x:c r="Z248" s="20" t="inlineStr">
        <x:is>
          <x:t xml:space="preserve">https://www.fldoe.org/file/18534/SchoolGrades25.xlsx</x:t>
        </x:is>
      </x:c>
    </x:row>
    <x:row r="249">
      <x:c r="A249" s="20" t="inlineStr">
        <x:is>
          <x:t xml:space="preserve">538003</x:t>
        </x:is>
      </x:c>
      <x:c r="B249" s="20" t="inlineStr">
        <x:is>
          <x:t xml:space="preserve">53</x:t>
        </x:is>
      </x:c>
      <x:c r="C249" s="20" t="inlineStr">
        <x:is>
          <x:t xml:space="preserve">POLK</x:t>
        </x:is>
      </x:c>
      <x:c r="D249" s="20" t="inlineStr">
        <x:is>
          <x:t xml:space="preserve">8003</x:t>
        </x:is>
      </x:c>
      <x:c r="E249" s="20" t="inlineStr">
        <x:is>
          <x:t xml:space="preserve">POLK STATE LAKELAND GATEWAY TO COLLEGE COLLEGIATE HIGH SCHOOL</x:t>
        </x:is>
      </x:c>
      <x:c r="F249" s="20" t="inlineStr">
        <x:is>
          <x:t xml:space="preserve">03</x:t>
        </x:is>
      </x:c>
      <x:c r="G249" s="20" t="inlineStr">
        <x:is>
          <x:t xml:space="preserve">Senior High</x:t>
        </x:is>
      </x:c>
      <x:c r="H249" s="20" t="inlineStr">
        <x:is>
          <x:t xml:space="preserve">YES</x:t>
        </x:is>
      </x:c>
      <x:c r="I249" s="20" t="inlineStr">
        <x:is>
          <x:t xml:space="preserve">NO</x:t>
        </x:is>
      </x:c>
      <x:c r="J249" s="20" t="inlineStr">
        <x:is>
          <x:t xml:space="preserve">N</x:t>
        </x:is>
      </x:c>
      <x:c r="K249" s="25" t="n"/>
      <x:c r="L249" s="25" t="n"/>
      <x:c r="M249" s="25" t="n">
        <x:v>29</x:v>
      </x:c>
      <x:c r="N249" s="25" t="n">
        <x:v>47</x:v>
      </x:c>
      <x:c r="O249" s="25" t="n">
        <x:v>75</x:v>
      </x:c>
      <x:c r="P249" s="25" t="n">
        <x:v>72</x:v>
      </x:c>
      <x:c r="Q249" s="25" t="n">
        <x:v>96</x:v>
      </x:c>
      <x:c r="R249" s="25" t="n">
        <x:v>96</x:v>
      </x:c>
      <x:c r="S249" s="20" t="n">
        <x:v>415</x:v>
      </x:c>
      <x:c r="T249" s="20" t="n">
        <x:v>6</x:v>
      </x:c>
      <x:c r="U249" s="25" t="n">
        <x:v>69</x:v>
      </x:c>
      <x:c r="V249" s="25" t="n">
        <x:v>97</x:v>
      </x:c>
      <x:c r="W249" s="20" t="inlineStr">
        <x:is>
          <x:t xml:space="preserve">A</x:t>
        </x:is>
      </x:c>
      <x:c r="X249" s="20" t="inlineStr">
        <x:is>
          <x:t xml:space="preserve">B</x:t>
        </x:is>
      </x:c>
      <x:c r="Y249" s="25" t="n">
        <x:v>50.2</x:v>
      </x:c>
      <x:c r="Z249" s="20" t="inlineStr">
        <x:is>
          <x:t xml:space="preserve">https://www.fldoe.org/file/18534/SchoolGrades25.xlsx</x:t>
        </x:is>
      </x:c>
    </x:row>
    <x:row r="250">
      <x:c r="A250" s="20" t="inlineStr">
        <x:is>
          <x:t xml:space="preserve">538005</x:t>
        </x:is>
      </x:c>
      <x:c r="B250" s="20" t="inlineStr">
        <x:is>
          <x:t xml:space="preserve">53</x:t>
        </x:is>
      </x:c>
      <x:c r="C250" s="20" t="inlineStr">
        <x:is>
          <x:t xml:space="preserve">POLK</x:t>
        </x:is>
      </x:c>
      <x:c r="D250" s="20" t="inlineStr">
        <x:is>
          <x:t xml:space="preserve">8005</x:t>
        </x:is>
      </x:c>
      <x:c r="E250" s="20" t="inlineStr">
        <x:is>
          <x:t xml:space="preserve">MAGNOLIA MONTESSORI ACADEMY</x:t>
        </x:is>
      </x:c>
      <x:c r="F250" s="20" t="inlineStr">
        <x:is>
          <x:t xml:space="preserve">04</x:t>
        </x:is>
      </x:c>
      <x:c r="G250" s="20" t="inlineStr">
        <x:is>
          <x:t xml:space="preserve">Combination</x:t>
        </x:is>
      </x:c>
      <x:c r="H250" s="20" t="inlineStr">
        <x:is>
          <x:t xml:space="preserve">YES</x:t>
        </x:is>
      </x:c>
      <x:c r="I250" s="20" t="inlineStr">
        <x:is>
          <x:t xml:space="preserve">NO</x:t>
        </x:is>
      </x:c>
      <x:c r="J250" s="20" t="inlineStr">
        <x:is>
          <x:t xml:space="preserve">N</x:t>
        </x:is>
      </x:c>
      <x:c r="K250" s="25" t="n">
        <x:v>85</x:v>
      </x:c>
      <x:c r="L250" s="25" t="n">
        <x:v>70</x:v>
      </x:c>
      <x:c r="M250" s="25" t="n">
        <x:v>90</x:v>
      </x:c>
      <x:c r="N250" s="25" t="n">
        <x:v>65</x:v>
      </x:c>
      <x:c r="O250" s="25" t="n">
        <x:v>81</x:v>
      </x:c>
      <x:c r="P250" s="25" t="n">
        <x:v>94</x:v>
      </x:c>
      <x:c r="Q250" s="25" t="n"/>
      <x:c r="R250" s="25" t="n"/>
      <x:c r="S250" s="20" t="n">
        <x:v>737</x:v>
      </x:c>
      <x:c r="T250" s="20" t="n">
        <x:v>10</x:v>
      </x:c>
      <x:c r="U250" s="25" t="n">
        <x:v>74</x:v>
      </x:c>
      <x:c r="V250" s="25" t="n">
        <x:v>100</x:v>
      </x:c>
      <x:c r="W250" s="20" t="inlineStr">
        <x:is>
          <x:t xml:space="preserve">A</x:t>
        </x:is>
      </x:c>
      <x:c r="X250" s="20" t="inlineStr">
        <x:is>
          <x:t xml:space="preserve">A</x:t>
        </x:is>
      </x:c>
      <x:c r="Y250" s="25" t="n">
        <x:v>11.2</x:v>
      </x:c>
      <x:c r="Z250" s="20" t="inlineStr">
        <x:is>
          <x:t xml:space="preserve">https://www.fldoe.org/file/18534/SchoolGrades25.xlsx</x:t>
        </x:is>
      </x:c>
    </x:row>
    <x:row r="251">
      <x:c r="A251" s="20" t="inlineStr">
        <x:is>
          <x:t xml:space="preserve">538007</x:t>
        </x:is>
      </x:c>
      <x:c r="B251" s="20" t="inlineStr">
        <x:is>
          <x:t xml:space="preserve">53</x:t>
        </x:is>
      </x:c>
      <x:c r="C251" s="20" t="inlineStr">
        <x:is>
          <x:t xml:space="preserve">POLK</x:t>
        </x:is>
      </x:c>
      <x:c r="D251" s="20" t="inlineStr">
        <x:is>
          <x:t xml:space="preserve">8007</x:t>
        </x:is>
      </x:c>
      <x:c r="E251" s="20" t="inlineStr">
        <x:is>
          <x:t xml:space="preserve">NAVIGATOR ACADEMY OF LEADERSHIP DAVENPORT</x:t>
        </x:is>
      </x:c>
      <x:c r="F251" s="20" t="inlineStr">
        <x:is>
          <x:t xml:space="preserve">04</x:t>
        </x:is>
      </x:c>
      <x:c r="G251" s="20" t="inlineStr">
        <x:is>
          <x:t xml:space="preserve">Combination</x:t>
        </x:is>
      </x:c>
      <x:c r="H251" s="20" t="inlineStr">
        <x:is>
          <x:t xml:space="preserve">YES</x:t>
        </x:is>
      </x:c>
      <x:c r="I251" s="20" t="inlineStr">
        <x:is>
          <x:t xml:space="preserve">NO</x:t>
        </x:is>
      </x:c>
      <x:c r="J251" s="20" t="inlineStr">
        <x:is>
          <x:t xml:space="preserve">N</x:t>
        </x:is>
      </x:c>
      <x:c r="K251" s="25" t="n">
        <x:v>51</x:v>
      </x:c>
      <x:c r="L251" s="25" t="n">
        <x:v>61</x:v>
      </x:c>
      <x:c r="M251" s="25" t="n">
        <x:v>54</x:v>
      </x:c>
      <x:c r="N251" s="25" t="n">
        <x:v>70</x:v>
      </x:c>
      <x:c r="O251" s="25" t="n">
        <x:v>31</x:v>
      </x:c>
      <x:c r="P251" s="25" t="n">
        <x:v>67</x:v>
      </x:c>
      <x:c r="Q251" s="25" t="n"/>
      <x:c r="R251" s="25" t="n"/>
      <x:c r="S251" s="20" t="n">
        <x:v>578</x:v>
      </x:c>
      <x:c r="T251" s="20" t="n">
        <x:v>10</x:v>
      </x:c>
      <x:c r="U251" s="25" t="n">
        <x:v>58</x:v>
      </x:c>
      <x:c r="V251" s="25" t="n">
        <x:v>99</x:v>
      </x:c>
      <x:c r="W251" s="20" t="inlineStr">
        <x:is>
          <x:t xml:space="preserve">B</x:t>
        </x:is>
      </x:c>
      <x:c r="X251" s="20" t="inlineStr">
        <x:is>
          <x:t xml:space="preserve">C</x:t>
        </x:is>
      </x:c>
      <x:c r="Y251" s="25" t="n">
        <x:v>52.5</x:v>
      </x:c>
      <x:c r="Z251" s="20" t="inlineStr">
        <x:is>
          <x:t xml:space="preserve">https://www.fldoe.org/file/18534/SchoolGrades25.xlsx</x:t>
        </x:is>
      </x:c>
    </x:row>
    <x:row r="252">
      <x:c r="A252" s="20" t="inlineStr">
        <x:is>
          <x:t xml:space="preserve">538009</x:t>
        </x:is>
      </x:c>
      <x:c r="B252" s="20" t="inlineStr">
        <x:is>
          <x:t xml:space="preserve">53</x:t>
        </x:is>
      </x:c>
      <x:c r="C252" s="20" t="inlineStr">
        <x:is>
          <x:t xml:space="preserve">POLK</x:t>
        </x:is>
      </x:c>
      <x:c r="D252" s="20" t="inlineStr">
        <x:is>
          <x:t xml:space="preserve">8009</x:t>
        </x:is>
      </x:c>
      <x:c r="E252" s="20" t="inlineStr">
        <x:is>
          <x:t xml:space="preserve">BRIDGEPREP ACADEMY OF POLK</x:t>
        </x:is>
      </x:c>
      <x:c r="F252" s="20" t="inlineStr">
        <x:is>
          <x:t xml:space="preserve">04</x:t>
        </x:is>
      </x:c>
      <x:c r="G252" s="20" t="inlineStr">
        <x:is>
          <x:t xml:space="preserve">Combination</x:t>
        </x:is>
      </x:c>
      <x:c r="H252" s="20" t="inlineStr">
        <x:is>
          <x:t xml:space="preserve">YES</x:t>
        </x:is>
      </x:c>
      <x:c r="I252" s="20" t="inlineStr">
        <x:is>
          <x:t xml:space="preserve">YES</x:t>
        </x:is>
      </x:c>
      <x:c r="J252" s="20" t="inlineStr">
        <x:is>
          <x:t xml:space="preserve">N</x:t>
        </x:is>
      </x:c>
      <x:c r="K252" s="25" t="n">
        <x:v>54</x:v>
      </x:c>
      <x:c r="L252" s="25" t="n">
        <x:v>68</x:v>
      </x:c>
      <x:c r="M252" s="25" t="n">
        <x:v>42</x:v>
      </x:c>
      <x:c r="N252" s="25" t="n">
        <x:v>65</x:v>
      </x:c>
      <x:c r="O252" s="25" t="n">
        <x:v>40</x:v>
      </x:c>
      <x:c r="P252" s="25" t="n">
        <x:v>65</x:v>
      </x:c>
      <x:c r="Q252" s="25" t="n"/>
      <x:c r="R252" s="25" t="n"/>
      <x:c r="S252" s="20" t="n">
        <x:v>593</x:v>
      </x:c>
      <x:c r="T252" s="20" t="n">
        <x:v>10</x:v>
      </x:c>
      <x:c r="U252" s="25" t="n">
        <x:v>59</x:v>
      </x:c>
      <x:c r="V252" s="25" t="n">
        <x:v>99</x:v>
      </x:c>
      <x:c r="W252" s="20" t="inlineStr">
        <x:is>
          <x:t xml:space="preserve">B</x:t>
        </x:is>
      </x:c>
      <x:c r="X252" s="20" t="inlineStr">
        <x:is>
          <x:t xml:space="preserve">C</x:t>
        </x:is>
      </x:c>
      <x:c r="Y252" s="25" t="n">
        <x:v>100</x:v>
      </x:c>
      <x:c r="Z252" s="20" t="inlineStr">
        <x:is>
          <x:t xml:space="preserve">https://www.fldoe.org/file/18534/SchoolGrades25.xlsx</x:t>
        </x:is>
      </x:c>
    </x:row>
    <x:row r="253">
      <x:c r="A253" s="20" t="inlineStr">
        <x:is>
          <x:t xml:space="preserve">538010</x:t>
        </x:is>
      </x:c>
      <x:c r="B253" s="20" t="inlineStr">
        <x:is>
          <x:t xml:space="preserve">53</x:t>
        </x:is>
      </x:c>
      <x:c r="C253" s="20" t="inlineStr">
        <x:is>
          <x:t xml:space="preserve">POLK</x:t>
        </x:is>
      </x:c>
      <x:c r="D253" s="20" t="inlineStr">
        <x:is>
          <x:t xml:space="preserve">8010</x:t>
        </x:is>
      </x:c>
      <x:c r="E253" s="20" t="inlineStr">
        <x:is>
          <x:t xml:space="preserve">MATER ACADEMY DAVENPORT</x:t>
        </x:is>
      </x:c>
      <x:c r="F253" s="20" t="inlineStr">
        <x:is>
          <x:t xml:space="preserve">01</x:t>
        </x:is>
      </x:c>
      <x:c r="G253" s="20" t="inlineStr">
        <x:is>
          <x:t xml:space="preserve">Elementary</x:t>
        </x:is>
      </x:c>
      <x:c r="H253" s="20" t="inlineStr">
        <x:is>
          <x:t xml:space="preserve">YES</x:t>
        </x:is>
      </x:c>
      <x:c r="I253" s="20" t="inlineStr">
        <x:is>
          <x:t xml:space="preserve">YES</x:t>
        </x:is>
      </x:c>
      <x:c r="J253" s="20" t="inlineStr">
        <x:is>
          <x:t xml:space="preserve">N</x:t>
        </x:is>
      </x:c>
      <x:c r="K253" s="25" t="n">
        <x:v>52</x:v>
      </x:c>
      <x:c r="L253" s="25" t="n">
        <x:v>51</x:v>
      </x:c>
      <x:c r="M253" s="25" t="n">
        <x:v>60</x:v>
      </x:c>
      <x:c r="N253" s="25" t="n">
        <x:v>53</x:v>
      </x:c>
      <x:c r="O253" s="25" t="n">
        <x:v>61</x:v>
      </x:c>
      <x:c r="P253" s="25" t="n"/>
      <x:c r="Q253" s="25" t="n"/>
      <x:c r="R253" s="25" t="n"/>
      <x:c r="S253" s="20" t="n">
        <x:v>442</x:v>
      </x:c>
      <x:c r="T253" s="20" t="n">
        <x:v>8</x:v>
      </x:c>
      <x:c r="U253" s="25" t="n">
        <x:v>55</x:v>
      </x:c>
      <x:c r="V253" s="25" t="n">
        <x:v>100</x:v>
      </x:c>
      <x:c r="W253" s="20" t="inlineStr">
        <x:is>
          <x:t xml:space="preserve">B</x:t>
        </x:is>
      </x:c>
      <x:c r="X253" s="20" t="inlineStr">
        <x:is>
          <x:t xml:space="preserve">B</x:t>
        </x:is>
      </x:c>
      <x:c r="Y253" s="25" t="n">
        <x:v>80.59999999999999</x:v>
      </x:c>
      <x:c r="Z253" s="20" t="inlineStr">
        <x:is>
          <x:t xml:space="preserve">https://www.fldoe.org/file/18534/SchoolGrades25.xlsx</x:t>
        </x:is>
      </x:c>
    </x:row>
    <x:row r="254">
      <x:c r="A254" s="20" t="inlineStr">
        <x:is>
          <x:t xml:space="preserve">538020</x:t>
        </x:is>
      </x:c>
      <x:c r="B254" s="20" t="inlineStr">
        <x:is>
          <x:t xml:space="preserve">53</x:t>
        </x:is>
      </x:c>
      <x:c r="C254" s="20" t="inlineStr">
        <x:is>
          <x:t xml:space="preserve">POLK</x:t>
        </x:is>
      </x:c>
      <x:c r="D254" s="20" t="inlineStr">
        <x:is>
          <x:t xml:space="preserve">8020</x:t>
        </x:is>
      </x:c>
      <x:c r="E254" s="20" t="inlineStr">
        <x:is>
          <x:t xml:space="preserve">MATER ACADEMY DAVENPORT MIDDLE SCHOOL</x:t>
        </x:is>
      </x:c>
      <x:c r="F254" s="20" t="inlineStr">
        <x:is>
          <x:t xml:space="preserve">02</x:t>
        </x:is>
      </x:c>
      <x:c r="G254" s="20" t="inlineStr">
        <x:is>
          <x:t xml:space="preserve">Middle/Junior</x:t>
        </x:is>
      </x:c>
      <x:c r="H254" s="20" t="inlineStr">
        <x:is>
          <x:t xml:space="preserve">YES</x:t>
        </x:is>
      </x:c>
      <x:c r="I254" s="20" t="inlineStr">
        <x:is>
          <x:t xml:space="preserve">YES</x:t>
        </x:is>
      </x:c>
      <x:c r="J254" s="20" t="inlineStr">
        <x:is>
          <x:t xml:space="preserve">N</x:t>
        </x:is>
      </x:c>
      <x:c r="K254" s="25" t="n">
        <x:v>65</x:v>
      </x:c>
      <x:c r="L254" s="25" t="n">
        <x:v>62</x:v>
      </x:c>
      <x:c r="M254" s="25" t="n">
        <x:v>54</x:v>
      </x:c>
      <x:c r="N254" s="25" t="n">
        <x:v>58</x:v>
      </x:c>
      <x:c r="O254" s="25" t="n"/>
      <x:c r="P254" s="25" t="n">
        <x:v>67</x:v>
      </x:c>
      <x:c r="Q254" s="25" t="n"/>
      <x:c r="R254" s="25" t="n"/>
      <x:c r="S254" s="20" t="n">
        <x:v>421</x:v>
      </x:c>
      <x:c r="T254" s="20" t="n">
        <x:v>7</x:v>
      </x:c>
      <x:c r="U254" s="25" t="n">
        <x:v>60</x:v>
      </x:c>
      <x:c r="V254" s="25" t="n">
        <x:v>100</x:v>
      </x:c>
      <x:c r="W254" s="20" t="inlineStr">
        <x:is>
          <x:t xml:space="preserve">B</x:t>
        </x:is>
      </x:c>
      <x:c r="X254" s="20" t="inlineStr">
        <x:is>
          <x:t xml:space="preserve">B</x:t>
        </x:is>
      </x:c>
      <x:c r="Y254" s="25" t="n">
        <x:v>81.09999999999999</x:v>
      </x:c>
      <x:c r="Z254" s="20" t="inlineStr">
        <x:is>
          <x:t xml:space="preserve">https://www.fldoe.org/file/18534/SchoolGrades25.xlsx</x:t>
        </x:is>
      </x:c>
    </x:row>
    <x:row r="255">
      <x:c r="A255" s="20" t="inlineStr">
        <x:is>
          <x:t xml:space="preserve">538121</x:t>
        </x:is>
      </x:c>
      <x:c r="B255" s="20" t="inlineStr">
        <x:is>
          <x:t xml:space="preserve">53</x:t>
        </x:is>
      </x:c>
      <x:c r="C255" s="20" t="inlineStr">
        <x:is>
          <x:t xml:space="preserve">POLK</x:t>
        </x:is>
      </x:c>
      <x:c r="D255" s="20" t="inlineStr">
        <x:is>
          <x:t xml:space="preserve">8121</x:t>
        </x:is>
      </x:c>
      <x:c r="E255" s="20" t="inlineStr">
        <x:is>
          <x:t xml:space="preserve">HARTRIDGE ACADEMY</x:t>
        </x:is>
      </x:c>
      <x:c r="F255" s="20" t="inlineStr">
        <x:is>
          <x:t xml:space="preserve">01</x:t>
        </x:is>
      </x:c>
      <x:c r="G255" s="20" t="inlineStr">
        <x:is>
          <x:t xml:space="preserve">Elementary</x:t>
        </x:is>
      </x:c>
      <x:c r="H255" s="20" t="inlineStr">
        <x:is>
          <x:t xml:space="preserve">YES</x:t>
        </x:is>
      </x:c>
      <x:c r="I255" s="20" t="inlineStr">
        <x:is>
          <x:t xml:space="preserve">YES</x:t>
        </x:is>
      </x:c>
      <x:c r="J255" s="20" t="inlineStr">
        <x:is>
          <x:t xml:space="preserve">N</x:t>
        </x:is>
      </x:c>
      <x:c r="K255" s="25" t="n">
        <x:v>70</x:v>
      </x:c>
      <x:c r="L255" s="25" t="n">
        <x:v>60</x:v>
      </x:c>
      <x:c r="M255" s="25" t="n">
        <x:v>82</x:v>
      </x:c>
      <x:c r="N255" s="25" t="n">
        <x:v>61</x:v>
      </x:c>
      <x:c r="O255" s="25" t="n">
        <x:v>63</x:v>
      </x:c>
      <x:c r="P255" s="25" t="n"/>
      <x:c r="Q255" s="25" t="n"/>
      <x:c r="R255" s="25" t="n"/>
      <x:c r="S255" s="20" t="n">
        <x:v>467</x:v>
      </x:c>
      <x:c r="T255" s="20" t="n">
        <x:v>7</x:v>
      </x:c>
      <x:c r="U255" s="25" t="n">
        <x:v>67</x:v>
      </x:c>
      <x:c r="V255" s="25" t="n">
        <x:v>94</x:v>
      </x:c>
      <x:c r="W255" s="20" t="inlineStr">
        <x:is>
          <x:t xml:space="preserve">A</x:t>
        </x:is>
      </x:c>
      <x:c r="X255" s="20" t="inlineStr">
        <x:is>
          <x:t xml:space="preserve">B</x:t>
        </x:is>
      </x:c>
      <x:c r="Y255" s="25" t="n">
        <x:v>74.40000000000001</x:v>
      </x:c>
      <x:c r="Z255" s="20" t="inlineStr">
        <x:is>
          <x:t xml:space="preserve">https://www.fldoe.org/file/18534/SchoolGrades25.xlsx</x:t>
        </x:is>
      </x:c>
    </x:row>
    <x:row r="256">
      <x:c r="A256" s="20" t="inlineStr">
        <x:is>
          <x:t xml:space="preserve">538131</x:t>
        </x:is>
      </x:c>
      <x:c r="B256" s="20" t="inlineStr">
        <x:is>
          <x:t xml:space="preserve">53</x:t>
        </x:is>
      </x:c>
      <x:c r="C256" s="20" t="inlineStr">
        <x:is>
          <x:t xml:space="preserve">POLK</x:t>
        </x:is>
      </x:c>
      <x:c r="D256" s="20" t="inlineStr">
        <x:is>
          <x:t xml:space="preserve">8131</x:t>
        </x:is>
      </x:c>
      <x:c r="E256" s="20" t="inlineStr">
        <x:is>
          <x:t xml:space="preserve">POLK STATE COLLEGE COLLEGIATE HIGH SCHOOL</x:t>
        </x:is>
      </x:c>
      <x:c r="F256" s="20" t="inlineStr">
        <x:is>
          <x:t xml:space="preserve">03</x:t>
        </x:is>
      </x:c>
      <x:c r="G256" s="20" t="inlineStr">
        <x:is>
          <x:t xml:space="preserve">Senior High</x:t>
        </x:is>
      </x:c>
      <x:c r="H256" s="20" t="inlineStr">
        <x:is>
          <x:t xml:space="preserve">YES</x:t>
        </x:is>
      </x:c>
      <x:c r="I256" s="20" t="inlineStr">
        <x:is>
          <x:t xml:space="preserve">NO</x:t>
        </x:is>
      </x:c>
      <x:c r="J256" s="20" t="inlineStr">
        <x:is>
          <x:t xml:space="preserve">N</x:t>
        </x:is>
      </x:c>
      <x:c r="K256" s="25" t="n">
        <x:v>100</x:v>
      </x:c>
      <x:c r="L256" s="25" t="n">
        <x:v>93</x:v>
      </x:c>
      <x:c r="M256" s="25" t="n">
        <x:v>100</x:v>
      </x:c>
      <x:c r="N256" s="25" t="n">
        <x:v>92</x:v>
      </x:c>
      <x:c r="O256" s="25" t="n"/>
      <x:c r="P256" s="25" t="n">
        <x:v>100</x:v>
      </x:c>
      <x:c r="Q256" s="25" t="n">
        <x:v>100</x:v>
      </x:c>
      <x:c r="R256" s="25" t="n">
        <x:v>100</x:v>
      </x:c>
      <x:c r="S256" s="20" t="n">
        <x:v>785</x:v>
      </x:c>
      <x:c r="T256" s="20" t="n">
        <x:v>8</x:v>
      </x:c>
      <x:c r="U256" s="25" t="n">
        <x:v>98</x:v>
      </x:c>
      <x:c r="V256" s="25" t="n">
        <x:v>100</x:v>
      </x:c>
      <x:c r="W256" s="20" t="inlineStr">
        <x:is>
          <x:t xml:space="preserve">A</x:t>
        </x:is>
      </x:c>
      <x:c r="X256" s="20" t="inlineStr">
        <x:is>
          <x:t xml:space="preserve">A</x:t>
        </x:is>
      </x:c>
      <x:c r="Y256" s="25" t="n">
        <x:v>12.4</x:v>
      </x:c>
      <x:c r="Z256" s="20" t="inlineStr">
        <x:is>
          <x:t xml:space="preserve">https://www.fldoe.org/file/18534/SchoolGrades25.xlsx</x:t>
        </x:is>
      </x:c>
    </x:row>
    <x:row r="257">
      <x:c r="A257" s="20" t="inlineStr">
        <x:is>
          <x:t xml:space="preserve">538133</x:t>
        </x:is>
      </x:c>
      <x:c r="B257" s="20" t="inlineStr">
        <x:is>
          <x:t xml:space="preserve">53</x:t>
        </x:is>
      </x:c>
      <x:c r="C257" s="20" t="inlineStr">
        <x:is>
          <x:t xml:space="preserve">POLK</x:t>
        </x:is>
      </x:c>
      <x:c r="D257" s="20" t="inlineStr">
        <x:is>
          <x:t xml:space="preserve">8133</x:t>
        </x:is>
      </x:c>
      <x:c r="E257" s="20" t="inlineStr">
        <x:is>
          <x:t xml:space="preserve">CHAIN OF LAKES COLLEGIATE HIGH</x:t>
        </x:is>
      </x:c>
      <x:c r="F257" s="20" t="inlineStr">
        <x:is>
          <x:t xml:space="preserve">03</x:t>
        </x:is>
      </x:c>
      <x:c r="G257" s="20" t="inlineStr">
        <x:is>
          <x:t xml:space="preserve">Senior High</x:t>
        </x:is>
      </x:c>
      <x:c r="H257" s="20" t="inlineStr">
        <x:is>
          <x:t xml:space="preserve">YES</x:t>
        </x:is>
      </x:c>
      <x:c r="I257" s="20" t="inlineStr">
        <x:is>
          <x:t xml:space="preserve">NO</x:t>
        </x:is>
      </x:c>
      <x:c r="J257" s="20" t="inlineStr">
        <x:is>
          <x:t xml:space="preserve">N</x:t>
        </x:is>
      </x:c>
      <x:c r="K257" s="25" t="n">
        <x:v>95</x:v>
      </x:c>
      <x:c r="L257" s="25" t="n">
        <x:v>85</x:v>
      </x:c>
      <x:c r="M257" s="25" t="n">
        <x:v>68</x:v>
      </x:c>
      <x:c r="N257" s="25" t="n">
        <x:v>61</x:v>
      </x:c>
      <x:c r="O257" s="25" t="n">
        <x:v>100</x:v>
      </x:c>
      <x:c r="P257" s="25" t="n">
        <x:v>85</x:v>
      </x:c>
      <x:c r="Q257" s="25" t="n">
        <x:v>100</x:v>
      </x:c>
      <x:c r="R257" s="25" t="n">
        <x:v>100</x:v>
      </x:c>
      <x:c r="S257" s="20" t="n">
        <x:v>786</x:v>
      </x:c>
      <x:c r="T257" s="20" t="n">
        <x:v>9</x:v>
      </x:c>
      <x:c r="U257" s="25" t="n">
        <x:v>87</x:v>
      </x:c>
      <x:c r="V257" s="25" t="n">
        <x:v>99</x:v>
      </x:c>
      <x:c r="W257" s="20" t="inlineStr">
        <x:is>
          <x:t xml:space="preserve">A</x:t>
        </x:is>
      </x:c>
      <x:c r="X257" s="20" t="inlineStr">
        <x:is>
          <x:t xml:space="preserve">A</x:t>
        </x:is>
      </x:c>
      <x:c r="Y257" s="25" t="n">
        <x:v>41.1</x:v>
      </x:c>
      <x:c r="Z257" s="20" t="inlineStr">
        <x:is>
          <x:t xml:space="preserve">https://www.fldoe.org/file/18534/SchoolGrades25.xlsx</x:t>
        </x:is>
      </x:c>
    </x:row>
    <x:row r="258">
      <x:c r="A258" s="20" t="inlineStr">
        <x:is>
          <x:t xml:space="preserve">538141</x:t>
        </x:is>
      </x:c>
      <x:c r="B258" s="20" t="inlineStr">
        <x:is>
          <x:t xml:space="preserve">53</x:t>
        </x:is>
      </x:c>
      <x:c r="C258" s="20" t="inlineStr">
        <x:is>
          <x:t xml:space="preserve">POLK</x:t>
        </x:is>
      </x:c>
      <x:c r="D258" s="20" t="inlineStr">
        <x:is>
          <x:t xml:space="preserve">8141</x:t>
        </x:is>
      </x:c>
      <x:c r="E258" s="20" t="inlineStr">
        <x:is>
          <x:t xml:space="preserve">LAKELAND MONTESSORI SCHOOL HOUSE</x:t>
        </x:is>
      </x:c>
      <x:c r="F258" s="20" t="inlineStr">
        <x:is>
          <x:t xml:space="preserve">04</x:t>
        </x:is>
      </x:c>
      <x:c r="G258" s="20" t="inlineStr">
        <x:is>
          <x:t xml:space="preserve">Combination</x:t>
        </x:is>
      </x:c>
      <x:c r="H258" s="20" t="inlineStr">
        <x:is>
          <x:t xml:space="preserve">YES</x:t>
        </x:is>
      </x:c>
      <x:c r="I258" s="20" t="inlineStr">
        <x:is>
          <x:t xml:space="preserve">NO</x:t>
        </x:is>
      </x:c>
      <x:c r="J258" s="20" t="inlineStr">
        <x:is>
          <x:t xml:space="preserve">N</x:t>
        </x:is>
      </x:c>
      <x:c r="K258" s="25" t="n">
        <x:v>88</x:v>
      </x:c>
      <x:c r="L258" s="25" t="n">
        <x:v>68</x:v>
      </x:c>
      <x:c r="M258" s="25" t="n">
        <x:v>89</x:v>
      </x:c>
      <x:c r="N258" s="25" t="n">
        <x:v>76</x:v>
      </x:c>
      <x:c r="O258" s="25" t="n">
        <x:v>52</x:v>
      </x:c>
      <x:c r="P258" s="25" t="n">
        <x:v>82</x:v>
      </x:c>
      <x:c r="Q258" s="25" t="n"/>
      <x:c r="R258" s="25" t="n"/>
      <x:c r="S258" s="20" t="n">
        <x:v>767</x:v>
      </x:c>
      <x:c r="T258" s="20" t="n">
        <x:v>10</x:v>
      </x:c>
      <x:c r="U258" s="25" t="n">
        <x:v>77</x:v>
      </x:c>
      <x:c r="V258" s="25" t="n">
        <x:v>100</x:v>
      </x:c>
      <x:c r="W258" s="20" t="inlineStr">
        <x:is>
          <x:t xml:space="preserve">A</x:t>
        </x:is>
      </x:c>
      <x:c r="X258" s="20" t="inlineStr">
        <x:is>
          <x:t xml:space="preserve">A</x:t>
        </x:is>
      </x:c>
      <x:c r="Y258" s="25" t="n">
        <x:v>6.6</x:v>
      </x:c>
      <x:c r="Z258" s="20" t="inlineStr">
        <x:is>
          <x:t xml:space="preserve">https://www.fldoe.org/file/18534/SchoolGrades25.xlsx</x:t>
        </x:is>
      </x:c>
    </x:row>
    <x:row r="259">
      <x:c r="A259" s="20" t="inlineStr">
        <x:is>
          <x:t xml:space="preserve">538142</x:t>
        </x:is>
      </x:c>
      <x:c r="B259" s="20" t="inlineStr">
        <x:is>
          <x:t xml:space="preserve">53</x:t>
        </x:is>
      </x:c>
      <x:c r="C259" s="20" t="inlineStr">
        <x:is>
          <x:t xml:space="preserve">POLK</x:t>
        </x:is>
      </x:c>
      <x:c r="D259" s="20" t="inlineStr">
        <x:is>
          <x:t xml:space="preserve">8142</x:t>
        </x:is>
      </x:c>
      <x:c r="E259" s="20" t="inlineStr">
        <x:is>
          <x:t xml:space="preserve">BERKLEY ACCELERATED</x:t>
        </x:is>
      </x:c>
      <x:c r="F259" s="20" t="inlineStr">
        <x:is>
          <x:t xml:space="preserve">04</x:t>
        </x:is>
      </x:c>
      <x:c r="G259" s="20" t="inlineStr">
        <x:is>
          <x:t xml:space="preserve">Combination</x:t>
        </x:is>
      </x:c>
      <x:c r="H259" s="20" t="inlineStr">
        <x:is>
          <x:t xml:space="preserve">YES</x:t>
        </x:is>
      </x:c>
      <x:c r="I259" s="20" t="inlineStr">
        <x:is>
          <x:t xml:space="preserve">NO</x:t>
        </x:is>
      </x:c>
      <x:c r="J259" s="20" t="inlineStr">
        <x:is>
          <x:t xml:space="preserve">N</x:t>
        </x:is>
      </x:c>
      <x:c r="K259" s="25" t="n">
        <x:v>74</x:v>
      </x:c>
      <x:c r="L259" s="25" t="n">
        <x:v>66</x:v>
      </x:c>
      <x:c r="M259" s="25" t="n">
        <x:v>73</x:v>
      </x:c>
      <x:c r="N259" s="25" t="n">
        <x:v>54</x:v>
      </x:c>
      <x:c r="O259" s="25" t="n">
        <x:v>66</x:v>
      </x:c>
      <x:c r="P259" s="25" t="n">
        <x:v>85</x:v>
      </x:c>
      <x:c r="Q259" s="25" t="n"/>
      <x:c r="R259" s="25" t="n"/>
      <x:c r="S259" s="20" t="n">
        <x:v>609</x:v>
      </x:c>
      <x:c r="T259" s="20" t="n">
        <x:v>9</x:v>
      </x:c>
      <x:c r="U259" s="25" t="n">
        <x:v>68</x:v>
      </x:c>
      <x:c r="V259" s="25" t="n">
        <x:v>100</x:v>
      </x:c>
      <x:c r="W259" s="20" t="inlineStr">
        <x:is>
          <x:t xml:space="preserve">A</x:t>
        </x:is>
      </x:c>
      <x:c r="X259" s="20" t="inlineStr">
        <x:is>
          <x:t xml:space="preserve">A</x:t>
        </x:is>
      </x:c>
      <x:c r="Y259" s="25" t="n">
        <x:v>36.4</x:v>
      </x:c>
      <x:c r="Z259" s="20" t="inlineStr">
        <x:is>
          <x:t xml:space="preserve">https://www.fldoe.org/file/18534/SchoolGrades25.xlsx</x:t>
        </x:is>
      </x:c>
    </x:row>
    <x:row r="260">
      <x:c r="A260" s="20" t="inlineStr">
        <x:is>
          <x:t xml:space="preserve">538171</x:t>
        </x:is>
      </x:c>
      <x:c r="B260" s="20" t="inlineStr">
        <x:is>
          <x:t xml:space="preserve">53</x:t>
        </x:is>
      </x:c>
      <x:c r="C260" s="20" t="inlineStr">
        <x:is>
          <x:t xml:space="preserve">POLK</x:t>
        </x:is>
      </x:c>
      <x:c r="D260" s="20" t="inlineStr">
        <x:is>
          <x:t xml:space="preserve">8171</x:t>
        </x:is>
      </x:c>
      <x:c r="E260" s="20" t="inlineStr">
        <x:is>
          <x:t xml:space="preserve">CYPRESS JUNCTION MONTESSORI</x:t>
        </x:is>
      </x:c>
      <x:c r="F260" s="20" t="inlineStr">
        <x:is>
          <x:t xml:space="preserve">04</x:t>
        </x:is>
      </x:c>
      <x:c r="G260" s="20" t="inlineStr">
        <x:is>
          <x:t xml:space="preserve">Combination</x:t>
        </x:is>
      </x:c>
      <x:c r="H260" s="20" t="inlineStr">
        <x:is>
          <x:t xml:space="preserve">YES</x:t>
        </x:is>
      </x:c>
      <x:c r="I260" s="20" t="inlineStr">
        <x:is>
          <x:t xml:space="preserve">NO</x:t>
        </x:is>
      </x:c>
      <x:c r="J260" s="20" t="inlineStr">
        <x:is>
          <x:t xml:space="preserve">N</x:t>
        </x:is>
      </x:c>
      <x:c r="K260" s="25" t="n">
        <x:v>57</x:v>
      </x:c>
      <x:c r="L260" s="25" t="n">
        <x:v>57</x:v>
      </x:c>
      <x:c r="M260" s="25" t="n">
        <x:v>52</x:v>
      </x:c>
      <x:c r="N260" s="25" t="n">
        <x:v>52</x:v>
      </x:c>
      <x:c r="O260" s="25" t="n">
        <x:v>40</x:v>
      </x:c>
      <x:c r="P260" s="25" t="n">
        <x:v>66</x:v>
      </x:c>
      <x:c r="Q260" s="25" t="n"/>
      <x:c r="R260" s="25" t="n"/>
      <x:c r="S260" s="20" t="n">
        <x:v>577</x:v>
      </x:c>
      <x:c r="T260" s="20" t="n">
        <x:v>10</x:v>
      </x:c>
      <x:c r="U260" s="25" t="n">
        <x:v>58</x:v>
      </x:c>
      <x:c r="V260" s="25" t="n">
        <x:v>100</x:v>
      </x:c>
      <x:c r="W260" s="20" t="inlineStr">
        <x:is>
          <x:t xml:space="preserve">B</x:t>
        </x:is>
      </x:c>
      <x:c r="X260" s="20" t="inlineStr">
        <x:is>
          <x:t xml:space="preserve">C</x:t>
        </x:is>
      </x:c>
      <x:c r="Y260" s="25" t="n">
        <x:v>27.1</x:v>
      </x:c>
      <x:c r="Z260" s="20" t="inlineStr">
        <x:is>
          <x:t xml:space="preserve">https://www.fldoe.org/file/18534/SchoolGrades25.xlsx</x:t>
        </x:is>
      </x:c>
    </x:row>
    <x:row r="261">
      <x:c r="A261" s="20" t="inlineStr">
        <x:is>
          <x:t xml:space="preserve">538181</x:t>
        </x:is>
      </x:c>
      <x:c r="B261" s="20" t="inlineStr">
        <x:is>
          <x:t xml:space="preserve">53</x:t>
        </x:is>
      </x:c>
      <x:c r="C261" s="20" t="inlineStr">
        <x:is>
          <x:t xml:space="preserve">POLK</x:t>
        </x:is>
      </x:c>
      <x:c r="D261" s="20" t="inlineStr">
        <x:is>
          <x:t xml:space="preserve">8181</x:t>
        </x:is>
      </x:c>
      <x:c r="E261" s="20" t="inlineStr">
        <x:is>
          <x:t xml:space="preserve">DISCOVERY HIGH SCHOOL</x:t>
        </x:is>
      </x:c>
      <x:c r="F261" s="20" t="inlineStr">
        <x:is>
          <x:t xml:space="preserve">03</x:t>
        </x:is>
      </x:c>
      <x:c r="G261" s="20" t="inlineStr">
        <x:is>
          <x:t xml:space="preserve">Senior High</x:t>
        </x:is>
      </x:c>
      <x:c r="H261" s="20" t="inlineStr">
        <x:is>
          <x:t xml:space="preserve">YES</x:t>
        </x:is>
      </x:c>
      <x:c r="I261" s="20" t="inlineStr">
        <x:is>
          <x:t xml:space="preserve">YES</x:t>
        </x:is>
      </x:c>
      <x:c r="J261" s="20" t="inlineStr">
        <x:is>
          <x:t xml:space="preserve">N</x:t>
        </x:is>
      </x:c>
      <x:c r="K261" s="25" t="n">
        <x:v>42</x:v>
      </x:c>
      <x:c r="L261" s="25" t="n">
        <x:v>47</x:v>
      </x:c>
      <x:c r="M261" s="25" t="n">
        <x:v>18</x:v>
      </x:c>
      <x:c r="N261" s="25" t="n">
        <x:v>21</x:v>
      </x:c>
      <x:c r="O261" s="25" t="n">
        <x:v>47</x:v>
      </x:c>
      <x:c r="P261" s="25" t="n">
        <x:v>55</x:v>
      </x:c>
      <x:c r="Q261" s="25" t="n">
        <x:v>97</x:v>
      </x:c>
      <x:c r="R261" s="25" t="n">
        <x:v>37</x:v>
      </x:c>
      <x:c r="S261" s="20" t="n">
        <x:v>455</x:v>
      </x:c>
      <x:c r="T261" s="20" t="n">
        <x:v>10</x:v>
      </x:c>
      <x:c r="U261" s="25" t="n">
        <x:v>46</x:v>
      </x:c>
      <x:c r="V261" s="25" t="n">
        <x:v>99</x:v>
      </x:c>
      <x:c r="W261" s="20" t="inlineStr">
        <x:is>
          <x:t xml:space="preserve">C</x:t>
        </x:is>
      </x:c>
      <x:c r="X261" s="20" t="inlineStr">
        <x:is>
          <x:t xml:space="preserve">C</x:t>
        </x:is>
      </x:c>
      <x:c r="Y261" s="25" t="n">
        <x:v>73.8</x:v>
      </x:c>
      <x:c r="Z261" s="20" t="inlineStr">
        <x:is>
          <x:t xml:space="preserve">https://www.fldoe.org/file/18534/SchoolGrades25.xlsx</x:t>
        </x:is>
      </x:c>
    </x:row>
    <x:row r="262">
      <x:c r="A262" s="20" t="inlineStr">
        <x:is>
          <x:t xml:space="preserve">538201</x:t>
        </x:is>
      </x:c>
      <x:c r="B262" s="20" t="inlineStr">
        <x:is>
          <x:t xml:space="preserve">53</x:t>
        </x:is>
      </x:c>
      <x:c r="C262" s="20" t="inlineStr">
        <x:is>
          <x:t xml:space="preserve">POLK</x:t>
        </x:is>
      </x:c>
      <x:c r="D262" s="20" t="inlineStr">
        <x:is>
          <x:t xml:space="preserve">8201</x:t>
        </x:is>
      </x:c>
      <x:c r="E262" s="20" t="inlineStr">
        <x:is>
          <x:t xml:space="preserve">MI ESCUELA MONTESSORI</x:t>
        </x:is>
      </x:c>
      <x:c r="F262" s="20" t="inlineStr">
        <x:is>
          <x:t xml:space="preserve">04</x:t>
        </x:is>
      </x:c>
      <x:c r="G262" s="20" t="inlineStr">
        <x:is>
          <x:t xml:space="preserve">Combination</x:t>
        </x:is>
      </x:c>
      <x:c r="H262" s="20" t="inlineStr">
        <x:is>
          <x:t xml:space="preserve">YES</x:t>
        </x:is>
      </x:c>
      <x:c r="I262" s="20" t="inlineStr">
        <x:is>
          <x:t xml:space="preserve">NO</x:t>
        </x:is>
      </x:c>
      <x:c r="J262" s="20" t="inlineStr">
        <x:is>
          <x:t xml:space="preserve">N</x:t>
        </x:is>
      </x:c>
      <x:c r="K262" s="25" t="n">
        <x:v>56</x:v>
      </x:c>
      <x:c r="L262" s="25" t="n">
        <x:v>56</x:v>
      </x:c>
      <x:c r="M262" s="25" t="n">
        <x:v>46</x:v>
      </x:c>
      <x:c r="N262" s="25" t="n">
        <x:v>56</x:v>
      </x:c>
      <x:c r="O262" s="25" t="n">
        <x:v>55</x:v>
      </x:c>
      <x:c r="P262" s="25" t="n">
        <x:v>64</x:v>
      </x:c>
      <x:c r="Q262" s="25" t="n"/>
      <x:c r="R262" s="25" t="n"/>
      <x:c r="S262" s="20" t="n">
        <x:v>472</x:v>
      </x:c>
      <x:c r="T262" s="20" t="n">
        <x:v>9</x:v>
      </x:c>
      <x:c r="U262" s="25" t="n">
        <x:v>52</x:v>
      </x:c>
      <x:c r="V262" s="25" t="n">
        <x:v>100</x:v>
      </x:c>
      <x:c r="W262" s="20" t="inlineStr">
        <x:is>
          <x:t xml:space="preserve">C</x:t>
        </x:is>
      </x:c>
      <x:c r="X262" s="20" t="inlineStr">
        <x:is>
          <x:t xml:space="preserve">B</x:t>
        </x:is>
      </x:c>
      <x:c r="Y262" s="25" t="n">
        <x:v>54.8</x:v>
      </x:c>
      <x:c r="Z262" s="20" t="inlineStr">
        <x:is>
          <x:t xml:space="preserve">https://www.fldoe.org/file/18534/SchoolGrades25.xlsx</x:t>
        </x:is>
      </x:c>
    </x:row>
    <x:row r="263">
      <x:c r="A263" s="20" t="inlineStr">
        <x:is>
          <x:t xml:space="preserve">590021</x:t>
        </x:is>
      </x:c>
      <x:c r="B263" s="20" t="inlineStr">
        <x:is>
          <x:t xml:space="preserve">59</x:t>
        </x:is>
      </x:c>
      <x:c r="C263" s="20" t="inlineStr">
        <x:is>
          <x:t xml:space="preserve">SEMINOLE</x:t>
        </x:is>
      </x:c>
      <x:c r="D263" s="20" t="inlineStr">
        <x:is>
          <x:t xml:space="preserve">0021</x:t>
        </x:is>
      </x:c>
      <x:c r="E263" s="20" t="inlineStr">
        <x:is>
          <x:t xml:space="preserve">HAMILTON ELEMENTARY SCHOOL</x:t>
        </x:is>
      </x:c>
      <x:c r="F263" s="20" t="inlineStr">
        <x:is>
          <x:t xml:space="preserve">01</x:t>
        </x:is>
      </x:c>
      <x:c r="G263" s="20" t="inlineStr">
        <x:is>
          <x:t xml:space="preserve">Elementary</x:t>
        </x:is>
      </x:c>
      <x:c r="H263" s="20" t="inlineStr">
        <x:is>
          <x:t xml:space="preserve">NO</x:t>
        </x:is>
      </x:c>
      <x:c r="I263" s="20" t="inlineStr">
        <x:is>
          <x:t xml:space="preserve">YES</x:t>
        </x:is>
      </x:c>
      <x:c r="J263" s="20" t="inlineStr">
        <x:is>
          <x:t xml:space="preserve">N</x:t>
        </x:is>
      </x:c>
      <x:c r="K263" s="25" t="n">
        <x:v>66</x:v>
      </x:c>
      <x:c r="L263" s="25" t="n">
        <x:v>63</x:v>
      </x:c>
      <x:c r="M263" s="25" t="n">
        <x:v>67</x:v>
      </x:c>
      <x:c r="N263" s="25" t="n">
        <x:v>64</x:v>
      </x:c>
      <x:c r="O263" s="25" t="n">
        <x:v>66</x:v>
      </x:c>
      <x:c r="P263" s="25" t="n"/>
      <x:c r="Q263" s="25" t="n"/>
      <x:c r="R263" s="25" t="n"/>
      <x:c r="S263" s="20" t="n">
        <x:v>515</x:v>
      </x:c>
      <x:c r="T263" s="20" t="n">
        <x:v>8</x:v>
      </x:c>
      <x:c r="U263" s="25" t="n">
        <x:v>64</x:v>
      </x:c>
      <x:c r="V263" s="25" t="n">
        <x:v>98</x:v>
      </x:c>
      <x:c r="W263" s="20" t="inlineStr">
        <x:is>
          <x:t xml:space="preserve">A</x:t>
        </x:is>
      </x:c>
      <x:c r="X263" s="20" t="inlineStr">
        <x:is>
          <x:t xml:space="preserve">B</x:t>
        </x:is>
      </x:c>
      <x:c r="Y263" s="25" t="n">
        <x:v>79.59999999999999</x:v>
      </x:c>
      <x:c r="Z263" s="20" t="inlineStr">
        <x:is>
          <x:t xml:space="preserve">https://www.fldoe.org/file/18534/SchoolGrades25.xlsx</x:t>
        </x:is>
      </x:c>
    </x:row>
    <x:row r="264">
      <x:c r="A264" s="20" t="inlineStr">
        <x:is>
          <x:t xml:space="preserve">590031</x:t>
        </x:is>
      </x:c>
      <x:c r="B264" s="20" t="inlineStr">
        <x:is>
          <x:t xml:space="preserve">59</x:t>
        </x:is>
      </x:c>
      <x:c r="C264" s="20" t="inlineStr">
        <x:is>
          <x:t xml:space="preserve">SEMINOLE</x:t>
        </x:is>
      </x:c>
      <x:c r="D264" s="20" t="inlineStr">
        <x:is>
          <x:t xml:space="preserve">0031</x:t>
        </x:is>
      </x:c>
      <x:c r="E264" s="20" t="inlineStr">
        <x:is>
          <x:t xml:space="preserve">BEAR LAKE ELEMENTARY SCHOOL</x:t>
        </x:is>
      </x:c>
      <x:c r="F264" s="20" t="inlineStr">
        <x:is>
          <x:t xml:space="preserve">01</x:t>
        </x:is>
      </x:c>
      <x:c r="G264" s="20" t="inlineStr">
        <x:is>
          <x:t xml:space="preserve">Elementary</x:t>
        </x:is>
      </x:c>
      <x:c r="H264" s="20" t="inlineStr">
        <x:is>
          <x:t xml:space="preserve">NO</x:t>
        </x:is>
      </x:c>
      <x:c r="I264" s="20" t="inlineStr">
        <x:is>
          <x:t xml:space="preserve">NO</x:t>
        </x:is>
      </x:c>
      <x:c r="J264" s="20" t="inlineStr">
        <x:is>
          <x:t xml:space="preserve">N</x:t>
        </x:is>
      </x:c>
      <x:c r="K264" s="25" t="n">
        <x:v>57</x:v>
      </x:c>
      <x:c r="L264" s="25" t="n">
        <x:v>62</x:v>
      </x:c>
      <x:c r="M264" s="25" t="n">
        <x:v>51</x:v>
      </x:c>
      <x:c r="N264" s="25" t="n">
        <x:v>57</x:v>
      </x:c>
      <x:c r="O264" s="25" t="n">
        <x:v>54</x:v>
      </x:c>
      <x:c r="P264" s="25" t="n"/>
      <x:c r="Q264" s="25" t="n"/>
      <x:c r="R264" s="25" t="n"/>
      <x:c r="S264" s="20" t="n">
        <x:v>468</x:v>
      </x:c>
      <x:c r="T264" s="20" t="n">
        <x:v>8</x:v>
      </x:c>
      <x:c r="U264" s="25" t="n">
        <x:v>59</x:v>
      </x:c>
      <x:c r="V264" s="25" t="n">
        <x:v>98</x:v>
      </x:c>
      <x:c r="W264" s="20" t="inlineStr">
        <x:is>
          <x:t xml:space="preserve">B</x:t>
        </x:is>
      </x:c>
      <x:c r="X264" s="20" t="inlineStr">
        <x:is>
          <x:t xml:space="preserve">C</x:t>
        </x:is>
      </x:c>
      <x:c r="Y264" s="25" t="n">
        <x:v>62.5</x:v>
      </x:c>
      <x:c r="Z264" s="20" t="inlineStr">
        <x:is>
          <x:t xml:space="preserve">https://www.fldoe.org/file/18534/SchoolGrades25.xlsx</x:t>
        </x:is>
      </x:c>
    </x:row>
    <x:row r="265">
      <x:c r="A265" s="20" t="inlineStr">
        <x:is>
          <x:t xml:space="preserve">590041</x:t>
        </x:is>
      </x:c>
      <x:c r="B265" s="20" t="inlineStr">
        <x:is>
          <x:t xml:space="preserve">59</x:t>
        </x:is>
      </x:c>
      <x:c r="C265" s="20" t="inlineStr">
        <x:is>
          <x:t xml:space="preserve">SEMINOLE</x:t>
        </x:is>
      </x:c>
      <x:c r="D265" s="20" t="inlineStr">
        <x:is>
          <x:t xml:space="preserve">0041</x:t>
        </x:is>
      </x:c>
      <x:c r="E265" s="20" t="inlineStr">
        <x:is>
          <x:t xml:space="preserve">ENGLISH ESTATES ELEMENTARY SCHOOL</x:t>
        </x:is>
      </x:c>
      <x:c r="F265" s="20" t="inlineStr">
        <x:is>
          <x:t xml:space="preserve">01</x:t>
        </x:is>
      </x:c>
      <x:c r="G265" s="20" t="inlineStr">
        <x:is>
          <x:t xml:space="preserve">Elementary</x:t>
        </x:is>
      </x:c>
      <x:c r="H265" s="20" t="inlineStr">
        <x:is>
          <x:t xml:space="preserve">NO</x:t>
        </x:is>
      </x:c>
      <x:c r="I265" s="20" t="inlineStr">
        <x:is>
          <x:t xml:space="preserve">YES</x:t>
        </x:is>
      </x:c>
      <x:c r="J265" s="20" t="inlineStr">
        <x:is>
          <x:t xml:space="preserve">N</x:t>
        </x:is>
      </x:c>
      <x:c r="K265" s="25" t="n">
        <x:v>60</x:v>
      </x:c>
      <x:c r="L265" s="25" t="n">
        <x:v>55</x:v>
      </x:c>
      <x:c r="M265" s="25" t="n">
        <x:v>52</x:v>
      </x:c>
      <x:c r="N265" s="25" t="n">
        <x:v>45</x:v>
      </x:c>
      <x:c r="O265" s="25" t="n">
        <x:v>46</x:v>
      </x:c>
      <x:c r="P265" s="25" t="n"/>
      <x:c r="Q265" s="25" t="n"/>
      <x:c r="R265" s="25" t="n"/>
      <x:c r="S265" s="20" t="n">
        <x:v>420</x:v>
      </x:c>
      <x:c r="T265" s="20" t="n">
        <x:v>8</x:v>
      </x:c>
      <x:c r="U265" s="25" t="n">
        <x:v>53</x:v>
      </x:c>
      <x:c r="V265" s="25" t="n">
        <x:v>100</x:v>
      </x:c>
      <x:c r="W265" s="20" t="inlineStr">
        <x:is>
          <x:t xml:space="preserve">C</x:t>
        </x:is>
      </x:c>
      <x:c r="X265" s="20" t="inlineStr">
        <x:is>
          <x:t xml:space="preserve">B</x:t>
        </x:is>
      </x:c>
      <x:c r="Y265" s="25" t="n">
        <x:v>73.5</x:v>
      </x:c>
      <x:c r="Z265" s="20" t="inlineStr">
        <x:is>
          <x:t xml:space="preserve">https://www.fldoe.org/file/18534/SchoolGrades25.xlsx</x:t>
        </x:is>
      </x:c>
    </x:row>
    <x:row r="266">
      <x:c r="A266" s="20" t="inlineStr">
        <x:is>
          <x:t xml:space="preserve">590051</x:t>
        </x:is>
      </x:c>
      <x:c r="B266" s="20" t="inlineStr">
        <x:is>
          <x:t xml:space="preserve">59</x:t>
        </x:is>
      </x:c>
      <x:c r="C266" s="20" t="inlineStr">
        <x:is>
          <x:t xml:space="preserve">SEMINOLE</x:t>
        </x:is>
      </x:c>
      <x:c r="D266" s="20" t="inlineStr">
        <x:is>
          <x:t xml:space="preserve">0051</x:t>
        </x:is>
      </x:c>
      <x:c r="E266" s="20" t="inlineStr">
        <x:is>
          <x:t xml:space="preserve">GENEVA ELEMENTARY SCHOOL</x:t>
        </x:is>
      </x:c>
      <x:c r="F266" s="20" t="inlineStr">
        <x:is>
          <x:t xml:space="preserve">01</x:t>
        </x:is>
      </x:c>
      <x:c r="G266" s="20" t="inlineStr">
        <x:is>
          <x:t xml:space="preserve">Elementary</x:t>
        </x:is>
      </x:c>
      <x:c r="H266" s="20" t="inlineStr">
        <x:is>
          <x:t xml:space="preserve">NO</x:t>
        </x:is>
      </x:c>
      <x:c r="I266" s="20" t="inlineStr">
        <x:is>
          <x:t xml:space="preserve">NO</x:t>
        </x:is>
      </x:c>
      <x:c r="J266" s="20" t="inlineStr">
        <x:is>
          <x:t xml:space="preserve">N</x:t>
        </x:is>
      </x:c>
      <x:c r="K266" s="25" t="n">
        <x:v>71</x:v>
      </x:c>
      <x:c r="L266" s="25" t="n">
        <x:v>64</x:v>
      </x:c>
      <x:c r="M266" s="25" t="n">
        <x:v>71</x:v>
      </x:c>
      <x:c r="N266" s="25" t="n">
        <x:v>66</x:v>
      </x:c>
      <x:c r="O266" s="25" t="n">
        <x:v>79</x:v>
      </x:c>
      <x:c r="P266" s="25" t="n"/>
      <x:c r="Q266" s="25" t="n"/>
      <x:c r="R266" s="25" t="n"/>
      <x:c r="S266" s="20" t="n">
        <x:v>531</x:v>
      </x:c>
      <x:c r="T266" s="20" t="n">
        <x:v>8</x:v>
      </x:c>
      <x:c r="U266" s="25" t="n">
        <x:v>66</x:v>
      </x:c>
      <x:c r="V266" s="25" t="n">
        <x:v>100</x:v>
      </x:c>
      <x:c r="W266" s="20" t="inlineStr">
        <x:is>
          <x:t xml:space="preserve">A</x:t>
        </x:is>
      </x:c>
      <x:c r="X266" s="20" t="inlineStr">
        <x:is>
          <x:t xml:space="preserve">A</x:t>
        </x:is>
      </x:c>
      <x:c r="Y266" s="25" t="n">
        <x:v>43.3</x:v>
      </x:c>
      <x:c r="Z266" s="20" t="inlineStr">
        <x:is>
          <x:t xml:space="preserve">https://www.fldoe.org/file/18534/SchoolGrades25.xlsx</x:t>
        </x:is>
      </x:c>
    </x:row>
    <x:row r="267">
      <x:c r="A267" s="20" t="inlineStr">
        <x:is>
          <x:t xml:space="preserve">590071</x:t>
        </x:is>
      </x:c>
      <x:c r="B267" s="20" t="inlineStr">
        <x:is>
          <x:t xml:space="preserve">59</x:t>
        </x:is>
      </x:c>
      <x:c r="C267" s="20" t="inlineStr">
        <x:is>
          <x:t xml:space="preserve">SEMINOLE</x:t>
        </x:is>
      </x:c>
      <x:c r="D267" s="20" t="inlineStr">
        <x:is>
          <x:t xml:space="preserve">0071</x:t>
        </x:is>
      </x:c>
      <x:c r="E267" s="20" t="inlineStr">
        <x:is>
          <x:t xml:space="preserve">LAKE MARY HIGH SCHOOL</x:t>
        </x:is>
      </x:c>
      <x:c r="F267" s="20" t="inlineStr">
        <x:is>
          <x:t xml:space="preserve">03</x:t>
        </x:is>
      </x:c>
      <x:c r="G267" s="20" t="inlineStr">
        <x:is>
          <x:t xml:space="preserve">Senior High</x:t>
        </x:is>
      </x:c>
      <x:c r="H267" s="20" t="inlineStr">
        <x:is>
          <x:t xml:space="preserve">NO</x:t>
        </x:is>
      </x:c>
      <x:c r="I267" s="20" t="inlineStr">
        <x:is>
          <x:t xml:space="preserve">NO</x:t>
        </x:is>
      </x:c>
      <x:c r="J267" s="20" t="inlineStr">
        <x:is>
          <x:t xml:space="preserve">N</x:t>
        </x:is>
      </x:c>
      <x:c r="K267" s="25" t="n">
        <x:v>62</x:v>
      </x:c>
      <x:c r="L267" s="25" t="n">
        <x:v>58</x:v>
      </x:c>
      <x:c r="M267" s="25" t="n">
        <x:v>45</x:v>
      </x:c>
      <x:c r="N267" s="25" t="n">
        <x:v>42</x:v>
      </x:c>
      <x:c r="O267" s="25" t="n">
        <x:v>75</x:v>
      </x:c>
      <x:c r="P267" s="25" t="n">
        <x:v>79</x:v>
      </x:c>
      <x:c r="Q267" s="25" t="n">
        <x:v>92</x:v>
      </x:c>
      <x:c r="R267" s="25" t="n">
        <x:v>62</x:v>
      </x:c>
      <x:c r="S267" s="20" t="n">
        <x:v>620</x:v>
      </x:c>
      <x:c r="T267" s="20" t="n">
        <x:v>10</x:v>
      </x:c>
      <x:c r="U267" s="25" t="n">
        <x:v>62</x:v>
      </x:c>
      <x:c r="V267" s="25" t="n">
        <x:v>97</x:v>
      </x:c>
      <x:c r="W267" s="20" t="inlineStr">
        <x:is>
          <x:t xml:space="preserve">B</x:t>
        </x:is>
      </x:c>
      <x:c r="X267" s="20" t="inlineStr">
        <x:is>
          <x:t xml:space="preserve">A</x:t>
        </x:is>
      </x:c>
      <x:c r="Y267" s="25" t="n">
        <x:v>43.1</x:v>
      </x:c>
      <x:c r="Z267" s="20" t="inlineStr">
        <x:is>
          <x:t xml:space="preserve">https://www.fldoe.org/file/18534/SchoolGrades25.xlsx</x:t>
        </x:is>
      </x:c>
    </x:row>
    <x:row r="268">
      <x:c r="A268" s="20" t="inlineStr">
        <x:is>
          <x:t xml:space="preserve">590081</x:t>
        </x:is>
      </x:c>
      <x:c r="B268" s="20" t="inlineStr">
        <x:is>
          <x:t xml:space="preserve">59</x:t>
        </x:is>
      </x:c>
      <x:c r="C268" s="20" t="inlineStr">
        <x:is>
          <x:t xml:space="preserve">SEMINOLE</x:t>
        </x:is>
      </x:c>
      <x:c r="D268" s="20" t="inlineStr">
        <x:is>
          <x:t xml:space="preserve">0081</x:t>
        </x:is>
      </x:c>
      <x:c r="E268" s="20" t="inlineStr">
        <x:is>
          <x:t xml:space="preserve">LAKE MARY ELEMENTARY SCHOOL</x:t>
        </x:is>
      </x:c>
      <x:c r="F268" s="20" t="inlineStr">
        <x:is>
          <x:t xml:space="preserve">01</x:t>
        </x:is>
      </x:c>
      <x:c r="G268" s="20" t="inlineStr">
        <x:is>
          <x:t xml:space="preserve">Elementary</x:t>
        </x:is>
      </x:c>
      <x:c r="H268" s="20" t="inlineStr">
        <x:is>
          <x:t xml:space="preserve">NO</x:t>
        </x:is>
      </x:c>
      <x:c r="I268" s="20" t="inlineStr">
        <x:is>
          <x:t xml:space="preserve">NO</x:t>
        </x:is>
      </x:c>
      <x:c r="J268" s="20" t="inlineStr">
        <x:is>
          <x:t xml:space="preserve">N</x:t>
        </x:is>
      </x:c>
      <x:c r="K268" s="25" t="n">
        <x:v>68</x:v>
      </x:c>
      <x:c r="L268" s="25" t="n">
        <x:v>62</x:v>
      </x:c>
      <x:c r="M268" s="25" t="n">
        <x:v>68</x:v>
      </x:c>
      <x:c r="N268" s="25" t="n">
        <x:v>54</x:v>
      </x:c>
      <x:c r="O268" s="25" t="n">
        <x:v>65</x:v>
      </x:c>
      <x:c r="P268" s="25" t="n"/>
      <x:c r="Q268" s="25" t="n"/>
      <x:c r="R268" s="25" t="n"/>
      <x:c r="S268" s="20" t="n">
        <x:v>489</x:v>
      </x:c>
      <x:c r="T268" s="20" t="n">
        <x:v>8</x:v>
      </x:c>
      <x:c r="U268" s="25" t="n">
        <x:v>61</x:v>
      </x:c>
      <x:c r="V268" s="25" t="n">
        <x:v>99</x:v>
      </x:c>
      <x:c r="W268" s="20" t="inlineStr">
        <x:is>
          <x:t xml:space="preserve">B</x:t>
        </x:is>
      </x:c>
      <x:c r="X268" s="20" t="inlineStr">
        <x:is>
          <x:t xml:space="preserve">B</x:t>
        </x:is>
      </x:c>
      <x:c r="Y268" s="25" t="n">
        <x:v>51.3</x:v>
      </x:c>
      <x:c r="Z268" s="20" t="inlineStr">
        <x:is>
          <x:t xml:space="preserve">https://www.fldoe.org/file/18534/SchoolGrades25.xlsx</x:t>
        </x:is>
      </x:c>
    </x:row>
    <x:row r="269">
      <x:c r="A269" s="20" t="inlineStr">
        <x:is>
          <x:t xml:space="preserve">590091</x:t>
        </x:is>
      </x:c>
      <x:c r="B269" s="20" t="inlineStr">
        <x:is>
          <x:t xml:space="preserve">59</x:t>
        </x:is>
      </x:c>
      <x:c r="C269" s="20" t="inlineStr">
        <x:is>
          <x:t xml:space="preserve">SEMINOLE</x:t>
        </x:is>
      </x:c>
      <x:c r="D269" s="20" t="inlineStr">
        <x:is>
          <x:t xml:space="preserve">0091</x:t>
        </x:is>
      </x:c>
      <x:c r="E269" s="20" t="inlineStr">
        <x:is>
          <x:t xml:space="preserve">LONGWOOD ELEMENTARY SCHOOL</x:t>
        </x:is>
      </x:c>
      <x:c r="F269" s="20" t="inlineStr">
        <x:is>
          <x:t xml:space="preserve">01</x:t>
        </x:is>
      </x:c>
      <x:c r="G269" s="20" t="inlineStr">
        <x:is>
          <x:t xml:space="preserve">Elementary</x:t>
        </x:is>
      </x:c>
      <x:c r="H269" s="20" t="inlineStr">
        <x:is>
          <x:t xml:space="preserve">NO</x:t>
        </x:is>
      </x:c>
      <x:c r="I269" s="20" t="inlineStr">
        <x:is>
          <x:t xml:space="preserve">YES</x:t>
        </x:is>
      </x:c>
      <x:c r="J269" s="20" t="inlineStr">
        <x:is>
          <x:t xml:space="preserve">N</x:t>
        </x:is>
      </x:c>
      <x:c r="K269" s="25" t="n">
        <x:v>63</x:v>
      </x:c>
      <x:c r="L269" s="25" t="n">
        <x:v>52</x:v>
      </x:c>
      <x:c r="M269" s="25" t="n">
        <x:v>63</x:v>
      </x:c>
      <x:c r="N269" s="25" t="n">
        <x:v>70</x:v>
      </x:c>
      <x:c r="O269" s="25" t="n">
        <x:v>63</x:v>
      </x:c>
      <x:c r="P269" s="25" t="n"/>
      <x:c r="Q269" s="25" t="n"/>
      <x:c r="R269" s="25" t="n"/>
      <x:c r="S269" s="20" t="n">
        <x:v>469</x:v>
      </x:c>
      <x:c r="T269" s="20" t="n">
        <x:v>8</x:v>
      </x:c>
      <x:c r="U269" s="25" t="n">
        <x:v>59</x:v>
      </x:c>
      <x:c r="V269" s="25" t="n">
        <x:v>100</x:v>
      </x:c>
      <x:c r="W269" s="20" t="inlineStr">
        <x:is>
          <x:t xml:space="preserve">B</x:t>
        </x:is>
      </x:c>
      <x:c r="X269" s="20" t="inlineStr">
        <x:is>
          <x:t xml:space="preserve">A</x:t>
        </x:is>
      </x:c>
      <x:c r="Y269" s="25" t="n">
        <x:v>66.7</x:v>
      </x:c>
      <x:c r="Z269" s="20" t="inlineStr">
        <x:is>
          <x:t xml:space="preserve">https://www.fldoe.org/file/18534/SchoolGrades25.xlsx</x:t>
        </x:is>
      </x:c>
    </x:row>
    <x:row r="270">
      <x:c r="A270" s="20" t="inlineStr">
        <x:is>
          <x:t xml:space="preserve">590101</x:t>
        </x:is>
      </x:c>
      <x:c r="B270" s="20" t="inlineStr">
        <x:is>
          <x:t xml:space="preserve">59</x:t>
        </x:is>
      </x:c>
      <x:c r="C270" s="20" t="inlineStr">
        <x:is>
          <x:t xml:space="preserve">SEMINOLE</x:t>
        </x:is>
      </x:c>
      <x:c r="D270" s="20" t="inlineStr">
        <x:is>
          <x:t xml:space="preserve">0101</x:t>
        </x:is>
      </x:c>
      <x:c r="E270" s="20" t="inlineStr">
        <x:is>
          <x:t xml:space="preserve">MILWEE MIDDLE SCHOOL</x:t>
        </x:is>
      </x:c>
      <x:c r="F270" s="20" t="inlineStr">
        <x:is>
          <x:t xml:space="preserve">02</x:t>
        </x:is>
      </x:c>
      <x:c r="G270" s="20" t="inlineStr">
        <x:is>
          <x:t xml:space="preserve">Middle/Junior</x:t>
        </x:is>
      </x:c>
      <x:c r="H270" s="20" t="inlineStr">
        <x:is>
          <x:t xml:space="preserve">NO</x:t>
        </x:is>
      </x:c>
      <x:c r="I270" s="20" t="inlineStr">
        <x:is>
          <x:t xml:space="preserve">YES</x:t>
        </x:is>
      </x:c>
      <x:c r="J270" s="20" t="inlineStr">
        <x:is>
          <x:t xml:space="preserve">N</x:t>
        </x:is>
      </x:c>
      <x:c r="K270" s="25" t="n">
        <x:v>62</x:v>
      </x:c>
      <x:c r="L270" s="25" t="n">
        <x:v>62</x:v>
      </x:c>
      <x:c r="M270" s="25" t="n">
        <x:v>59</x:v>
      </x:c>
      <x:c r="N270" s="25" t="n">
        <x:v>53</x:v>
      </x:c>
      <x:c r="O270" s="25" t="n">
        <x:v>57</x:v>
      </x:c>
      <x:c r="P270" s="25" t="n">
        <x:v>69</x:v>
      </x:c>
      <x:c r="Q270" s="25" t="n"/>
      <x:c r="R270" s="25" t="n"/>
      <x:c r="S270" s="20" t="n">
        <x:v>549</x:v>
      </x:c>
      <x:c r="T270" s="20" t="n">
        <x:v>9</x:v>
      </x:c>
      <x:c r="U270" s="25" t="n">
        <x:v>61</x:v>
      </x:c>
      <x:c r="V270" s="25" t="n">
        <x:v>98</x:v>
      </x:c>
      <x:c r="W270" s="20" t="inlineStr">
        <x:is>
          <x:t xml:space="preserve">B</x:t>
        </x:is>
      </x:c>
      <x:c r="X270" s="20" t="inlineStr">
        <x:is>
          <x:t xml:space="preserve">C</x:t>
        </x:is>
      </x:c>
      <x:c r="Y270" s="25" t="n">
        <x:v>64.09999999999999</x:v>
      </x:c>
      <x:c r="Z270" s="20" t="inlineStr">
        <x:is>
          <x:t xml:space="preserve">https://www.fldoe.org/file/18534/SchoolGrades25.xlsx</x:t>
        </x:is>
      </x:c>
    </x:row>
    <x:row r="271">
      <x:c r="A271" s="20" t="inlineStr">
        <x:is>
          <x:t xml:space="preserve">590111</x:t>
        </x:is>
      </x:c>
      <x:c r="B271" s="20" t="inlineStr">
        <x:is>
          <x:t xml:space="preserve">59</x:t>
        </x:is>
      </x:c>
      <x:c r="C271" s="20" t="inlineStr">
        <x:is>
          <x:t xml:space="preserve">SEMINOLE</x:t>
        </x:is>
      </x:c>
      <x:c r="D271" s="20" t="inlineStr">
        <x:is>
          <x:t xml:space="preserve">0111</x:t>
        </x:is>
      </x:c>
      <x:c r="E271" s="20" t="inlineStr">
        <x:is>
          <x:t xml:space="preserve">EVANS ELEMENTARY SCHOOL</x:t>
        </x:is>
      </x:c>
      <x:c r="F271" s="20" t="inlineStr">
        <x:is>
          <x:t xml:space="preserve">01</x:t>
        </x:is>
      </x:c>
      <x:c r="G271" s="20" t="inlineStr">
        <x:is>
          <x:t xml:space="preserve">Elementary</x:t>
        </x:is>
      </x:c>
      <x:c r="H271" s="20" t="inlineStr">
        <x:is>
          <x:t xml:space="preserve">NO</x:t>
        </x:is>
      </x:c>
      <x:c r="I271" s="20" t="inlineStr">
        <x:is>
          <x:t xml:space="preserve">NO</x:t>
        </x:is>
      </x:c>
      <x:c r="J271" s="20" t="inlineStr">
        <x:is>
          <x:t xml:space="preserve">N</x:t>
        </x:is>
      </x:c>
      <x:c r="K271" s="25" t="n">
        <x:v>73</x:v>
      </x:c>
      <x:c r="L271" s="25" t="n">
        <x:v>68</x:v>
      </x:c>
      <x:c r="M271" s="25" t="n">
        <x:v>78</x:v>
      </x:c>
      <x:c r="N271" s="25" t="n">
        <x:v>80</x:v>
      </x:c>
      <x:c r="O271" s="25" t="n">
        <x:v>74</x:v>
      </x:c>
      <x:c r="P271" s="25" t="n"/>
      <x:c r="Q271" s="25" t="n"/>
      <x:c r="R271" s="25" t="n"/>
      <x:c r="S271" s="20" t="n">
        <x:v>579</x:v>
      </x:c>
      <x:c r="T271" s="20" t="n">
        <x:v>8</x:v>
      </x:c>
      <x:c r="U271" s="25" t="n">
        <x:v>72</x:v>
      </x:c>
      <x:c r="V271" s="25" t="n">
        <x:v>100</x:v>
      </x:c>
      <x:c r="W271" s="20" t="inlineStr">
        <x:is>
          <x:t xml:space="preserve">A</x:t>
        </x:is>
      </x:c>
      <x:c r="X271" s="20" t="inlineStr">
        <x:is>
          <x:t xml:space="preserve">A</x:t>
        </x:is>
      </x:c>
      <x:c r="Y271" s="25" t="n">
        <x:v>39.2</x:v>
      </x:c>
      <x:c r="Z271" s="20" t="inlineStr">
        <x:is>
          <x:t xml:space="preserve">https://www.fldoe.org/file/18534/SchoolGrades25.xlsx</x:t>
        </x:is>
      </x:c>
    </x:row>
    <x:row r="272">
      <x:c r="A272" s="20" t="inlineStr">
        <x:is>
          <x:t xml:space="preserve">590121</x:t>
        </x:is>
      </x:c>
      <x:c r="B272" s="20" t="inlineStr">
        <x:is>
          <x:t xml:space="preserve">59</x:t>
        </x:is>
      </x:c>
      <x:c r="C272" s="20" t="inlineStr">
        <x:is>
          <x:t xml:space="preserve">SEMINOLE</x:t>
        </x:is>
      </x:c>
      <x:c r="D272" s="20" t="inlineStr">
        <x:is>
          <x:t xml:space="preserve">0121</x:t>
        </x:is>
      </x:c>
      <x:c r="E272" s="20" t="inlineStr">
        <x:is>
          <x:t xml:space="preserve">LAYER ELEMENTARY SCHOOL</x:t>
        </x:is>
      </x:c>
      <x:c r="F272" s="20" t="inlineStr">
        <x:is>
          <x:t xml:space="preserve">01</x:t>
        </x:is>
      </x:c>
      <x:c r="G272" s="20" t="inlineStr">
        <x:is>
          <x:t xml:space="preserve">Elementary</x:t>
        </x:is>
      </x:c>
      <x:c r="H272" s="20" t="inlineStr">
        <x:is>
          <x:t xml:space="preserve">NO</x:t>
        </x:is>
      </x:c>
      <x:c r="I272" s="20" t="inlineStr">
        <x:is>
          <x:t xml:space="preserve">NO</x:t>
        </x:is>
      </x:c>
      <x:c r="J272" s="20" t="inlineStr">
        <x:is>
          <x:t xml:space="preserve">N</x:t>
        </x:is>
      </x:c>
      <x:c r="K272" s="25" t="n">
        <x:v>75</x:v>
      </x:c>
      <x:c r="L272" s="25" t="n">
        <x:v>75</x:v>
      </x:c>
      <x:c r="M272" s="25" t="n">
        <x:v>71</x:v>
      </x:c>
      <x:c r="N272" s="25" t="n">
        <x:v>72</x:v>
      </x:c>
      <x:c r="O272" s="25" t="n">
        <x:v>64</x:v>
      </x:c>
      <x:c r="P272" s="25" t="n"/>
      <x:c r="Q272" s="25" t="n"/>
      <x:c r="R272" s="25" t="n"/>
      <x:c r="S272" s="20" t="n">
        <x:v>556</x:v>
      </x:c>
      <x:c r="T272" s="20" t="n">
        <x:v>8</x:v>
      </x:c>
      <x:c r="U272" s="25" t="n">
        <x:v>70</x:v>
      </x:c>
      <x:c r="V272" s="25" t="n">
        <x:v>100</x:v>
      </x:c>
      <x:c r="W272" s="20" t="inlineStr">
        <x:is>
          <x:t xml:space="preserve">A</x:t>
        </x:is>
      </x:c>
      <x:c r="X272" s="20" t="inlineStr">
        <x:is>
          <x:t xml:space="preserve">A</x:t>
        </x:is>
      </x:c>
      <x:c r="Y272" s="25" t="n">
        <x:v>50.5</x:v>
      </x:c>
      <x:c r="Z272" s="20" t="inlineStr">
        <x:is>
          <x:t xml:space="preserve">https://www.fldoe.org/file/18534/SchoolGrades25.xlsx</x:t>
        </x:is>
      </x:c>
    </x:row>
    <x:row r="273">
      <x:c r="A273" s="20" t="inlineStr">
        <x:is>
          <x:t xml:space="preserve">590131</x:t>
        </x:is>
      </x:c>
      <x:c r="B273" s="20" t="inlineStr">
        <x:is>
          <x:t xml:space="preserve">59</x:t>
        </x:is>
      </x:c>
      <x:c r="C273" s="20" t="inlineStr">
        <x:is>
          <x:t xml:space="preserve">SEMINOLE</x:t>
        </x:is>
      </x:c>
      <x:c r="D273" s="20" t="inlineStr">
        <x:is>
          <x:t xml:space="preserve">0131</x:t>
        </x:is>
      </x:c>
      <x:c r="E273" s="20" t="inlineStr">
        <x:is>
          <x:t xml:space="preserve">LAWTON ELEMENTARY SCHOOL</x:t>
        </x:is>
      </x:c>
      <x:c r="F273" s="20" t="inlineStr">
        <x:is>
          <x:t xml:space="preserve">01</x:t>
        </x:is>
      </x:c>
      <x:c r="G273" s="20" t="inlineStr">
        <x:is>
          <x:t xml:space="preserve">Elementary</x:t>
        </x:is>
      </x:c>
      <x:c r="H273" s="20" t="inlineStr">
        <x:is>
          <x:t xml:space="preserve">NO</x:t>
        </x:is>
      </x:c>
      <x:c r="I273" s="20" t="inlineStr">
        <x:is>
          <x:t xml:space="preserve">NO</x:t>
        </x:is>
      </x:c>
      <x:c r="J273" s="20" t="inlineStr">
        <x:is>
          <x:t xml:space="preserve">N</x:t>
        </x:is>
      </x:c>
      <x:c r="K273" s="25" t="n">
        <x:v>78</x:v>
      </x:c>
      <x:c r="L273" s="25" t="n">
        <x:v>58</x:v>
      </x:c>
      <x:c r="M273" s="25" t="n">
        <x:v>79</x:v>
      </x:c>
      <x:c r="N273" s="25" t="n">
        <x:v>69</x:v>
      </x:c>
      <x:c r="O273" s="25" t="n">
        <x:v>86</x:v>
      </x:c>
      <x:c r="P273" s="25" t="n"/>
      <x:c r="Q273" s="25" t="n"/>
      <x:c r="R273" s="25" t="n"/>
      <x:c r="S273" s="20" t="n">
        <x:v>541</x:v>
      </x:c>
      <x:c r="T273" s="20" t="n">
        <x:v>8</x:v>
      </x:c>
      <x:c r="U273" s="25" t="n">
        <x:v>68</x:v>
      </x:c>
      <x:c r="V273" s="25" t="n">
        <x:v>99</x:v>
      </x:c>
      <x:c r="W273" s="20" t="inlineStr">
        <x:is>
          <x:t xml:space="preserve">A</x:t>
        </x:is>
      </x:c>
      <x:c r="X273" s="20" t="inlineStr">
        <x:is>
          <x:t xml:space="preserve">A</x:t>
        </x:is>
      </x:c>
      <x:c r="Y273" s="25" t="n">
        <x:v>29.5</x:v>
      </x:c>
      <x:c r="Z273" s="20" t="inlineStr">
        <x:is>
          <x:t xml:space="preserve">https://www.fldoe.org/file/18534/SchoolGrades25.xlsx</x:t>
        </x:is>
      </x:c>
    </x:row>
    <x:row r="274">
      <x:c r="A274" s="20" t="inlineStr">
        <x:is>
          <x:t xml:space="preserve">590141</x:t>
        </x:is>
      </x:c>
      <x:c r="B274" s="20" t="inlineStr">
        <x:is>
          <x:t xml:space="preserve">59</x:t>
        </x:is>
      </x:c>
      <x:c r="C274" s="20" t="inlineStr">
        <x:is>
          <x:t xml:space="preserve">SEMINOLE</x:t>
        </x:is>
      </x:c>
      <x:c r="D274" s="20" t="inlineStr">
        <x:is>
          <x:t xml:space="preserve">0141</x:t>
        </x:is>
      </x:c>
      <x:c r="E274" s="20" t="inlineStr">
        <x:is>
          <x:t xml:space="preserve">PINE CREST ELEMENTARY SCHOOL</x:t>
        </x:is>
      </x:c>
      <x:c r="F274" s="20" t="inlineStr">
        <x:is>
          <x:t xml:space="preserve">01</x:t>
        </x:is>
      </x:c>
      <x:c r="G274" s="20" t="inlineStr">
        <x:is>
          <x:t xml:space="preserve">Elementary</x:t>
        </x:is>
      </x:c>
      <x:c r="H274" s="20" t="inlineStr">
        <x:is>
          <x:t xml:space="preserve">NO</x:t>
        </x:is>
      </x:c>
      <x:c r="I274" s="20" t="inlineStr">
        <x:is>
          <x:t xml:space="preserve">YES</x:t>
        </x:is>
      </x:c>
      <x:c r="J274" s="20" t="inlineStr">
        <x:is>
          <x:t xml:space="preserve">N</x:t>
        </x:is>
      </x:c>
      <x:c r="K274" s="25" t="n">
        <x:v>40</x:v>
      </x:c>
      <x:c r="L274" s="25" t="n">
        <x:v>51</x:v>
      </x:c>
      <x:c r="M274" s="25" t="n">
        <x:v>48</x:v>
      </x:c>
      <x:c r="N274" s="25" t="n">
        <x:v>48</x:v>
      </x:c>
      <x:c r="O274" s="25" t="n">
        <x:v>55</x:v>
      </x:c>
      <x:c r="P274" s="25" t="n"/>
      <x:c r="Q274" s="25" t="n"/>
      <x:c r="R274" s="25" t="n"/>
      <x:c r="S274" s="20" t="n">
        <x:v>372</x:v>
      </x:c>
      <x:c r="T274" s="20" t="n">
        <x:v>8</x:v>
      </x:c>
      <x:c r="U274" s="25" t="n">
        <x:v>47</x:v>
      </x:c>
      <x:c r="V274" s="25" t="n">
        <x:v>99</x:v>
      </x:c>
      <x:c r="W274" s="20" t="inlineStr">
        <x:is>
          <x:t xml:space="preserve">C</x:t>
        </x:is>
      </x:c>
      <x:c r="X274" s="20" t="inlineStr">
        <x:is>
          <x:t xml:space="preserve">C</x:t>
        </x:is>
      </x:c>
      <x:c r="Y274" s="25" t="n">
        <x:v>93.90000000000001</x:v>
      </x:c>
      <x:c r="Z274" s="20" t="inlineStr">
        <x:is>
          <x:t xml:space="preserve">https://www.fldoe.org/file/18534/SchoolGrades25.xlsx</x:t>
        </x:is>
      </x:c>
    </x:row>
    <x:row r="275">
      <x:c r="A275" s="20" t="inlineStr">
        <x:is>
          <x:t xml:space="preserve">590151</x:t>
        </x:is>
      </x:c>
      <x:c r="B275" s="20" t="inlineStr">
        <x:is>
          <x:t xml:space="preserve">59</x:t>
        </x:is>
      </x:c>
      <x:c r="C275" s="20" t="inlineStr">
        <x:is>
          <x:t xml:space="preserve">SEMINOLE</x:t>
        </x:is>
      </x:c>
      <x:c r="D275" s="20" t="inlineStr">
        <x:is>
          <x:t xml:space="preserve">0151</x:t>
        </x:is>
      </x:c>
      <x:c r="E275" s="20" t="inlineStr">
        <x:is>
          <x:t xml:space="preserve">SANFORD MIDDLE SCHOOL</x:t>
        </x:is>
      </x:c>
      <x:c r="F275" s="20" t="inlineStr">
        <x:is>
          <x:t xml:space="preserve">02</x:t>
        </x:is>
      </x:c>
      <x:c r="G275" s="20" t="inlineStr">
        <x:is>
          <x:t xml:space="preserve">Middle/Junior</x:t>
        </x:is>
      </x:c>
      <x:c r="H275" s="20" t="inlineStr">
        <x:is>
          <x:t xml:space="preserve">NO</x:t>
        </x:is>
      </x:c>
      <x:c r="I275" s="20" t="inlineStr">
        <x:is>
          <x:t xml:space="preserve">NO</x:t>
        </x:is>
      </x:c>
      <x:c r="J275" s="20" t="inlineStr">
        <x:is>
          <x:t xml:space="preserve">N</x:t>
        </x:is>
      </x:c>
      <x:c r="K275" s="25" t="n">
        <x:v>72</x:v>
      </x:c>
      <x:c r="L275" s="25" t="n">
        <x:v>69</x:v>
      </x:c>
      <x:c r="M275" s="25" t="n">
        <x:v>80</x:v>
      </x:c>
      <x:c r="N275" s="25" t="n">
        <x:v>74</x:v>
      </x:c>
      <x:c r="O275" s="25" t="n">
        <x:v>70</x:v>
      </x:c>
      <x:c r="P275" s="25" t="n">
        <x:v>84</x:v>
      </x:c>
      <x:c r="Q275" s="25" t="n"/>
      <x:c r="R275" s="25" t="n"/>
      <x:c r="S275" s="20" t="n">
        <x:v>662</x:v>
      </x:c>
      <x:c r="T275" s="20" t="n">
        <x:v>9</x:v>
      </x:c>
      <x:c r="U275" s="25" t="n">
        <x:v>74</x:v>
      </x:c>
      <x:c r="V275" s="25" t="n">
        <x:v>99</x:v>
      </x:c>
      <x:c r="W275" s="20" t="inlineStr">
        <x:is>
          <x:t xml:space="preserve">A</x:t>
        </x:is>
      </x:c>
      <x:c r="X275" s="20" t="inlineStr">
        <x:is>
          <x:t xml:space="preserve">A</x:t>
        </x:is>
      </x:c>
      <x:c r="Y275" s="25" t="n">
        <x:v>45.8</x:v>
      </x:c>
      <x:c r="Z275" s="20" t="inlineStr">
        <x:is>
          <x:t xml:space="preserve">https://www.fldoe.org/file/18534/SchoolGrades25.xlsx</x:t>
        </x:is>
      </x:c>
    </x:row>
    <x:row r="276">
      <x:c r="A276" s="20" t="inlineStr">
        <x:is>
          <x:t xml:space="preserve">590171</x:t>
        </x:is>
      </x:c>
      <x:c r="B276" s="20" t="inlineStr">
        <x:is>
          <x:t xml:space="preserve">59</x:t>
        </x:is>
      </x:c>
      <x:c r="C276" s="20" t="inlineStr">
        <x:is>
          <x:t xml:space="preserve">SEMINOLE</x:t>
        </x:is>
      </x:c>
      <x:c r="D276" s="20" t="inlineStr">
        <x:is>
          <x:t xml:space="preserve">0171</x:t>
        </x:is>
      </x:c>
      <x:c r="E276" s="20" t="inlineStr">
        <x:is>
          <x:t xml:space="preserve">WALKER ELEMENTARY SCHOOL</x:t>
        </x:is>
      </x:c>
      <x:c r="F276" s="20" t="inlineStr">
        <x:is>
          <x:t xml:space="preserve">01</x:t>
        </x:is>
      </x:c>
      <x:c r="G276" s="20" t="inlineStr">
        <x:is>
          <x:t xml:space="preserve">Elementary</x:t>
        </x:is>
      </x:c>
      <x:c r="H276" s="20" t="inlineStr">
        <x:is>
          <x:t xml:space="preserve">NO</x:t>
        </x:is>
      </x:c>
      <x:c r="I276" s="20" t="inlineStr">
        <x:is>
          <x:t xml:space="preserve">NO</x:t>
        </x:is>
      </x:c>
      <x:c r="J276" s="20" t="inlineStr">
        <x:is>
          <x:t xml:space="preserve">N</x:t>
        </x:is>
      </x:c>
      <x:c r="K276" s="25" t="n">
        <x:v>74</x:v>
      </x:c>
      <x:c r="L276" s="25" t="n">
        <x:v>66</x:v>
      </x:c>
      <x:c r="M276" s="25" t="n">
        <x:v>80</x:v>
      </x:c>
      <x:c r="N276" s="25" t="n">
        <x:v>75</x:v>
      </x:c>
      <x:c r="O276" s="25" t="n">
        <x:v>83</x:v>
      </x:c>
      <x:c r="P276" s="25" t="n"/>
      <x:c r="Q276" s="25" t="n"/>
      <x:c r="R276" s="25" t="n"/>
      <x:c r="S276" s="20" t="n">
        <x:v>568</x:v>
      </x:c>
      <x:c r="T276" s="20" t="n">
        <x:v>8</x:v>
      </x:c>
      <x:c r="U276" s="25" t="n">
        <x:v>71</x:v>
      </x:c>
      <x:c r="V276" s="25" t="n">
        <x:v>99</x:v>
      </x:c>
      <x:c r="W276" s="20" t="inlineStr">
        <x:is>
          <x:t xml:space="preserve">A</x:t>
        </x:is>
      </x:c>
      <x:c r="X276" s="20" t="inlineStr">
        <x:is>
          <x:t xml:space="preserve">A</x:t>
        </x:is>
      </x:c>
      <x:c r="Y276" s="25" t="n">
        <x:v>24.8</x:v>
      </x:c>
      <x:c r="Z276" s="20" t="inlineStr">
        <x:is>
          <x:t xml:space="preserve">https://www.fldoe.org/file/18534/SchoolGrades25.xlsx</x:t>
        </x:is>
      </x:c>
    </x:row>
    <x:row r="277">
      <x:c r="A277" s="20" t="inlineStr">
        <x:is>
          <x:t xml:space="preserve">590181</x:t>
        </x:is>
      </x:c>
      <x:c r="B277" s="20" t="inlineStr">
        <x:is>
          <x:t xml:space="preserve">59</x:t>
        </x:is>
      </x:c>
      <x:c r="C277" s="20" t="inlineStr">
        <x:is>
          <x:t xml:space="preserve">SEMINOLE</x:t>
        </x:is>
      </x:c>
      <x:c r="D277" s="20" t="inlineStr">
        <x:is>
          <x:t xml:space="preserve">0181</x:t>
        </x:is>
      </x:c>
      <x:c r="E277" s="20" t="inlineStr">
        <x:is>
          <x:t xml:space="preserve">SEMINOLE HIGH SCHOOL</x:t>
        </x:is>
      </x:c>
      <x:c r="F277" s="20" t="inlineStr">
        <x:is>
          <x:t xml:space="preserve">03</x:t>
        </x:is>
      </x:c>
      <x:c r="G277" s="20" t="inlineStr">
        <x:is>
          <x:t xml:space="preserve">Senior High</x:t>
        </x:is>
      </x:c>
      <x:c r="H277" s="20" t="inlineStr">
        <x:is>
          <x:t xml:space="preserve">NO</x:t>
        </x:is>
      </x:c>
      <x:c r="I277" s="20" t="inlineStr">
        <x:is>
          <x:t xml:space="preserve">NO</x:t>
        </x:is>
      </x:c>
      <x:c r="J277" s="20" t="inlineStr">
        <x:is>
          <x:t xml:space="preserve">N</x:t>
        </x:is>
      </x:c>
      <x:c r="K277" s="25" t="n">
        <x:v>59</x:v>
      </x:c>
      <x:c r="L277" s="25" t="n">
        <x:v>62</x:v>
      </x:c>
      <x:c r="M277" s="25" t="n">
        <x:v>43</x:v>
      </x:c>
      <x:c r="N277" s="25" t="n">
        <x:v>49</x:v>
      </x:c>
      <x:c r="O277" s="25" t="n">
        <x:v>68</x:v>
      </x:c>
      <x:c r="P277" s="25" t="n">
        <x:v>74</x:v>
      </x:c>
      <x:c r="Q277" s="25" t="n">
        <x:v>88</x:v>
      </x:c>
      <x:c r="R277" s="25" t="n">
        <x:v>56</x:v>
      </x:c>
      <x:c r="S277" s="20" t="n">
        <x:v>616</x:v>
      </x:c>
      <x:c r="T277" s="20" t="n">
        <x:v>10</x:v>
      </x:c>
      <x:c r="U277" s="25" t="n">
        <x:v>62</x:v>
      </x:c>
      <x:c r="V277" s="25" t="n">
        <x:v>95</x:v>
      </x:c>
      <x:c r="W277" s="20" t="inlineStr">
        <x:is>
          <x:t xml:space="preserve">B</x:t>
        </x:is>
      </x:c>
      <x:c r="X277" s="20" t="inlineStr">
        <x:is>
          <x:t xml:space="preserve">C</x:t>
        </x:is>
      </x:c>
      <x:c r="Y277" s="25" t="n">
        <x:v>53.9</x:v>
      </x:c>
      <x:c r="Z277" s="20" t="inlineStr">
        <x:is>
          <x:t xml:space="preserve">https://www.fldoe.org/file/18534/SchoolGrades25.xlsx</x:t>
        </x:is>
      </x:c>
    </x:row>
    <x:row r="278">
      <x:c r="A278" s="20" t="inlineStr">
        <x:is>
          <x:t xml:space="preserve">590182</x:t>
        </x:is>
      </x:c>
      <x:c r="B278" s="20" t="inlineStr">
        <x:is>
          <x:t xml:space="preserve">59</x:t>
        </x:is>
      </x:c>
      <x:c r="C278" s="20" t="inlineStr">
        <x:is>
          <x:t xml:space="preserve">SEMINOLE</x:t>
        </x:is>
      </x:c>
      <x:c r="D278" s="20" t="inlineStr">
        <x:is>
          <x:t xml:space="preserve">0182</x:t>
        </x:is>
      </x:c>
      <x:c r="E278" s="20" t="inlineStr">
        <x:is>
          <x:t xml:space="preserve">MILLENNIUM MIDDLE SCHOOL</x:t>
        </x:is>
      </x:c>
      <x:c r="F278" s="20" t="inlineStr">
        <x:is>
          <x:t xml:space="preserve">02</x:t>
        </x:is>
      </x:c>
      <x:c r="G278" s="20" t="inlineStr">
        <x:is>
          <x:t xml:space="preserve">Middle/Junior</x:t>
        </x:is>
      </x:c>
      <x:c r="H278" s="20" t="inlineStr">
        <x:is>
          <x:t xml:space="preserve">NO</x:t>
        </x:is>
      </x:c>
      <x:c r="I278" s="20" t="inlineStr">
        <x:is>
          <x:t xml:space="preserve">YES</x:t>
        </x:is>
      </x:c>
      <x:c r="J278" s="20" t="inlineStr">
        <x:is>
          <x:t xml:space="preserve">N</x:t>
        </x:is>
      </x:c>
      <x:c r="K278" s="25" t="n">
        <x:v>47</x:v>
      </x:c>
      <x:c r="L278" s="25" t="n">
        <x:v>53</x:v>
      </x:c>
      <x:c r="M278" s="25" t="n">
        <x:v>49</x:v>
      </x:c>
      <x:c r="N278" s="25" t="n">
        <x:v>46</x:v>
      </x:c>
      <x:c r="O278" s="25" t="n">
        <x:v>46</x:v>
      </x:c>
      <x:c r="P278" s="25" t="n">
        <x:v>63</x:v>
      </x:c>
      <x:c r="Q278" s="25" t="n"/>
      <x:c r="R278" s="25" t="n"/>
      <x:c r="S278" s="20" t="n">
        <x:v>466</x:v>
      </x:c>
      <x:c r="T278" s="20" t="n">
        <x:v>9</x:v>
      </x:c>
      <x:c r="U278" s="25" t="n">
        <x:v>52</x:v>
      </x:c>
      <x:c r="V278" s="25" t="n">
        <x:v>96</x:v>
      </x:c>
      <x:c r="W278" s="20" t="inlineStr">
        <x:is>
          <x:t xml:space="preserve">C</x:t>
        </x:is>
      </x:c>
      <x:c r="X278" s="20" t="inlineStr">
        <x:is>
          <x:t xml:space="preserve">C</x:t>
        </x:is>
      </x:c>
      <x:c r="Y278" s="25" t="n">
        <x:v>70</x:v>
      </x:c>
      <x:c r="Z278" s="20" t="inlineStr">
        <x:is>
          <x:t xml:space="preserve">https://www.fldoe.org/file/18534/SchoolGrades25.xlsx</x:t>
        </x:is>
      </x:c>
    </x:row>
    <x:row r="279">
      <x:c r="A279" s="20" t="inlineStr">
        <x:is>
          <x:t xml:space="preserve">590201</x:t>
        </x:is>
      </x:c>
      <x:c r="B279" s="20" t="inlineStr">
        <x:is>
          <x:t xml:space="preserve">59</x:t>
        </x:is>
      </x:c>
      <x:c r="C279" s="20" t="inlineStr">
        <x:is>
          <x:t xml:space="preserve">SEMINOLE</x:t>
        </x:is>
      </x:c>
      <x:c r="D279" s="20" t="inlineStr">
        <x:is>
          <x:t xml:space="preserve">0201</x:t>
        </x:is>
      </x:c>
      <x:c r="E279" s="20" t="inlineStr">
        <x:is>
          <x:t xml:space="preserve">SOUTH SEMINOLE MIDDLE SCHOOL</x:t>
        </x:is>
      </x:c>
      <x:c r="F279" s="20" t="inlineStr">
        <x:is>
          <x:t xml:space="preserve">02</x:t>
        </x:is>
      </x:c>
      <x:c r="G279" s="20" t="inlineStr">
        <x:is>
          <x:t xml:space="preserve">Middle/Junior</x:t>
        </x:is>
      </x:c>
      <x:c r="H279" s="20" t="inlineStr">
        <x:is>
          <x:t xml:space="preserve">NO</x:t>
        </x:is>
      </x:c>
      <x:c r="I279" s="20" t="inlineStr">
        <x:is>
          <x:t xml:space="preserve">YES</x:t>
        </x:is>
      </x:c>
      <x:c r="J279" s="20" t="inlineStr">
        <x:is>
          <x:t xml:space="preserve">N</x:t>
        </x:is>
      </x:c>
      <x:c r="K279" s="25" t="n">
        <x:v>57</x:v>
      </x:c>
      <x:c r="L279" s="25" t="n">
        <x:v>58</x:v>
      </x:c>
      <x:c r="M279" s="25" t="n">
        <x:v>50</x:v>
      </x:c>
      <x:c r="N279" s="25" t="n">
        <x:v>50</x:v>
      </x:c>
      <x:c r="O279" s="25" t="n">
        <x:v>44</x:v>
      </x:c>
      <x:c r="P279" s="25" t="n">
        <x:v>76</x:v>
      </x:c>
      <x:c r="Q279" s="25" t="n"/>
      <x:c r="R279" s="25" t="n"/>
      <x:c r="S279" s="20" t="n">
        <x:v>501</x:v>
      </x:c>
      <x:c r="T279" s="20" t="n">
        <x:v>9</x:v>
      </x:c>
      <x:c r="U279" s="25" t="n">
        <x:v>56</x:v>
      </x:c>
      <x:c r="V279" s="25" t="n">
        <x:v>97</x:v>
      </x:c>
      <x:c r="W279" s="20" t="inlineStr">
        <x:is>
          <x:t xml:space="preserve">C</x:t>
        </x:is>
      </x:c>
      <x:c r="X279" s="20" t="inlineStr">
        <x:is>
          <x:t xml:space="preserve">B</x:t>
        </x:is>
      </x:c>
      <x:c r="Y279" s="25" t="n">
        <x:v>72.3</x:v>
      </x:c>
      <x:c r="Z279" s="20" t="inlineStr">
        <x:is>
          <x:t xml:space="preserve">https://www.fldoe.org/file/18534/SchoolGrades25.xlsx</x:t>
        </x:is>
      </x:c>
    </x:row>
    <x:row r="280">
      <x:c r="A280" s="20" t="inlineStr">
        <x:is>
          <x:t xml:space="preserve">590202</x:t>
        </x:is>
      </x:c>
      <x:c r="B280" s="20" t="inlineStr">
        <x:is>
          <x:t xml:space="preserve">59</x:t>
        </x:is>
      </x:c>
      <x:c r="C280" s="20" t="inlineStr">
        <x:is>
          <x:t xml:space="preserve">SEMINOLE</x:t>
        </x:is>
      </x:c>
      <x:c r="D280" s="20" t="inlineStr">
        <x:is>
          <x:t xml:space="preserve">0202</x:t>
        </x:is>
      </x:c>
      <x:c r="E280" s="20" t="inlineStr">
        <x:is>
          <x:t xml:space="preserve">CASSELBERRY ELEMENTARY SCHOOL</x:t>
        </x:is>
      </x:c>
      <x:c r="F280" s="20" t="inlineStr">
        <x:is>
          <x:t xml:space="preserve">01</x:t>
        </x:is>
      </x:c>
      <x:c r="G280" s="20" t="inlineStr">
        <x:is>
          <x:t xml:space="preserve">Elementary</x:t>
        </x:is>
      </x:c>
      <x:c r="H280" s="20" t="inlineStr">
        <x:is>
          <x:t xml:space="preserve">NO</x:t>
        </x:is>
      </x:c>
      <x:c r="I280" s="20" t="inlineStr">
        <x:is>
          <x:t xml:space="preserve">YES</x:t>
        </x:is>
      </x:c>
      <x:c r="J280" s="20" t="inlineStr">
        <x:is>
          <x:t xml:space="preserve">N</x:t>
        </x:is>
      </x:c>
      <x:c r="K280" s="25" t="n">
        <x:v>68</x:v>
      </x:c>
      <x:c r="L280" s="25" t="n">
        <x:v>63</x:v>
      </x:c>
      <x:c r="M280" s="25" t="n">
        <x:v>77</x:v>
      </x:c>
      <x:c r="N280" s="25" t="n">
        <x:v>70</x:v>
      </x:c>
      <x:c r="O280" s="25" t="n">
        <x:v>59</x:v>
      </x:c>
      <x:c r="P280" s="25" t="n"/>
      <x:c r="Q280" s="25" t="n"/>
      <x:c r="R280" s="25" t="n"/>
      <x:c r="S280" s="20" t="n">
        <x:v>539</x:v>
      </x:c>
      <x:c r="T280" s="20" t="n">
        <x:v>8</x:v>
      </x:c>
      <x:c r="U280" s="25" t="n">
        <x:v>67</x:v>
      </x:c>
      <x:c r="V280" s="25" t="n">
        <x:v>98</x:v>
      </x:c>
      <x:c r="W280" s="20" t="inlineStr">
        <x:is>
          <x:t xml:space="preserve">A</x:t>
        </x:is>
      </x:c>
      <x:c r="X280" s="20" t="inlineStr">
        <x:is>
          <x:t xml:space="preserve">A</x:t>
        </x:is>
      </x:c>
      <x:c r="Y280" s="25" t="n">
        <x:v>69.7</x:v>
      </x:c>
      <x:c r="Z280" s="20" t="inlineStr">
        <x:is>
          <x:t xml:space="preserve">https://www.fldoe.org/file/18534/SchoolGrades25.xlsx</x:t>
        </x:is>
      </x:c>
    </x:row>
    <x:row r="281">
      <x:c r="A281" s="20" t="inlineStr">
        <x:is>
          <x:t xml:space="preserve">590231</x:t>
        </x:is>
      </x:c>
      <x:c r="B281" s="20" t="inlineStr">
        <x:is>
          <x:t xml:space="preserve">59</x:t>
        </x:is>
      </x:c>
      <x:c r="C281" s="20" t="inlineStr">
        <x:is>
          <x:t xml:space="preserve">SEMINOLE</x:t>
        </x:is>
      </x:c>
      <x:c r="D281" s="20" t="inlineStr">
        <x:is>
          <x:t xml:space="preserve">0231</x:t>
        </x:is>
      </x:c>
      <x:c r="E281" s="20" t="inlineStr">
        <x:is>
          <x:t xml:space="preserve">WILSON ELEMENTARY SCHOOL</x:t>
        </x:is>
      </x:c>
      <x:c r="F281" s="20" t="inlineStr">
        <x:is>
          <x:t xml:space="preserve">01</x:t>
        </x:is>
      </x:c>
      <x:c r="G281" s="20" t="inlineStr">
        <x:is>
          <x:t xml:space="preserve">Elementary</x:t>
        </x:is>
      </x:c>
      <x:c r="H281" s="20" t="inlineStr">
        <x:is>
          <x:t xml:space="preserve">NO</x:t>
        </x:is>
      </x:c>
      <x:c r="I281" s="20" t="inlineStr">
        <x:is>
          <x:t xml:space="preserve">NO</x:t>
        </x:is>
      </x:c>
      <x:c r="J281" s="20" t="inlineStr">
        <x:is>
          <x:t xml:space="preserve">N</x:t>
        </x:is>
      </x:c>
      <x:c r="K281" s="25" t="n">
        <x:v>78</x:v>
      </x:c>
      <x:c r="L281" s="25" t="n">
        <x:v>68</x:v>
      </x:c>
      <x:c r="M281" s="25" t="n">
        <x:v>81</x:v>
      </x:c>
      <x:c r="N281" s="25" t="n">
        <x:v>69</x:v>
      </x:c>
      <x:c r="O281" s="25" t="n">
        <x:v>76</x:v>
      </x:c>
      <x:c r="P281" s="25" t="n"/>
      <x:c r="Q281" s="25" t="n"/>
      <x:c r="R281" s="25" t="n"/>
      <x:c r="S281" s="20" t="n">
        <x:v>561</x:v>
      </x:c>
      <x:c r="T281" s="20" t="n">
        <x:v>8</x:v>
      </x:c>
      <x:c r="U281" s="25" t="n">
        <x:v>70</x:v>
      </x:c>
      <x:c r="V281" s="25" t="n">
        <x:v>100</x:v>
      </x:c>
      <x:c r="W281" s="20" t="inlineStr">
        <x:is>
          <x:t xml:space="preserve">A</x:t>
        </x:is>
      </x:c>
      <x:c r="X281" s="20" t="inlineStr">
        <x:is>
          <x:t xml:space="preserve">A</x:t>
        </x:is>
      </x:c>
      <x:c r="Y281" s="25" t="n">
        <x:v>25.8</x:v>
      </x:c>
      <x:c r="Z281" s="20" t="inlineStr">
        <x:is>
          <x:t xml:space="preserve">https://www.fldoe.org/file/18534/SchoolGrades25.xlsx</x:t>
        </x:is>
      </x:c>
    </x:row>
    <x:row r="282">
      <x:c r="A282" s="20" t="inlineStr">
        <x:is>
          <x:t xml:space="preserve">590251</x:t>
        </x:is>
      </x:c>
      <x:c r="B282" s="20" t="inlineStr">
        <x:is>
          <x:t xml:space="preserve">59</x:t>
        </x:is>
      </x:c>
      <x:c r="C282" s="20" t="inlineStr">
        <x:is>
          <x:t xml:space="preserve">SEMINOLE</x:t>
        </x:is>
      </x:c>
      <x:c r="D282" s="20" t="inlineStr">
        <x:is>
          <x:t xml:space="preserve">0251</x:t>
        </x:is>
      </x:c>
      <x:c r="E282" s="20" t="inlineStr">
        <x:is>
          <x:t xml:space="preserve">CROOMS ACADEMY OF INFORMATION TECHNOLOGY</x:t>
        </x:is>
      </x:c>
      <x:c r="F282" s="20" t="inlineStr">
        <x:is>
          <x:t xml:space="preserve">03</x:t>
        </x:is>
      </x:c>
      <x:c r="G282" s="20" t="inlineStr">
        <x:is>
          <x:t xml:space="preserve">Senior High</x:t>
        </x:is>
      </x:c>
      <x:c r="H282" s="20" t="inlineStr">
        <x:is>
          <x:t xml:space="preserve">NO</x:t>
        </x:is>
      </x:c>
      <x:c r="I282" s="20" t="inlineStr">
        <x:is>
          <x:t xml:space="preserve">NO</x:t>
        </x:is>
      </x:c>
      <x:c r="J282" s="20" t="inlineStr">
        <x:is>
          <x:t xml:space="preserve">N</x:t>
        </x:is>
      </x:c>
      <x:c r="K282" s="25" t="n">
        <x:v>80</x:v>
      </x:c>
      <x:c r="L282" s="25" t="n">
        <x:v>74</x:v>
      </x:c>
      <x:c r="M282" s="25" t="n">
        <x:v>66</x:v>
      </x:c>
      <x:c r="N282" s="25" t="n">
        <x:v>62</x:v>
      </x:c>
      <x:c r="O282" s="25" t="n">
        <x:v>93</x:v>
      </x:c>
      <x:c r="P282" s="25" t="n">
        <x:v>91</x:v>
      </x:c>
      <x:c r="Q282" s="25" t="n">
        <x:v>100</x:v>
      </x:c>
      <x:c r="R282" s="25" t="n">
        <x:v>83</x:v>
      </x:c>
      <x:c r="S282" s="20" t="n">
        <x:v>782</x:v>
      </x:c>
      <x:c r="T282" s="20" t="n">
        <x:v>10</x:v>
      </x:c>
      <x:c r="U282" s="25" t="n">
        <x:v>78</x:v>
      </x:c>
      <x:c r="V282" s="25" t="n">
        <x:v>99</x:v>
      </x:c>
      <x:c r="W282" s="20" t="inlineStr">
        <x:is>
          <x:t xml:space="preserve">A</x:t>
        </x:is>
      </x:c>
      <x:c r="X282" s="20" t="inlineStr">
        <x:is>
          <x:t xml:space="preserve">A</x:t>
        </x:is>
      </x:c>
      <x:c r="Y282" s="25" t="n">
        <x:v>42.2</x:v>
      </x:c>
      <x:c r="Z282" s="20" t="inlineStr">
        <x:is>
          <x:t xml:space="preserve">https://www.fldoe.org/file/18534/SchoolGrades25.xlsx</x:t>
        </x:is>
      </x:c>
    </x:row>
    <x:row r="283">
      <x:c r="A283" s="20" t="inlineStr">
        <x:is>
          <x:t xml:space="preserve">590271</x:t>
        </x:is>
      </x:c>
      <x:c r="B283" s="20" t="inlineStr">
        <x:is>
          <x:t xml:space="preserve">59</x:t>
        </x:is>
      </x:c>
      <x:c r="C283" s="20" t="inlineStr">
        <x:is>
          <x:t xml:space="preserve">SEMINOLE</x:t>
        </x:is>
      </x:c>
      <x:c r="D283" s="20" t="inlineStr">
        <x:is>
          <x:t xml:space="preserve">0271</x:t>
        </x:is>
      </x:c>
      <x:c r="E283" s="20" t="inlineStr">
        <x:is>
          <x:t xml:space="preserve">GOLDSBORO ELEMENTARY MAGNET</x:t>
        </x:is>
      </x:c>
      <x:c r="F283" s="20" t="inlineStr">
        <x:is>
          <x:t xml:space="preserve">01</x:t>
        </x:is>
      </x:c>
      <x:c r="G283" s="20" t="inlineStr">
        <x:is>
          <x:t xml:space="preserve">Elementary</x:t>
        </x:is>
      </x:c>
      <x:c r="H283" s="20" t="inlineStr">
        <x:is>
          <x:t xml:space="preserve">NO</x:t>
        </x:is>
      </x:c>
      <x:c r="I283" s="20" t="inlineStr">
        <x:is>
          <x:t xml:space="preserve">NO</x:t>
        </x:is>
      </x:c>
      <x:c r="J283" s="20" t="inlineStr">
        <x:is>
          <x:t xml:space="preserve">N</x:t>
        </x:is>
      </x:c>
      <x:c r="K283" s="25" t="n">
        <x:v>78</x:v>
      </x:c>
      <x:c r="L283" s="25" t="n">
        <x:v>72</x:v>
      </x:c>
      <x:c r="M283" s="25" t="n">
        <x:v>76</x:v>
      </x:c>
      <x:c r="N283" s="25" t="n">
        <x:v>80</x:v>
      </x:c>
      <x:c r="O283" s="25" t="n">
        <x:v>90</x:v>
      </x:c>
      <x:c r="P283" s="25" t="n"/>
      <x:c r="Q283" s="25" t="n"/>
      <x:c r="R283" s="25" t="n"/>
      <x:c r="S283" s="20" t="n">
        <x:v>595</x:v>
      </x:c>
      <x:c r="T283" s="20" t="n">
        <x:v>8</x:v>
      </x:c>
      <x:c r="U283" s="25" t="n">
        <x:v>74</x:v>
      </x:c>
      <x:c r="V283" s="25" t="n">
        <x:v>100</x:v>
      </x:c>
      <x:c r="W283" s="20" t="inlineStr">
        <x:is>
          <x:t xml:space="preserve">A</x:t>
        </x:is>
      </x:c>
      <x:c r="X283" s="20" t="inlineStr">
        <x:is>
          <x:t xml:space="preserve">A</x:t>
        </x:is>
      </x:c>
      <x:c r="Y283" s="25" t="n">
        <x:v>31.1</x:v>
      </x:c>
      <x:c r="Z283" s="20" t="inlineStr">
        <x:is>
          <x:t xml:space="preserve">https://www.fldoe.org/file/18534/SchoolGrades25.xlsx</x:t>
        </x:is>
      </x:c>
    </x:row>
    <x:row r="284">
      <x:c r="A284" s="20" t="inlineStr">
        <x:is>
          <x:t xml:space="preserve">590291</x:t>
        </x:is>
      </x:c>
      <x:c r="B284" s="20" t="inlineStr">
        <x:is>
          <x:t xml:space="preserve">59</x:t>
        </x:is>
      </x:c>
      <x:c r="C284" s="20" t="inlineStr">
        <x:is>
          <x:t xml:space="preserve">SEMINOLE</x:t>
        </x:is>
      </x:c>
      <x:c r="D284" s="20" t="inlineStr">
        <x:is>
          <x:t xml:space="preserve">0291</x:t>
        </x:is>
      </x:c>
      <x:c r="E284" s="20" t="inlineStr">
        <x:is>
          <x:t xml:space="preserve">JACKSON HEIGHTS MIDDLE SCHOOL</x:t>
        </x:is>
      </x:c>
      <x:c r="F284" s="20" t="inlineStr">
        <x:is>
          <x:t xml:space="preserve">02</x:t>
        </x:is>
      </x:c>
      <x:c r="G284" s="20" t="inlineStr">
        <x:is>
          <x:t xml:space="preserve">Middle/Junior</x:t>
        </x:is>
      </x:c>
      <x:c r="H284" s="20" t="inlineStr">
        <x:is>
          <x:t xml:space="preserve">NO</x:t>
        </x:is>
      </x:c>
      <x:c r="I284" s="20" t="inlineStr">
        <x:is>
          <x:t xml:space="preserve">NO</x:t>
        </x:is>
      </x:c>
      <x:c r="J284" s="20" t="inlineStr">
        <x:is>
          <x:t xml:space="preserve">N</x:t>
        </x:is>
      </x:c>
      <x:c r="K284" s="25" t="n">
        <x:v>72</x:v>
      </x:c>
      <x:c r="L284" s="25" t="n">
        <x:v>63</x:v>
      </x:c>
      <x:c r="M284" s="25" t="n">
        <x:v>81</x:v>
      </x:c>
      <x:c r="N284" s="25" t="n">
        <x:v>72</x:v>
      </x:c>
      <x:c r="O284" s="25" t="n">
        <x:v>75</x:v>
      </x:c>
      <x:c r="P284" s="25" t="n">
        <x:v>89</x:v>
      </x:c>
      <x:c r="Q284" s="25" t="n"/>
      <x:c r="R284" s="25" t="n"/>
      <x:c r="S284" s="20" t="n">
        <x:v>664</x:v>
      </x:c>
      <x:c r="T284" s="20" t="n">
        <x:v>9</x:v>
      </x:c>
      <x:c r="U284" s="25" t="n">
        <x:v>74</x:v>
      </x:c>
      <x:c r="V284" s="25" t="n">
        <x:v>98</x:v>
      </x:c>
      <x:c r="W284" s="20" t="inlineStr">
        <x:is>
          <x:t xml:space="preserve">A</x:t>
        </x:is>
      </x:c>
      <x:c r="X284" s="20" t="inlineStr">
        <x:is>
          <x:t xml:space="preserve">A</x:t>
        </x:is>
      </x:c>
      <x:c r="Y284" s="25" t="n">
        <x:v>33.3</x:v>
      </x:c>
      <x:c r="Z284" s="20" t="inlineStr">
        <x:is>
          <x:t xml:space="preserve">https://www.fldoe.org/file/18534/SchoolGrades25.xlsx</x:t>
        </x:is>
      </x:c>
    </x:row>
    <x:row r="285">
      <x:c r="A285" s="20" t="inlineStr">
        <x:is>
          <x:t xml:space="preserve">590301</x:t>
        </x:is>
      </x:c>
      <x:c r="B285" s="20" t="inlineStr">
        <x:is>
          <x:t xml:space="preserve">59</x:t>
        </x:is>
      </x:c>
      <x:c r="C285" s="20" t="inlineStr">
        <x:is>
          <x:t xml:space="preserve">SEMINOLE</x:t>
        </x:is>
      </x:c>
      <x:c r="D285" s="20" t="inlineStr">
        <x:is>
          <x:t xml:space="preserve">0301</x:t>
        </x:is>
      </x:c>
      <x:c r="E285" s="20" t="inlineStr">
        <x:is>
          <x:t xml:space="preserve">MIDWAY ELEMENTARY SCHOOL</x:t>
        </x:is>
      </x:c>
      <x:c r="F285" s="20" t="inlineStr">
        <x:is>
          <x:t xml:space="preserve">01</x:t>
        </x:is>
      </x:c>
      <x:c r="G285" s="20" t="inlineStr">
        <x:is>
          <x:t xml:space="preserve">Elementary</x:t>
        </x:is>
      </x:c>
      <x:c r="H285" s="20" t="inlineStr">
        <x:is>
          <x:t xml:space="preserve">NO</x:t>
        </x:is>
      </x:c>
      <x:c r="I285" s="20" t="inlineStr">
        <x:is>
          <x:t xml:space="preserve">YES</x:t>
        </x:is>
      </x:c>
      <x:c r="J285" s="20" t="inlineStr">
        <x:is>
          <x:t xml:space="preserve">N</x:t>
        </x:is>
      </x:c>
      <x:c r="K285" s="25" t="n">
        <x:v>54</x:v>
      </x:c>
      <x:c r="L285" s="25" t="n">
        <x:v>50</x:v>
      </x:c>
      <x:c r="M285" s="25" t="n">
        <x:v>53</x:v>
      </x:c>
      <x:c r="N285" s="25" t="n">
        <x:v>57</x:v>
      </x:c>
      <x:c r="O285" s="25" t="n">
        <x:v>43</x:v>
      </x:c>
      <x:c r="P285" s="25" t="n"/>
      <x:c r="Q285" s="25" t="n"/>
      <x:c r="R285" s="25" t="n"/>
      <x:c r="S285" s="20" t="n">
        <x:v>404</x:v>
      </x:c>
      <x:c r="T285" s="20" t="n">
        <x:v>8</x:v>
      </x:c>
      <x:c r="U285" s="25" t="n">
        <x:v>51</x:v>
      </x:c>
      <x:c r="V285" s="25" t="n">
        <x:v>100</x:v>
      </x:c>
      <x:c r="W285" s="20" t="inlineStr">
        <x:is>
          <x:t xml:space="preserve">C</x:t>
        </x:is>
      </x:c>
      <x:c r="X285" s="20" t="inlineStr">
        <x:is>
          <x:t xml:space="preserve">C</x:t>
        </x:is>
      </x:c>
      <x:c r="Y285" s="25" t="n">
        <x:v>85.90000000000001</x:v>
      </x:c>
      <x:c r="Z285" s="20" t="inlineStr">
        <x:is>
          <x:t xml:space="preserve">https://www.fldoe.org/file/18534/SchoolGrades25.xlsx</x:t>
        </x:is>
      </x:c>
    </x:row>
    <x:row r="286">
      <x:c r="A286" s="20" t="inlineStr">
        <x:is>
          <x:t xml:space="preserve">590331</x:t>
        </x:is>
      </x:c>
      <x:c r="B286" s="20" t="inlineStr">
        <x:is>
          <x:t xml:space="preserve">59</x:t>
        </x:is>
      </x:c>
      <x:c r="C286" s="20" t="inlineStr">
        <x:is>
          <x:t xml:space="preserve">SEMINOLE</x:t>
        </x:is>
      </x:c>
      <x:c r="D286" s="20" t="inlineStr">
        <x:is>
          <x:t xml:space="preserve">0331</x:t>
        </x:is>
      </x:c>
      <x:c r="E286" s="20" t="inlineStr">
        <x:is>
          <x:t xml:space="preserve">HIGHLANDS ELEMENTARY SCHOOL</x:t>
        </x:is>
      </x:c>
      <x:c r="F286" s="20" t="inlineStr">
        <x:is>
          <x:t xml:space="preserve">01</x:t>
        </x:is>
      </x:c>
      <x:c r="G286" s="20" t="inlineStr">
        <x:is>
          <x:t xml:space="preserve">Elementary</x:t>
        </x:is>
      </x:c>
      <x:c r="H286" s="20" t="inlineStr">
        <x:is>
          <x:t xml:space="preserve">NO</x:t>
        </x:is>
      </x:c>
      <x:c r="I286" s="20" t="inlineStr">
        <x:is>
          <x:t xml:space="preserve">YES</x:t>
        </x:is>
      </x:c>
      <x:c r="J286" s="20" t="inlineStr">
        <x:is>
          <x:t xml:space="preserve">N</x:t>
        </x:is>
      </x:c>
      <x:c r="K286" s="25" t="n">
        <x:v>69</x:v>
      </x:c>
      <x:c r="L286" s="25" t="n">
        <x:v>63</x:v>
      </x:c>
      <x:c r="M286" s="25" t="n">
        <x:v>71</x:v>
      </x:c>
      <x:c r="N286" s="25" t="n">
        <x:v>57</x:v>
      </x:c>
      <x:c r="O286" s="25" t="n">
        <x:v>73</x:v>
      </x:c>
      <x:c r="P286" s="25" t="n"/>
      <x:c r="Q286" s="25" t="n"/>
      <x:c r="R286" s="25" t="n"/>
      <x:c r="S286" s="20" t="n">
        <x:v>468</x:v>
      </x:c>
      <x:c r="T286" s="20" t="n">
        <x:v>8</x:v>
      </x:c>
      <x:c r="U286" s="25" t="n">
        <x:v>59</x:v>
      </x:c>
      <x:c r="V286" s="25" t="n">
        <x:v>100</x:v>
      </x:c>
      <x:c r="W286" s="20" t="inlineStr">
        <x:is>
          <x:t xml:space="preserve">B</x:t>
        </x:is>
      </x:c>
      <x:c r="X286" s="20" t="inlineStr">
        <x:is>
          <x:t xml:space="preserve">A</x:t>
        </x:is>
      </x:c>
      <x:c r="Y286" s="25" t="n">
        <x:v>65.8</x:v>
      </x:c>
      <x:c r="Z286" s="20" t="inlineStr">
        <x:is>
          <x:t xml:space="preserve">https://www.fldoe.org/file/18534/SchoolGrades25.xlsx</x:t>
        </x:is>
      </x:c>
    </x:row>
    <x:row r="287">
      <x:c r="A287" s="20" t="inlineStr">
        <x:is>
          <x:t xml:space="preserve">590361</x:t>
        </x:is>
      </x:c>
      <x:c r="B287" s="20" t="inlineStr">
        <x:is>
          <x:t xml:space="preserve">59</x:t>
        </x:is>
      </x:c>
      <x:c r="C287" s="20" t="inlineStr">
        <x:is>
          <x:t xml:space="preserve">SEMINOLE</x:t>
        </x:is>
      </x:c>
      <x:c r="D287" s="20" t="inlineStr">
        <x:is>
          <x:t xml:space="preserve">0361</x:t>
        </x:is>
      </x:c>
      <x:c r="E287" s="20" t="inlineStr">
        <x:is>
          <x:t xml:space="preserve">RAINBOW ELEMENTARY SCHOOL</x:t>
        </x:is>
      </x:c>
      <x:c r="F287" s="20" t="inlineStr">
        <x:is>
          <x:t xml:space="preserve">01</x:t>
        </x:is>
      </x:c>
      <x:c r="G287" s="20" t="inlineStr">
        <x:is>
          <x:t xml:space="preserve">Elementary</x:t>
        </x:is>
      </x:c>
      <x:c r="H287" s="20" t="inlineStr">
        <x:is>
          <x:t xml:space="preserve">NO</x:t>
        </x:is>
      </x:c>
      <x:c r="I287" s="20" t="inlineStr">
        <x:is>
          <x:t xml:space="preserve">NO</x:t>
        </x:is>
      </x:c>
      <x:c r="J287" s="20" t="inlineStr">
        <x:is>
          <x:t xml:space="preserve">N</x:t>
        </x:is>
      </x:c>
      <x:c r="K287" s="25" t="n">
        <x:v>88</x:v>
      </x:c>
      <x:c r="L287" s="25" t="n">
        <x:v>80</x:v>
      </x:c>
      <x:c r="M287" s="25" t="n">
        <x:v>88</x:v>
      </x:c>
      <x:c r="N287" s="25" t="n">
        <x:v>85</x:v>
      </x:c>
      <x:c r="O287" s="25" t="n">
        <x:v>90</x:v>
      </x:c>
      <x:c r="P287" s="25" t="n"/>
      <x:c r="Q287" s="25" t="n"/>
      <x:c r="R287" s="25" t="n"/>
      <x:c r="S287" s="20" t="n">
        <x:v>665</x:v>
      </x:c>
      <x:c r="T287" s="20" t="n">
        <x:v>8</x:v>
      </x:c>
      <x:c r="U287" s="25" t="n">
        <x:v>83</x:v>
      </x:c>
      <x:c r="V287" s="25" t="n">
        <x:v>100</x:v>
      </x:c>
      <x:c r="W287" s="20" t="inlineStr">
        <x:is>
          <x:t xml:space="preserve">A</x:t>
        </x:is>
      </x:c>
      <x:c r="X287" s="20" t="inlineStr">
        <x:is>
          <x:t xml:space="preserve">A</x:t>
        </x:is>
      </x:c>
      <x:c r="Y287" s="25" t="n">
        <x:v>36.7</x:v>
      </x:c>
      <x:c r="Z287" s="20" t="inlineStr">
        <x:is>
          <x:t xml:space="preserve">https://www.fldoe.org/file/18534/SchoolGrades25.xlsx</x:t>
        </x:is>
      </x:c>
    </x:row>
    <x:row r="288">
      <x:c r="A288" s="20" t="inlineStr">
        <x:is>
          <x:t xml:space="preserve">590391</x:t>
        </x:is>
      </x:c>
      <x:c r="B288" s="20" t="inlineStr">
        <x:is>
          <x:t xml:space="preserve">59</x:t>
        </x:is>
      </x:c>
      <x:c r="C288" s="20" t="inlineStr">
        <x:is>
          <x:t xml:space="preserve">SEMINOLE</x:t>
        </x:is>
      </x:c>
      <x:c r="D288" s="20" t="inlineStr">
        <x:is>
          <x:t xml:space="preserve">0391</x:t>
        </x:is>
      </x:c>
      <x:c r="E288" s="20" t="inlineStr">
        <x:is>
          <x:t xml:space="preserve">WINTER SPRINGS ELEMENTARY SCHOOL</x:t>
        </x:is>
      </x:c>
      <x:c r="F288" s="20" t="inlineStr">
        <x:is>
          <x:t xml:space="preserve">01</x:t>
        </x:is>
      </x:c>
      <x:c r="G288" s="20" t="inlineStr">
        <x:is>
          <x:t xml:space="preserve">Elementary</x:t>
        </x:is>
      </x:c>
      <x:c r="H288" s="20" t="inlineStr">
        <x:is>
          <x:t xml:space="preserve">NO</x:t>
        </x:is>
      </x:c>
      <x:c r="I288" s="20" t="inlineStr">
        <x:is>
          <x:t xml:space="preserve">YES</x:t>
        </x:is>
      </x:c>
      <x:c r="J288" s="20" t="inlineStr">
        <x:is>
          <x:t xml:space="preserve">N</x:t>
        </x:is>
      </x:c>
      <x:c r="K288" s="25" t="n">
        <x:v>53</x:v>
      </x:c>
      <x:c r="L288" s="25" t="n">
        <x:v>51</x:v>
      </x:c>
      <x:c r="M288" s="25" t="n">
        <x:v>57</x:v>
      </x:c>
      <x:c r="N288" s="25" t="n">
        <x:v>63</x:v>
      </x:c>
      <x:c r="O288" s="25" t="n">
        <x:v>47</x:v>
      </x:c>
      <x:c r="P288" s="25" t="n"/>
      <x:c r="Q288" s="25" t="n"/>
      <x:c r="R288" s="25" t="n"/>
      <x:c r="S288" s="20" t="n">
        <x:v>439</x:v>
      </x:c>
      <x:c r="T288" s="20" t="n">
        <x:v>8</x:v>
      </x:c>
      <x:c r="U288" s="25" t="n">
        <x:v>55</x:v>
      </x:c>
      <x:c r="V288" s="25" t="n">
        <x:v>100</x:v>
      </x:c>
      <x:c r="W288" s="20" t="inlineStr">
        <x:is>
          <x:t xml:space="preserve">B</x:t>
        </x:is>
      </x:c>
      <x:c r="X288" s="20" t="inlineStr">
        <x:is>
          <x:t xml:space="preserve">B</x:t>
        </x:is>
      </x:c>
      <x:c r="Y288" s="25" t="n">
        <x:v>77.40000000000001</x:v>
      </x:c>
      <x:c r="Z288" s="20" t="inlineStr">
        <x:is>
          <x:t xml:space="preserve">https://www.fldoe.org/file/18534/SchoolGrades25.xlsx</x:t>
        </x:is>
      </x:c>
    </x:row>
    <x:row r="289">
      <x:c r="A289" s="20" t="inlineStr">
        <x:is>
          <x:t xml:space="preserve">590401</x:t>
        </x:is>
      </x:c>
      <x:c r="B289" s="20" t="inlineStr">
        <x:is>
          <x:t xml:space="preserve">59</x:t>
        </x:is>
      </x:c>
      <x:c r="C289" s="20" t="inlineStr">
        <x:is>
          <x:t xml:space="preserve">SEMINOLE</x:t>
        </x:is>
      </x:c>
      <x:c r="D289" s="20" t="inlineStr">
        <x:is>
          <x:t xml:space="preserve">0401</x:t>
        </x:is>
      </x:c>
      <x:c r="E289" s="20" t="inlineStr">
        <x:is>
          <x:t xml:space="preserve">SPRING LAKE ELEMENTARY SCHOOL</x:t>
        </x:is>
      </x:c>
      <x:c r="F289" s="20" t="inlineStr">
        <x:is>
          <x:t xml:space="preserve">01</x:t>
        </x:is>
      </x:c>
      <x:c r="G289" s="20" t="inlineStr">
        <x:is>
          <x:t xml:space="preserve">Elementary</x:t>
        </x:is>
      </x:c>
      <x:c r="H289" s="20" t="inlineStr">
        <x:is>
          <x:t xml:space="preserve">NO</x:t>
        </x:is>
      </x:c>
      <x:c r="I289" s="20" t="inlineStr">
        <x:is>
          <x:t xml:space="preserve">YES</x:t>
        </x:is>
      </x:c>
      <x:c r="J289" s="20" t="inlineStr">
        <x:is>
          <x:t xml:space="preserve">N</x:t>
        </x:is>
      </x:c>
      <x:c r="K289" s="25" t="n">
        <x:v>50</x:v>
      </x:c>
      <x:c r="L289" s="25" t="n">
        <x:v>56</x:v>
      </x:c>
      <x:c r="M289" s="25" t="n">
        <x:v>50</x:v>
      </x:c>
      <x:c r="N289" s="25" t="n">
        <x:v>53</x:v>
      </x:c>
      <x:c r="O289" s="25" t="n">
        <x:v>66</x:v>
      </x:c>
      <x:c r="P289" s="25" t="n"/>
      <x:c r="Q289" s="25" t="n"/>
      <x:c r="R289" s="25" t="n"/>
      <x:c r="S289" s="20" t="n">
        <x:v>424</x:v>
      </x:c>
      <x:c r="T289" s="20" t="n">
        <x:v>8</x:v>
      </x:c>
      <x:c r="U289" s="25" t="n">
        <x:v>53</x:v>
      </x:c>
      <x:c r="V289" s="25" t="n">
        <x:v>100</x:v>
      </x:c>
      <x:c r="W289" s="20" t="inlineStr">
        <x:is>
          <x:t xml:space="preserve">C</x:t>
        </x:is>
      </x:c>
      <x:c r="X289" s="20" t="inlineStr">
        <x:is>
          <x:t xml:space="preserve">A</x:t>
        </x:is>
      </x:c>
      <x:c r="Y289" s="25" t="n">
        <x:v>87.59999999999999</x:v>
      </x:c>
      <x:c r="Z289" s="20" t="inlineStr">
        <x:is>
          <x:t xml:space="preserve">https://www.fldoe.org/file/18534/SchoolGrades25.xlsx</x:t>
        </x:is>
      </x:c>
    </x:row>
    <x:row r="290">
      <x:c r="A290" s="20" t="inlineStr">
        <x:is>
          <x:t xml:space="preserve">590421</x:t>
        </x:is>
      </x:c>
      <x:c r="B290" s="20" t="inlineStr">
        <x:is>
          <x:t xml:space="preserve">59</x:t>
        </x:is>
      </x:c>
      <x:c r="C290" s="20" t="inlineStr">
        <x:is>
          <x:t xml:space="preserve">SEMINOLE</x:t>
        </x:is>
      </x:c>
      <x:c r="D290" s="20" t="inlineStr">
        <x:is>
          <x:t xml:space="preserve">0421</x:t>
        </x:is>
      </x:c>
      <x:c r="E290" s="20" t="inlineStr">
        <x:is>
          <x:t xml:space="preserve">OVIEDO HIGH SCHOOL</x:t>
        </x:is>
      </x:c>
      <x:c r="F290" s="20" t="inlineStr">
        <x:is>
          <x:t xml:space="preserve">03</x:t>
        </x:is>
      </x:c>
      <x:c r="G290" s="20" t="inlineStr">
        <x:is>
          <x:t xml:space="preserve">Senior High</x:t>
        </x:is>
      </x:c>
      <x:c r="H290" s="20" t="inlineStr">
        <x:is>
          <x:t xml:space="preserve">NO</x:t>
        </x:is>
      </x:c>
      <x:c r="I290" s="20" t="inlineStr">
        <x:is>
          <x:t xml:space="preserve">NO</x:t>
        </x:is>
      </x:c>
      <x:c r="J290" s="20" t="inlineStr">
        <x:is>
          <x:t xml:space="preserve">N</x:t>
        </x:is>
      </x:c>
      <x:c r="K290" s="25" t="n">
        <x:v>71</x:v>
      </x:c>
      <x:c r="L290" s="25" t="n">
        <x:v>64</x:v>
      </x:c>
      <x:c r="M290" s="25" t="n">
        <x:v>62</x:v>
      </x:c>
      <x:c r="N290" s="25" t="n">
        <x:v>62</x:v>
      </x:c>
      <x:c r="O290" s="25" t="n">
        <x:v>82</x:v>
      </x:c>
      <x:c r="P290" s="25" t="n">
        <x:v>83</x:v>
      </x:c>
      <x:c r="Q290" s="25" t="n">
        <x:v>97</x:v>
      </x:c>
      <x:c r="R290" s="25" t="n">
        <x:v>75</x:v>
      </x:c>
      <x:c r="S290" s="20" t="n">
        <x:v>721</x:v>
      </x:c>
      <x:c r="T290" s="20" t="n">
        <x:v>10</x:v>
      </x:c>
      <x:c r="U290" s="25" t="n">
        <x:v>72</x:v>
      </x:c>
      <x:c r="V290" s="25" t="n">
        <x:v>97</x:v>
      </x:c>
      <x:c r="W290" s="20" t="inlineStr">
        <x:is>
          <x:t xml:space="preserve">A</x:t>
        </x:is>
      </x:c>
      <x:c r="X290" s="20" t="inlineStr">
        <x:is>
          <x:t xml:space="preserve">A</x:t>
        </x:is>
      </x:c>
      <x:c r="Y290" s="25" t="n">
        <x:v>33.4</x:v>
      </x:c>
      <x:c r="Z290" s="20" t="inlineStr">
        <x:is>
          <x:t xml:space="preserve">https://www.fldoe.org/file/18534/SchoolGrades25.xlsx</x:t>
        </x:is>
      </x:c>
    </x:row>
    <x:row r="291">
      <x:c r="A291" s="20" t="inlineStr">
        <x:is>
          <x:t xml:space="preserve">590431</x:t>
        </x:is>
      </x:c>
      <x:c r="B291" s="20" t="inlineStr">
        <x:is>
          <x:t xml:space="preserve">59</x:t>
        </x:is>
      </x:c>
      <x:c r="C291" s="20" t="inlineStr">
        <x:is>
          <x:t xml:space="preserve">SEMINOLE</x:t>
        </x:is>
      </x:c>
      <x:c r="D291" s="20" t="inlineStr">
        <x:is>
          <x:t xml:space="preserve">0431</x:t>
        </x:is>
      </x:c>
      <x:c r="E291" s="20" t="inlineStr">
        <x:is>
          <x:t xml:space="preserve">LYMAN HIGH SCHOOL</x:t>
        </x:is>
      </x:c>
      <x:c r="F291" s="20" t="inlineStr">
        <x:is>
          <x:t xml:space="preserve">03</x:t>
        </x:is>
      </x:c>
      <x:c r="G291" s="20" t="inlineStr">
        <x:is>
          <x:t xml:space="preserve">Senior High</x:t>
        </x:is>
      </x:c>
      <x:c r="H291" s="20" t="inlineStr">
        <x:is>
          <x:t xml:space="preserve">NO</x:t>
        </x:is>
      </x:c>
      <x:c r="I291" s="20" t="inlineStr">
        <x:is>
          <x:t xml:space="preserve">NO</x:t>
        </x:is>
      </x:c>
      <x:c r="J291" s="20" t="inlineStr">
        <x:is>
          <x:t xml:space="preserve">N</x:t>
        </x:is>
      </x:c>
      <x:c r="K291" s="25" t="n">
        <x:v>60</x:v>
      </x:c>
      <x:c r="L291" s="25" t="n">
        <x:v>64</x:v>
      </x:c>
      <x:c r="M291" s="25" t="n">
        <x:v>38</x:v>
      </x:c>
      <x:c r="N291" s="25" t="n">
        <x:v>52</x:v>
      </x:c>
      <x:c r="O291" s="25" t="n">
        <x:v>70</x:v>
      </x:c>
      <x:c r="P291" s="25" t="n">
        <x:v>72</x:v>
      </x:c>
      <x:c r="Q291" s="25" t="n">
        <x:v>93</x:v>
      </x:c>
      <x:c r="R291" s="25" t="n">
        <x:v>60</x:v>
      </x:c>
      <x:c r="S291" s="20" t="n">
        <x:v>626</x:v>
      </x:c>
      <x:c r="T291" s="20" t="n">
        <x:v>10</x:v>
      </x:c>
      <x:c r="U291" s="25" t="n">
        <x:v>63</x:v>
      </x:c>
      <x:c r="V291" s="25" t="n">
        <x:v>98</x:v>
      </x:c>
      <x:c r="W291" s="20" t="inlineStr">
        <x:is>
          <x:t xml:space="preserve">B</x:t>
        </x:is>
      </x:c>
      <x:c r="X291" s="20" t="inlineStr">
        <x:is>
          <x:t xml:space="preserve">B</x:t>
        </x:is>
      </x:c>
      <x:c r="Y291" s="25" t="n">
        <x:v>55.7</x:v>
      </x:c>
      <x:c r="Z291" s="20" t="inlineStr">
        <x:is>
          <x:t xml:space="preserve">https://www.fldoe.org/file/18534/SchoolGrades25.xlsx</x:t>
        </x:is>
      </x:c>
    </x:row>
    <x:row r="292">
      <x:c r="A292" s="20" t="inlineStr">
        <x:is>
          <x:t xml:space="preserve">590441</x:t>
        </x:is>
      </x:c>
      <x:c r="B292" s="20" t="inlineStr">
        <x:is>
          <x:t xml:space="preserve">59</x:t>
        </x:is>
      </x:c>
      <x:c r="C292" s="20" t="inlineStr">
        <x:is>
          <x:t xml:space="preserve">SEMINOLE</x:t>
        </x:is>
      </x:c>
      <x:c r="D292" s="20" t="inlineStr">
        <x:is>
          <x:t xml:space="preserve">0441</x:t>
        </x:is>
      </x:c>
      <x:c r="E292" s="20" t="inlineStr">
        <x:is>
          <x:t xml:space="preserve">CARILLON ELEMENTARY SCHOOL</x:t>
        </x:is>
      </x:c>
      <x:c r="F292" s="20" t="inlineStr">
        <x:is>
          <x:t xml:space="preserve">01</x:t>
        </x:is>
      </x:c>
      <x:c r="G292" s="20" t="inlineStr">
        <x:is>
          <x:t xml:space="preserve">Elementary</x:t>
        </x:is>
      </x:c>
      <x:c r="H292" s="20" t="inlineStr">
        <x:is>
          <x:t xml:space="preserve">NO</x:t>
        </x:is>
      </x:c>
      <x:c r="I292" s="20" t="inlineStr">
        <x:is>
          <x:t xml:space="preserve">NO</x:t>
        </x:is>
      </x:c>
      <x:c r="J292" s="20" t="inlineStr">
        <x:is>
          <x:t xml:space="preserve">N</x:t>
        </x:is>
      </x:c>
      <x:c r="K292" s="25" t="n">
        <x:v>69</x:v>
      </x:c>
      <x:c r="L292" s="25" t="n">
        <x:v>60</x:v>
      </x:c>
      <x:c r="M292" s="25" t="n">
        <x:v>75</x:v>
      </x:c>
      <x:c r="N292" s="25" t="n">
        <x:v>67</x:v>
      </x:c>
      <x:c r="O292" s="25" t="n">
        <x:v>73</x:v>
      </x:c>
      <x:c r="P292" s="25" t="n"/>
      <x:c r="Q292" s="25" t="n"/>
      <x:c r="R292" s="25" t="n"/>
      <x:c r="S292" s="20" t="n">
        <x:v>517</x:v>
      </x:c>
      <x:c r="T292" s="20" t="n">
        <x:v>8</x:v>
      </x:c>
      <x:c r="U292" s="25" t="n">
        <x:v>65</x:v>
      </x:c>
      <x:c r="V292" s="25" t="n">
        <x:v>100</x:v>
      </x:c>
      <x:c r="W292" s="20" t="inlineStr">
        <x:is>
          <x:t xml:space="preserve">A</x:t>
        </x:is>
      </x:c>
      <x:c r="X292" s="20" t="inlineStr">
        <x:is>
          <x:t xml:space="preserve">A</x:t>
        </x:is>
      </x:c>
      <x:c r="Y292" s="25" t="n">
        <x:v>28.4</x:v>
      </x:c>
      <x:c r="Z292" s="20" t="inlineStr">
        <x:is>
          <x:t xml:space="preserve">https://www.fldoe.org/file/18534/SchoolGrades25.xlsx</x:t>
        </x:is>
      </x:c>
    </x:row>
    <x:row r="293">
      <x:c r="A293" s="20" t="inlineStr">
        <x:is>
          <x:t xml:space="preserve">590491</x:t>
        </x:is>
      </x:c>
      <x:c r="B293" s="20" t="inlineStr">
        <x:is>
          <x:t xml:space="preserve">59</x:t>
        </x:is>
      </x:c>
      <x:c r="C293" s="20" t="inlineStr">
        <x:is>
          <x:t xml:space="preserve">SEMINOLE</x:t>
        </x:is>
      </x:c>
      <x:c r="D293" s="20" t="inlineStr">
        <x:is>
          <x:t xml:space="preserve">0491</x:t>
        </x:is>
      </x:c>
      <x:c r="E293" s="20" t="inlineStr">
        <x:is>
          <x:t xml:space="preserve">LAKE BRANTLEY HIGH SCHOOL</x:t>
        </x:is>
      </x:c>
      <x:c r="F293" s="20" t="inlineStr">
        <x:is>
          <x:t xml:space="preserve">03</x:t>
        </x:is>
      </x:c>
      <x:c r="G293" s="20" t="inlineStr">
        <x:is>
          <x:t xml:space="preserve">Senior High</x:t>
        </x:is>
      </x:c>
      <x:c r="H293" s="20" t="inlineStr">
        <x:is>
          <x:t xml:space="preserve">NO</x:t>
        </x:is>
      </x:c>
      <x:c r="I293" s="20" t="inlineStr">
        <x:is>
          <x:t xml:space="preserve">NO</x:t>
        </x:is>
      </x:c>
      <x:c r="J293" s="20" t="inlineStr">
        <x:is>
          <x:t xml:space="preserve">N</x:t>
        </x:is>
      </x:c>
      <x:c r="K293" s="25" t="n">
        <x:v>66</x:v>
      </x:c>
      <x:c r="L293" s="25" t="n">
        <x:v>64</x:v>
      </x:c>
      <x:c r="M293" s="25" t="n">
        <x:v>45</x:v>
      </x:c>
      <x:c r="N293" s="25" t="n">
        <x:v>51</x:v>
      </x:c>
      <x:c r="O293" s="25" t="n">
        <x:v>67</x:v>
      </x:c>
      <x:c r="P293" s="25" t="n">
        <x:v>75</x:v>
      </x:c>
      <x:c r="Q293" s="25" t="n">
        <x:v>98</x:v>
      </x:c>
      <x:c r="R293" s="25" t="n">
        <x:v>55</x:v>
      </x:c>
      <x:c r="S293" s="20" t="n">
        <x:v>643</x:v>
      </x:c>
      <x:c r="T293" s="20" t="n">
        <x:v>10</x:v>
      </x:c>
      <x:c r="U293" s="25" t="n">
        <x:v>64</x:v>
      </x:c>
      <x:c r="V293" s="25" t="n">
        <x:v>96</x:v>
      </x:c>
      <x:c r="W293" s="20" t="inlineStr">
        <x:is>
          <x:t xml:space="preserve">A</x:t>
        </x:is>
      </x:c>
      <x:c r="X293" s="20" t="inlineStr">
        <x:is>
          <x:t xml:space="preserve">B</x:t>
        </x:is>
      </x:c>
      <x:c r="Y293" s="25" t="n">
        <x:v>46.5</x:v>
      </x:c>
      <x:c r="Z293" s="20" t="inlineStr">
        <x:is>
          <x:t xml:space="preserve">https://www.fldoe.org/file/18534/SchoolGrades25.xlsx</x:t>
        </x:is>
      </x:c>
    </x:row>
    <x:row r="294">
      <x:c r="A294" s="20" t="inlineStr">
        <x:is>
          <x:t xml:space="preserve">590501</x:t>
        </x:is>
      </x:c>
      <x:c r="B294" s="20" t="inlineStr">
        <x:is>
          <x:t xml:space="preserve">59</x:t>
        </x:is>
      </x:c>
      <x:c r="C294" s="20" t="inlineStr">
        <x:is>
          <x:t xml:space="preserve">SEMINOLE</x:t>
        </x:is>
      </x:c>
      <x:c r="D294" s="20" t="inlineStr">
        <x:is>
          <x:t xml:space="preserve">0501</x:t>
        </x:is>
      </x:c>
      <x:c r="E294" s="20" t="inlineStr">
        <x:is>
          <x:t xml:space="preserve">TEAGUE MIDDLE SCHOOL</x:t>
        </x:is>
      </x:c>
      <x:c r="F294" s="20" t="inlineStr">
        <x:is>
          <x:t xml:space="preserve">02</x:t>
        </x:is>
      </x:c>
      <x:c r="G294" s="20" t="inlineStr">
        <x:is>
          <x:t xml:space="preserve">Middle/Junior</x:t>
        </x:is>
      </x:c>
      <x:c r="H294" s="20" t="inlineStr">
        <x:is>
          <x:t xml:space="preserve">NO</x:t>
        </x:is>
      </x:c>
      <x:c r="I294" s="20" t="inlineStr">
        <x:is>
          <x:t xml:space="preserve">YES</x:t>
        </x:is>
      </x:c>
      <x:c r="J294" s="20" t="inlineStr">
        <x:is>
          <x:t xml:space="preserve">N</x:t>
        </x:is>
      </x:c>
      <x:c r="K294" s="25" t="n">
        <x:v>63</x:v>
      </x:c>
      <x:c r="L294" s="25" t="n">
        <x:v>65</x:v>
      </x:c>
      <x:c r="M294" s="25" t="n">
        <x:v>69</x:v>
      </x:c>
      <x:c r="N294" s="25" t="n">
        <x:v>68</x:v>
      </x:c>
      <x:c r="O294" s="25" t="n">
        <x:v>61</x:v>
      </x:c>
      <x:c r="P294" s="25" t="n">
        <x:v>75</x:v>
      </x:c>
      <x:c r="Q294" s="25" t="n"/>
      <x:c r="R294" s="25" t="n"/>
      <x:c r="S294" s="20" t="n">
        <x:v>617</x:v>
      </x:c>
      <x:c r="T294" s="20" t="n">
        <x:v>9</x:v>
      </x:c>
      <x:c r="U294" s="25" t="n">
        <x:v>69</x:v>
      </x:c>
      <x:c r="V294" s="25" t="n">
        <x:v>99</x:v>
      </x:c>
      <x:c r="W294" s="20" t="inlineStr">
        <x:is>
          <x:t xml:space="preserve">A</x:t>
        </x:is>
      </x:c>
      <x:c r="X294" s="20" t="inlineStr">
        <x:is>
          <x:t xml:space="preserve">B</x:t>
        </x:is>
      </x:c>
      <x:c r="Y294" s="25" t="n">
        <x:v>61.3</x:v>
      </x:c>
      <x:c r="Z294" s="20" t="inlineStr">
        <x:is>
          <x:t xml:space="preserve">https://www.fldoe.org/file/18534/SchoolGrades25.xlsx</x:t>
        </x:is>
      </x:c>
    </x:row>
    <x:row r="295">
      <x:c r="A295" s="20" t="inlineStr">
        <x:is>
          <x:t xml:space="preserve">590502</x:t>
        </x:is>
      </x:c>
      <x:c r="B295" s="20" t="inlineStr">
        <x:is>
          <x:t xml:space="preserve">59</x:t>
        </x:is>
      </x:c>
      <x:c r="C295" s="20" t="inlineStr">
        <x:is>
          <x:t xml:space="preserve">SEMINOLE</x:t>
        </x:is>
      </x:c>
      <x:c r="D295" s="20" t="inlineStr">
        <x:is>
          <x:t xml:space="preserve">0502</x:t>
        </x:is>
      </x:c>
      <x:c r="E295" s="20" t="inlineStr">
        <x:is>
          <x:t xml:space="preserve">FOREST CITY ELEMENTARY SCHOOL</x:t>
        </x:is>
      </x:c>
      <x:c r="F295" s="20" t="inlineStr">
        <x:is>
          <x:t xml:space="preserve">01</x:t>
        </x:is>
      </x:c>
      <x:c r="G295" s="20" t="inlineStr">
        <x:is>
          <x:t xml:space="preserve">Elementary</x:t>
        </x:is>
      </x:c>
      <x:c r="H295" s="20" t="inlineStr">
        <x:is>
          <x:t xml:space="preserve">NO</x:t>
        </x:is>
      </x:c>
      <x:c r="I295" s="20" t="inlineStr">
        <x:is>
          <x:t xml:space="preserve">YES</x:t>
        </x:is>
      </x:c>
      <x:c r="J295" s="20" t="inlineStr">
        <x:is>
          <x:t xml:space="preserve">N</x:t>
        </x:is>
      </x:c>
      <x:c r="K295" s="25" t="n">
        <x:v>64</x:v>
      </x:c>
      <x:c r="L295" s="25" t="n">
        <x:v>67</x:v>
      </x:c>
      <x:c r="M295" s="25" t="n">
        <x:v>72</x:v>
      </x:c>
      <x:c r="N295" s="25" t="n">
        <x:v>79</x:v>
      </x:c>
      <x:c r="O295" s="25" t="n">
        <x:v>66</x:v>
      </x:c>
      <x:c r="P295" s="25" t="n"/>
      <x:c r="Q295" s="25" t="n"/>
      <x:c r="R295" s="25" t="n"/>
      <x:c r="S295" s="20" t="n">
        <x:v>557</x:v>
      </x:c>
      <x:c r="T295" s="20" t="n">
        <x:v>8</x:v>
      </x:c>
      <x:c r="U295" s="25" t="n">
        <x:v>70</x:v>
      </x:c>
      <x:c r="V295" s="25" t="n">
        <x:v>98</x:v>
      </x:c>
      <x:c r="W295" s="20" t="inlineStr">
        <x:is>
          <x:t xml:space="preserve">A</x:t>
        </x:is>
      </x:c>
      <x:c r="X295" s="20" t="inlineStr">
        <x:is>
          <x:t xml:space="preserve">B</x:t>
        </x:is>
      </x:c>
      <x:c r="Y295" s="25" t="n">
        <x:v>78.2</x:v>
      </x:c>
      <x:c r="Z295" s="20" t="inlineStr">
        <x:is>
          <x:t xml:space="preserve">https://www.fldoe.org/file/18534/SchoolGrades25.xlsx</x:t>
        </x:is>
      </x:c>
    </x:row>
    <x:row r="296">
      <x:c r="A296" s="20" t="inlineStr">
        <x:is>
          <x:t xml:space="preserve">590511</x:t>
        </x:is>
      </x:c>
      <x:c r="B296" s="20" t="inlineStr">
        <x:is>
          <x:t xml:space="preserve">59</x:t>
        </x:is>
      </x:c>
      <x:c r="C296" s="20" t="inlineStr">
        <x:is>
          <x:t xml:space="preserve">SEMINOLE</x:t>
        </x:is>
      </x:c>
      <x:c r="D296" s="20" t="inlineStr">
        <x:is>
          <x:t xml:space="preserve">0511</x:t>
        </x:is>
      </x:c>
      <x:c r="E296" s="20" t="inlineStr">
        <x:is>
          <x:t xml:space="preserve">RED BUG ELEMENTARY SCHOOL</x:t>
        </x:is>
      </x:c>
      <x:c r="F296" s="20" t="inlineStr">
        <x:is>
          <x:t xml:space="preserve">01</x:t>
        </x:is>
      </x:c>
      <x:c r="G296" s="20" t="inlineStr">
        <x:is>
          <x:t xml:space="preserve">Elementary</x:t>
        </x:is>
      </x:c>
      <x:c r="H296" s="20" t="inlineStr">
        <x:is>
          <x:t xml:space="preserve">NO</x:t>
        </x:is>
      </x:c>
      <x:c r="I296" s="20" t="inlineStr">
        <x:is>
          <x:t xml:space="preserve">NO</x:t>
        </x:is>
      </x:c>
      <x:c r="J296" s="20" t="inlineStr">
        <x:is>
          <x:t xml:space="preserve">N</x:t>
        </x:is>
      </x:c>
      <x:c r="K296" s="25" t="n">
        <x:v>66</x:v>
      </x:c>
      <x:c r="L296" s="25" t="n">
        <x:v>55</x:v>
      </x:c>
      <x:c r="M296" s="25" t="n">
        <x:v>64</x:v>
      </x:c>
      <x:c r="N296" s="25" t="n">
        <x:v>58</x:v>
      </x:c>
      <x:c r="O296" s="25" t="n">
        <x:v>64</x:v>
      </x:c>
      <x:c r="P296" s="25" t="n"/>
      <x:c r="Q296" s="25" t="n"/>
      <x:c r="R296" s="25" t="n"/>
      <x:c r="S296" s="20" t="n">
        <x:v>465</x:v>
      </x:c>
      <x:c r="T296" s="20" t="n">
        <x:v>8</x:v>
      </x:c>
      <x:c r="U296" s="25" t="n">
        <x:v>58</x:v>
      </x:c>
      <x:c r="V296" s="25" t="n">
        <x:v>100</x:v>
      </x:c>
      <x:c r="W296" s="20" t="inlineStr">
        <x:is>
          <x:t xml:space="preserve">B</x:t>
        </x:is>
      </x:c>
      <x:c r="X296" s="20" t="inlineStr">
        <x:is>
          <x:t xml:space="preserve">B</x:t>
        </x:is>
      </x:c>
      <x:c r="Y296" s="25" t="n">
        <x:v>49.3</x:v>
      </x:c>
      <x:c r="Z296" s="20" t="inlineStr">
        <x:is>
          <x:t xml:space="preserve">https://www.fldoe.org/file/18534/SchoolGrades25.xlsx</x:t>
        </x:is>
      </x:c>
    </x:row>
    <x:row r="297">
      <x:c r="A297" s="20" t="inlineStr">
        <x:is>
          <x:t xml:space="preserve">590521</x:t>
        </x:is>
      </x:c>
      <x:c r="B297" s="20" t="inlineStr">
        <x:is>
          <x:t xml:space="preserve">59</x:t>
        </x:is>
      </x:c>
      <x:c r="C297" s="20" t="inlineStr">
        <x:is>
          <x:t xml:space="preserve">SEMINOLE</x:t>
        </x:is>
      </x:c>
      <x:c r="D297" s="20" t="inlineStr">
        <x:is>
          <x:t xml:space="preserve">0521</x:t>
        </x:is>
      </x:c>
      <x:c r="E297" s="20" t="inlineStr">
        <x:is>
          <x:t xml:space="preserve">IDYLLWILDE ELEMENTARY SCHOOL</x:t>
        </x:is>
      </x:c>
      <x:c r="F297" s="20" t="inlineStr">
        <x:is>
          <x:t xml:space="preserve">01</x:t>
        </x:is>
      </x:c>
      <x:c r="G297" s="20" t="inlineStr">
        <x:is>
          <x:t xml:space="preserve">Elementary</x:t>
        </x:is>
      </x:c>
      <x:c r="H297" s="20" t="inlineStr">
        <x:is>
          <x:t xml:space="preserve">NO</x:t>
        </x:is>
      </x:c>
      <x:c r="I297" s="20" t="inlineStr">
        <x:is>
          <x:t xml:space="preserve">YES</x:t>
        </x:is>
      </x:c>
      <x:c r="J297" s="20" t="inlineStr">
        <x:is>
          <x:t xml:space="preserve">N</x:t>
        </x:is>
      </x:c>
      <x:c r="K297" s="25" t="n">
        <x:v>49</x:v>
      </x:c>
      <x:c r="L297" s="25" t="n">
        <x:v>55</x:v>
      </x:c>
      <x:c r="M297" s="25" t="n">
        <x:v>53</x:v>
      </x:c>
      <x:c r="N297" s="25" t="n">
        <x:v>57</x:v>
      </x:c>
      <x:c r="O297" s="25" t="n">
        <x:v>46</x:v>
      </x:c>
      <x:c r="P297" s="25" t="n"/>
      <x:c r="Q297" s="25" t="n"/>
      <x:c r="R297" s="25" t="n"/>
      <x:c r="S297" s="20" t="n">
        <x:v>429</x:v>
      </x:c>
      <x:c r="T297" s="20" t="n">
        <x:v>8</x:v>
      </x:c>
      <x:c r="U297" s="25" t="n">
        <x:v>54</x:v>
      </x:c>
      <x:c r="V297" s="25" t="n">
        <x:v>99</x:v>
      </x:c>
      <x:c r="W297" s="20" t="inlineStr">
        <x:is>
          <x:t xml:space="preserve">B</x:t>
        </x:is>
      </x:c>
      <x:c r="X297" s="20" t="inlineStr">
        <x:is>
          <x:t xml:space="preserve">C</x:t>
        </x:is>
      </x:c>
      <x:c r="Y297" s="25" t="n">
        <x:v>82</x:v>
      </x:c>
      <x:c r="Z297" s="20" t="inlineStr">
        <x:is>
          <x:t xml:space="preserve">https://www.fldoe.org/file/18534/SchoolGrades25.xlsx</x:t>
        </x:is>
      </x:c>
    </x:row>
    <x:row r="298">
      <x:c r="A298" s="20" t="inlineStr">
        <x:is>
          <x:t xml:space="preserve">590531</x:t>
        </x:is>
      </x:c>
      <x:c r="B298" s="20" t="inlineStr">
        <x:is>
          <x:t xml:space="preserve">59</x:t>
        </x:is>
      </x:c>
      <x:c r="C298" s="20" t="inlineStr">
        <x:is>
          <x:t xml:space="preserve">SEMINOLE</x:t>
        </x:is>
      </x:c>
      <x:c r="D298" s="20" t="inlineStr">
        <x:is>
          <x:t xml:space="preserve">0531</x:t>
        </x:is>
      </x:c>
      <x:c r="E298" s="20" t="inlineStr">
        <x:is>
          <x:t xml:space="preserve">EASTBROOK ELEMENTARY SCHOOL</x:t>
        </x:is>
      </x:c>
      <x:c r="F298" s="20" t="inlineStr">
        <x:is>
          <x:t xml:space="preserve">01</x:t>
        </x:is>
      </x:c>
      <x:c r="G298" s="20" t="inlineStr">
        <x:is>
          <x:t xml:space="preserve">Elementary</x:t>
        </x:is>
      </x:c>
      <x:c r="H298" s="20" t="inlineStr">
        <x:is>
          <x:t xml:space="preserve">NO</x:t>
        </x:is>
      </x:c>
      <x:c r="I298" s="20" t="inlineStr">
        <x:is>
          <x:t xml:space="preserve">YES</x:t>
        </x:is>
      </x:c>
      <x:c r="J298" s="20" t="inlineStr">
        <x:is>
          <x:t xml:space="preserve">N</x:t>
        </x:is>
      </x:c>
      <x:c r="K298" s="25" t="n">
        <x:v>65</x:v>
      </x:c>
      <x:c r="L298" s="25" t="n">
        <x:v>63</x:v>
      </x:c>
      <x:c r="M298" s="25" t="n">
        <x:v>64</x:v>
      </x:c>
      <x:c r="N298" s="25" t="n">
        <x:v>63</x:v>
      </x:c>
      <x:c r="O298" s="25" t="n">
        <x:v>47</x:v>
      </x:c>
      <x:c r="P298" s="25" t="n"/>
      <x:c r="Q298" s="25" t="n"/>
      <x:c r="R298" s="25" t="n"/>
      <x:c r="S298" s="20" t="n">
        <x:v>483</x:v>
      </x:c>
      <x:c r="T298" s="20" t="n">
        <x:v>8</x:v>
      </x:c>
      <x:c r="U298" s="25" t="n">
        <x:v>60</x:v>
      </x:c>
      <x:c r="V298" s="25" t="n">
        <x:v>99</x:v>
      </x:c>
      <x:c r="W298" s="20" t="inlineStr">
        <x:is>
          <x:t xml:space="preserve">B</x:t>
        </x:is>
      </x:c>
      <x:c r="X298" s="20" t="inlineStr">
        <x:is>
          <x:t xml:space="preserve">C</x:t>
        </x:is>
      </x:c>
      <x:c r="Y298" s="25" t="n">
        <x:v>62.8</x:v>
      </x:c>
      <x:c r="Z298" s="20" t="inlineStr">
        <x:is>
          <x:t xml:space="preserve">https://www.fldoe.org/file/18534/SchoolGrades25.xlsx</x:t>
        </x:is>
      </x:c>
    </x:row>
    <x:row r="299">
      <x:c r="A299" s="20" t="inlineStr">
        <x:is>
          <x:t xml:space="preserve">590541</x:t>
        </x:is>
      </x:c>
      <x:c r="B299" s="20" t="inlineStr">
        <x:is>
          <x:t xml:space="preserve">59</x:t>
        </x:is>
      </x:c>
      <x:c r="C299" s="20" t="inlineStr">
        <x:is>
          <x:t xml:space="preserve">SEMINOLE</x:t>
        </x:is>
      </x:c>
      <x:c r="D299" s="20" t="inlineStr">
        <x:is>
          <x:t xml:space="preserve">0541</x:t>
        </x:is>
      </x:c>
      <x:c r="E299" s="20" t="inlineStr">
        <x:is>
          <x:t xml:space="preserve">TUSKAWILLA MIDDLE SCHOOL</x:t>
        </x:is>
      </x:c>
      <x:c r="F299" s="20" t="inlineStr">
        <x:is>
          <x:t xml:space="preserve">02</x:t>
        </x:is>
      </x:c>
      <x:c r="G299" s="20" t="inlineStr">
        <x:is>
          <x:t xml:space="preserve">Middle/Junior</x:t>
        </x:is>
      </x:c>
      <x:c r="H299" s="20" t="inlineStr">
        <x:is>
          <x:t xml:space="preserve">NO</x:t>
        </x:is>
      </x:c>
      <x:c r="I299" s="20" t="inlineStr">
        <x:is>
          <x:t xml:space="preserve">NO</x:t>
        </x:is>
      </x:c>
      <x:c r="J299" s="20" t="inlineStr">
        <x:is>
          <x:t xml:space="preserve">N</x:t>
        </x:is>
      </x:c>
      <x:c r="K299" s="25" t="n">
        <x:v>61</x:v>
      </x:c>
      <x:c r="L299" s="25" t="n">
        <x:v>62</x:v>
      </x:c>
      <x:c r="M299" s="25" t="n">
        <x:v>72</x:v>
      </x:c>
      <x:c r="N299" s="25" t="n">
        <x:v>70</x:v>
      </x:c>
      <x:c r="O299" s="25" t="n">
        <x:v>62</x:v>
      </x:c>
      <x:c r="P299" s="25" t="n">
        <x:v>77</x:v>
      </x:c>
      <x:c r="Q299" s="25" t="n"/>
      <x:c r="R299" s="25" t="n"/>
      <x:c r="S299" s="20" t="n">
        <x:v>613</x:v>
      </x:c>
      <x:c r="T299" s="20" t="n">
        <x:v>9</x:v>
      </x:c>
      <x:c r="U299" s="25" t="n">
        <x:v>68</x:v>
      </x:c>
      <x:c r="V299" s="25" t="n">
        <x:v>98</x:v>
      </x:c>
      <x:c r="W299" s="20" t="inlineStr">
        <x:is>
          <x:t xml:space="preserve">A</x:t>
        </x:is>
      </x:c>
      <x:c r="X299" s="20" t="inlineStr">
        <x:is>
          <x:t xml:space="preserve">B</x:t>
        </x:is>
      </x:c>
      <x:c r="Y299" s="25" t="n">
        <x:v>52.1</x:v>
      </x:c>
      <x:c r="Z299" s="20" t="inlineStr">
        <x:is>
          <x:t xml:space="preserve">https://www.fldoe.org/file/18534/SchoolGrades25.xlsx</x:t>
        </x:is>
      </x:c>
    </x:row>
    <x:row r="300">
      <x:c r="A300" s="20" t="inlineStr">
        <x:is>
          <x:t xml:space="preserve">590551</x:t>
        </x:is>
      </x:c>
      <x:c r="B300" s="20" t="inlineStr">
        <x:is>
          <x:t xml:space="preserve">59</x:t>
        </x:is>
      </x:c>
      <x:c r="C300" s="20" t="inlineStr">
        <x:is>
          <x:t xml:space="preserve">SEMINOLE</x:t>
        </x:is>
      </x:c>
      <x:c r="D300" s="20" t="inlineStr">
        <x:is>
          <x:t xml:space="preserve">0551</x:t>
        </x:is>
      </x:c>
      <x:c r="E300" s="20" t="inlineStr">
        <x:is>
          <x:t xml:space="preserve">LAKE HOWELL HIGH SCHOOL</x:t>
        </x:is>
      </x:c>
      <x:c r="F300" s="20" t="inlineStr">
        <x:is>
          <x:t xml:space="preserve">03</x:t>
        </x:is>
      </x:c>
      <x:c r="G300" s="20" t="inlineStr">
        <x:is>
          <x:t xml:space="preserve">Senior High</x:t>
        </x:is>
      </x:c>
      <x:c r="H300" s="20" t="inlineStr">
        <x:is>
          <x:t xml:space="preserve">NO</x:t>
        </x:is>
      </x:c>
      <x:c r="I300" s="20" t="inlineStr">
        <x:is>
          <x:t xml:space="preserve">NO</x:t>
        </x:is>
      </x:c>
      <x:c r="J300" s="20" t="inlineStr">
        <x:is>
          <x:t xml:space="preserve">N</x:t>
        </x:is>
      </x:c>
      <x:c r="K300" s="25" t="n">
        <x:v>63</x:v>
      </x:c>
      <x:c r="L300" s="25" t="n">
        <x:v>64</x:v>
      </x:c>
      <x:c r="M300" s="25" t="n">
        <x:v>48</x:v>
      </x:c>
      <x:c r="N300" s="25" t="n">
        <x:v>58</x:v>
      </x:c>
      <x:c r="O300" s="25" t="n">
        <x:v>75</x:v>
      </x:c>
      <x:c r="P300" s="25" t="n">
        <x:v>76</x:v>
      </x:c>
      <x:c r="Q300" s="25" t="n">
        <x:v>98</x:v>
      </x:c>
      <x:c r="R300" s="25" t="n">
        <x:v>57</x:v>
      </x:c>
      <x:c r="S300" s="20" t="n">
        <x:v>664</x:v>
      </x:c>
      <x:c r="T300" s="20" t="n">
        <x:v>10</x:v>
      </x:c>
      <x:c r="U300" s="25" t="n">
        <x:v>66</x:v>
      </x:c>
      <x:c r="V300" s="25" t="n">
        <x:v>96</x:v>
      </x:c>
      <x:c r="W300" s="20" t="inlineStr">
        <x:is>
          <x:t xml:space="preserve">A</x:t>
        </x:is>
      </x:c>
      <x:c r="X300" s="20" t="inlineStr">
        <x:is>
          <x:t xml:space="preserve">A</x:t>
        </x:is>
      </x:c>
      <x:c r="Y300" s="25" t="n">
        <x:v>53</x:v>
      </x:c>
      <x:c r="Z300" s="20" t="inlineStr">
        <x:is>
          <x:t xml:space="preserve">https://www.fldoe.org/file/18534/SchoolGrades25.xlsx</x:t>
        </x:is>
      </x:c>
    </x:row>
    <x:row r="301">
      <x:c r="A301" s="20" t="inlineStr">
        <x:is>
          <x:t xml:space="preserve">590561</x:t>
        </x:is>
      </x:c>
      <x:c r="B301" s="20" t="inlineStr">
        <x:is>
          <x:t xml:space="preserve">59</x:t>
        </x:is>
      </x:c>
      <x:c r="C301" s="20" t="inlineStr">
        <x:is>
          <x:t xml:space="preserve">SEMINOLE</x:t>
        </x:is>
      </x:c>
      <x:c r="D301" s="20" t="inlineStr">
        <x:is>
          <x:t xml:space="preserve">0561</x:t>
        </x:is>
      </x:c>
      <x:c r="E301" s="20" t="inlineStr">
        <x:is>
          <x:t xml:space="preserve">ALTAMONTE ELEMENTARY SCHOOL</x:t>
        </x:is>
      </x:c>
      <x:c r="F301" s="20" t="inlineStr">
        <x:is>
          <x:t xml:space="preserve">01</x:t>
        </x:is>
      </x:c>
      <x:c r="G301" s="20" t="inlineStr">
        <x:is>
          <x:t xml:space="preserve">Elementary</x:t>
        </x:is>
      </x:c>
      <x:c r="H301" s="20" t="inlineStr">
        <x:is>
          <x:t xml:space="preserve">NO</x:t>
        </x:is>
      </x:c>
      <x:c r="I301" s="20" t="inlineStr">
        <x:is>
          <x:t xml:space="preserve">YES</x:t>
        </x:is>
      </x:c>
      <x:c r="J301" s="20" t="inlineStr">
        <x:is>
          <x:t xml:space="preserve">N</x:t>
        </x:is>
      </x:c>
      <x:c r="K301" s="25" t="n">
        <x:v>54</x:v>
      </x:c>
      <x:c r="L301" s="25" t="n">
        <x:v>57</x:v>
      </x:c>
      <x:c r="M301" s="25" t="n">
        <x:v>54</x:v>
      </x:c>
      <x:c r="N301" s="25" t="n">
        <x:v>64</x:v>
      </x:c>
      <x:c r="O301" s="25" t="n">
        <x:v>48</x:v>
      </x:c>
      <x:c r="P301" s="25" t="n"/>
      <x:c r="Q301" s="25" t="n"/>
      <x:c r="R301" s="25" t="n"/>
      <x:c r="S301" s="20" t="n">
        <x:v>451</x:v>
      </x:c>
      <x:c r="T301" s="20" t="n">
        <x:v>8</x:v>
      </x:c>
      <x:c r="U301" s="25" t="n">
        <x:v>56</x:v>
      </x:c>
      <x:c r="V301" s="25" t="n">
        <x:v>96</x:v>
      </x:c>
      <x:c r="W301" s="20" t="inlineStr">
        <x:is>
          <x:t xml:space="preserve">B</x:t>
        </x:is>
      </x:c>
      <x:c r="X301" s="20" t="inlineStr">
        <x:is>
          <x:t xml:space="preserve">B</x:t>
        </x:is>
      </x:c>
      <x:c r="Y301" s="25" t="n">
        <x:v>84.5</x:v>
      </x:c>
      <x:c r="Z301" s="20" t="inlineStr">
        <x:is>
          <x:t xml:space="preserve">https://www.fldoe.org/file/18534/SchoolGrades25.xlsx</x:t>
        </x:is>
      </x:c>
    </x:row>
    <x:row r="302">
      <x:c r="A302" s="20" t="inlineStr">
        <x:is>
          <x:t xml:space="preserve">590581</x:t>
        </x:is>
      </x:c>
      <x:c r="B302" s="20" t="inlineStr">
        <x:is>
          <x:t xml:space="preserve">59</x:t>
        </x:is>
      </x:c>
      <x:c r="C302" s="20" t="inlineStr">
        <x:is>
          <x:t xml:space="preserve">SEMINOLE</x:t>
        </x:is>
      </x:c>
      <x:c r="D302" s="20" t="inlineStr">
        <x:is>
          <x:t xml:space="preserve">0581</x:t>
        </x:is>
      </x:c>
      <x:c r="E302" s="20" t="inlineStr">
        <x:is>
          <x:t xml:space="preserve">SABAL POINT ELEMENTARY SCHOOL</x:t>
        </x:is>
      </x:c>
      <x:c r="F302" s="20" t="inlineStr">
        <x:is>
          <x:t xml:space="preserve">01</x:t>
        </x:is>
      </x:c>
      <x:c r="G302" s="20" t="inlineStr">
        <x:is>
          <x:t xml:space="preserve">Elementary</x:t>
        </x:is>
      </x:c>
      <x:c r="H302" s="20" t="inlineStr">
        <x:is>
          <x:t xml:space="preserve">NO</x:t>
        </x:is>
      </x:c>
      <x:c r="I302" s="20" t="inlineStr">
        <x:is>
          <x:t xml:space="preserve">NO</x:t>
        </x:is>
      </x:c>
      <x:c r="J302" s="20" t="inlineStr">
        <x:is>
          <x:t xml:space="preserve">N</x:t>
        </x:is>
      </x:c>
      <x:c r="K302" s="25" t="n">
        <x:v>84</x:v>
      </x:c>
      <x:c r="L302" s="25" t="n">
        <x:v>74</x:v>
      </x:c>
      <x:c r="M302" s="25" t="n">
        <x:v>84</x:v>
      </x:c>
      <x:c r="N302" s="25" t="n">
        <x:v>76</x:v>
      </x:c>
      <x:c r="O302" s="25" t="n">
        <x:v>81</x:v>
      </x:c>
      <x:c r="P302" s="25" t="n"/>
      <x:c r="Q302" s="25" t="n"/>
      <x:c r="R302" s="25" t="n"/>
      <x:c r="S302" s="20" t="n">
        <x:v>598</x:v>
      </x:c>
      <x:c r="T302" s="20" t="n">
        <x:v>8</x:v>
      </x:c>
      <x:c r="U302" s="25" t="n">
        <x:v>75</x:v>
      </x:c>
      <x:c r="V302" s="25" t="n">
        <x:v>99</x:v>
      </x:c>
      <x:c r="W302" s="20" t="inlineStr">
        <x:is>
          <x:t xml:space="preserve">A</x:t>
        </x:is>
      </x:c>
      <x:c r="X302" s="20" t="inlineStr">
        <x:is>
          <x:t xml:space="preserve">A</x:t>
        </x:is>
      </x:c>
      <x:c r="Y302" s="25" t="n">
        <x:v>35.7</x:v>
      </x:c>
      <x:c r="Z302" s="20" t="inlineStr">
        <x:is>
          <x:t xml:space="preserve">https://www.fldoe.org/file/18534/SchoolGrades25.xlsx</x:t>
        </x:is>
      </x:c>
    </x:row>
    <x:row r="303">
      <x:c r="A303" s="20" t="inlineStr">
        <x:is>
          <x:t xml:space="preserve">590591</x:t>
        </x:is>
      </x:c>
      <x:c r="B303" s="20" t="inlineStr">
        <x:is>
          <x:t xml:space="preserve">59</x:t>
        </x:is>
      </x:c>
      <x:c r="C303" s="20" t="inlineStr">
        <x:is>
          <x:t xml:space="preserve">SEMINOLE</x:t>
        </x:is>
      </x:c>
      <x:c r="D303" s="20" t="inlineStr">
        <x:is>
          <x:t xml:space="preserve">0591</x:t>
        </x:is>
      </x:c>
      <x:c r="E303" s="20" t="inlineStr">
        <x:is>
          <x:t xml:space="preserve">WOODLANDS ELEMENTARY SCHOOL</x:t>
        </x:is>
      </x:c>
      <x:c r="F303" s="20" t="inlineStr">
        <x:is>
          <x:t xml:space="preserve">01</x:t>
        </x:is>
      </x:c>
      <x:c r="G303" s="20" t="inlineStr">
        <x:is>
          <x:t xml:space="preserve">Elementary</x:t>
        </x:is>
      </x:c>
      <x:c r="H303" s="20" t="inlineStr">
        <x:is>
          <x:t xml:space="preserve">NO</x:t>
        </x:is>
      </x:c>
      <x:c r="I303" s="20" t="inlineStr">
        <x:is>
          <x:t xml:space="preserve">NO</x:t>
        </x:is>
      </x:c>
      <x:c r="J303" s="20" t="inlineStr">
        <x:is>
          <x:t xml:space="preserve">N</x:t>
        </x:is>
      </x:c>
      <x:c r="K303" s="25" t="n">
        <x:v>80</x:v>
      </x:c>
      <x:c r="L303" s="25" t="n">
        <x:v>64</x:v>
      </x:c>
      <x:c r="M303" s="25" t="n">
        <x:v>82</x:v>
      </x:c>
      <x:c r="N303" s="25" t="n">
        <x:v>70</x:v>
      </x:c>
      <x:c r="O303" s="25" t="n">
        <x:v>78</x:v>
      </x:c>
      <x:c r="P303" s="25" t="n"/>
      <x:c r="Q303" s="25" t="n"/>
      <x:c r="R303" s="25" t="n"/>
      <x:c r="S303" s="20" t="n">
        <x:v>570</x:v>
      </x:c>
      <x:c r="T303" s="20" t="n">
        <x:v>8</x:v>
      </x:c>
      <x:c r="U303" s="25" t="n">
        <x:v>71</x:v>
      </x:c>
      <x:c r="V303" s="25" t="n">
        <x:v>100</x:v>
      </x:c>
      <x:c r="W303" s="20" t="inlineStr">
        <x:is>
          <x:t xml:space="preserve">A</x:t>
        </x:is>
      </x:c>
      <x:c r="X303" s="20" t="inlineStr">
        <x:is>
          <x:t xml:space="preserve">A</x:t>
        </x:is>
      </x:c>
      <x:c r="Y303" s="25" t="n">
        <x:v>36.6</x:v>
      </x:c>
      <x:c r="Z303" s="20" t="inlineStr">
        <x:is>
          <x:t xml:space="preserve">https://www.fldoe.org/file/18534/SchoolGrades25.xlsx</x:t>
        </x:is>
      </x:c>
    </x:row>
    <x:row r="304">
      <x:c r="A304" s="20" t="inlineStr">
        <x:is>
          <x:t xml:space="preserve">590601</x:t>
        </x:is>
      </x:c>
      <x:c r="B304" s="20" t="inlineStr">
        <x:is>
          <x:t xml:space="preserve">59</x:t>
        </x:is>
      </x:c>
      <x:c r="C304" s="20" t="inlineStr">
        <x:is>
          <x:t xml:space="preserve">SEMINOLE</x:t>
        </x:is>
      </x:c>
      <x:c r="D304" s="20" t="inlineStr">
        <x:is>
          <x:t xml:space="preserve">0601</x:t>
        </x:is>
      </x:c>
      <x:c r="E304" s="20" t="inlineStr">
        <x:is>
          <x:t xml:space="preserve">LAKE ORIENTA ELEMENTARY SCHOOL</x:t>
        </x:is>
      </x:c>
      <x:c r="F304" s="20" t="inlineStr">
        <x:is>
          <x:t xml:space="preserve">01</x:t>
        </x:is>
      </x:c>
      <x:c r="G304" s="20" t="inlineStr">
        <x:is>
          <x:t xml:space="preserve">Elementary</x:t>
        </x:is>
      </x:c>
      <x:c r="H304" s="20" t="inlineStr">
        <x:is>
          <x:t xml:space="preserve">NO</x:t>
        </x:is>
      </x:c>
      <x:c r="I304" s="20" t="inlineStr">
        <x:is>
          <x:t xml:space="preserve">YES</x:t>
        </x:is>
      </x:c>
      <x:c r="J304" s="20" t="inlineStr">
        <x:is>
          <x:t xml:space="preserve">N</x:t>
        </x:is>
      </x:c>
      <x:c r="K304" s="25" t="n">
        <x:v>55</x:v>
      </x:c>
      <x:c r="L304" s="25" t="n">
        <x:v>49</x:v>
      </x:c>
      <x:c r="M304" s="25" t="n">
        <x:v>44</x:v>
      </x:c>
      <x:c r="N304" s="25" t="n">
        <x:v>45</x:v>
      </x:c>
      <x:c r="O304" s="25" t="n">
        <x:v>55</x:v>
      </x:c>
      <x:c r="P304" s="25" t="n"/>
      <x:c r="Q304" s="25" t="n"/>
      <x:c r="R304" s="25" t="n"/>
      <x:c r="S304" s="20" t="n">
        <x:v>371</x:v>
      </x:c>
      <x:c r="T304" s="20" t="n">
        <x:v>8</x:v>
      </x:c>
      <x:c r="U304" s="25" t="n">
        <x:v>46</x:v>
      </x:c>
      <x:c r="V304" s="25" t="n">
        <x:v>100</x:v>
      </x:c>
      <x:c r="W304" s="20" t="inlineStr">
        <x:is>
          <x:t xml:space="preserve">C</x:t>
        </x:is>
      </x:c>
      <x:c r="X304" s="20" t="inlineStr">
        <x:is>
          <x:t xml:space="preserve">B</x:t>
        </x:is>
      </x:c>
      <x:c r="Y304" s="25" t="n">
        <x:v>74.8</x:v>
      </x:c>
      <x:c r="Z304" s="20" t="inlineStr">
        <x:is>
          <x:t xml:space="preserve">https://www.fldoe.org/file/18534/SchoolGrades25.xlsx</x:t>
        </x:is>
      </x:c>
    </x:row>
    <x:row r="305">
      <x:c r="A305" s="20" t="inlineStr">
        <x:is>
          <x:t xml:space="preserve">590611</x:t>
        </x:is>
      </x:c>
      <x:c r="B305" s="20" t="inlineStr">
        <x:is>
          <x:t xml:space="preserve">59</x:t>
        </x:is>
      </x:c>
      <x:c r="C305" s="20" t="inlineStr">
        <x:is>
          <x:t xml:space="preserve">SEMINOLE</x:t>
        </x:is>
      </x:c>
      <x:c r="D305" s="20" t="inlineStr">
        <x:is>
          <x:t xml:space="preserve">0611</x:t>
        </x:is>
      </x:c>
      <x:c r="E305" s="20" t="inlineStr">
        <x:is>
          <x:t xml:space="preserve">STERLING PARK ELEMENTARY SCHOOL</x:t>
        </x:is>
      </x:c>
      <x:c r="F305" s="20" t="inlineStr">
        <x:is>
          <x:t xml:space="preserve">01</x:t>
        </x:is>
      </x:c>
      <x:c r="G305" s="20" t="inlineStr">
        <x:is>
          <x:t xml:space="preserve">Elementary</x:t>
        </x:is>
      </x:c>
      <x:c r="H305" s="20" t="inlineStr">
        <x:is>
          <x:t xml:space="preserve">NO</x:t>
        </x:is>
      </x:c>
      <x:c r="I305" s="20" t="inlineStr">
        <x:is>
          <x:t xml:space="preserve">NO</x:t>
        </x:is>
      </x:c>
      <x:c r="J305" s="20" t="inlineStr">
        <x:is>
          <x:t xml:space="preserve">N</x:t>
        </x:is>
      </x:c>
      <x:c r="K305" s="25" t="n">
        <x:v>67</x:v>
      </x:c>
      <x:c r="L305" s="25" t="n">
        <x:v>64</x:v>
      </x:c>
      <x:c r="M305" s="25" t="n">
        <x:v>60</x:v>
      </x:c>
      <x:c r="N305" s="25" t="n">
        <x:v>51</x:v>
      </x:c>
      <x:c r="O305" s="25" t="n">
        <x:v>62</x:v>
      </x:c>
      <x:c r="P305" s="25" t="n"/>
      <x:c r="Q305" s="25" t="n"/>
      <x:c r="R305" s="25" t="n"/>
      <x:c r="S305" s="20" t="n">
        <x:v>476</x:v>
      </x:c>
      <x:c r="T305" s="20" t="n">
        <x:v>8</x:v>
      </x:c>
      <x:c r="U305" s="25" t="n">
        <x:v>60</x:v>
      </x:c>
      <x:c r="V305" s="25" t="n">
        <x:v>99</x:v>
      </x:c>
      <x:c r="W305" s="20" t="inlineStr">
        <x:is>
          <x:t xml:space="preserve">B</x:t>
        </x:is>
      </x:c>
      <x:c r="X305" s="20" t="inlineStr">
        <x:is>
          <x:t xml:space="preserve">C</x:t>
        </x:is>
      </x:c>
      <x:c r="Y305" s="25" t="n">
        <x:v>55</x:v>
      </x:c>
      <x:c r="Z305" s="20" t="inlineStr">
        <x:is>
          <x:t xml:space="preserve">https://www.fldoe.org/file/18534/SchoolGrades25.xlsx</x:t>
        </x:is>
      </x:c>
    </x:row>
    <x:row r="306">
      <x:c r="A306" s="20" t="inlineStr">
        <x:is>
          <x:t xml:space="preserve">590621</x:t>
        </x:is>
      </x:c>
      <x:c r="B306" s="20" t="inlineStr">
        <x:is>
          <x:t xml:space="preserve">59</x:t>
        </x:is>
      </x:c>
      <x:c r="C306" s="20" t="inlineStr">
        <x:is>
          <x:t xml:space="preserve">SEMINOLE</x:t>
        </x:is>
      </x:c>
      <x:c r="D306" s="20" t="inlineStr">
        <x:is>
          <x:t xml:space="preserve">0621</x:t>
        </x:is>
      </x:c>
      <x:c r="E306" s="20" t="inlineStr">
        <x:is>
          <x:t xml:space="preserve">ROCK LAKE MIDDLE SCHOOL</x:t>
        </x:is>
      </x:c>
      <x:c r="F306" s="20" t="inlineStr">
        <x:is>
          <x:t xml:space="preserve">02</x:t>
        </x:is>
      </x:c>
      <x:c r="G306" s="20" t="inlineStr">
        <x:is>
          <x:t xml:space="preserve">Middle/Junior</x:t>
        </x:is>
      </x:c>
      <x:c r="H306" s="20" t="inlineStr">
        <x:is>
          <x:t xml:space="preserve">NO</x:t>
        </x:is>
      </x:c>
      <x:c r="I306" s="20" t="inlineStr">
        <x:is>
          <x:t xml:space="preserve">NO</x:t>
        </x:is>
      </x:c>
      <x:c r="J306" s="20" t="inlineStr">
        <x:is>
          <x:t xml:space="preserve">N</x:t>
        </x:is>
      </x:c>
      <x:c r="K306" s="25" t="n">
        <x:v>70</x:v>
      </x:c>
      <x:c r="L306" s="25" t="n">
        <x:v>59</x:v>
      </x:c>
      <x:c r="M306" s="25" t="n">
        <x:v>82</x:v>
      </x:c>
      <x:c r="N306" s="25" t="n">
        <x:v>69</x:v>
      </x:c>
      <x:c r="O306" s="25" t="n">
        <x:v>68</x:v>
      </x:c>
      <x:c r="P306" s="25" t="n">
        <x:v>81</x:v>
      </x:c>
      <x:c r="Q306" s="25" t="n"/>
      <x:c r="R306" s="25" t="n"/>
      <x:c r="S306" s="20" t="n">
        <x:v>623</x:v>
      </x:c>
      <x:c r="T306" s="20" t="n">
        <x:v>9</x:v>
      </x:c>
      <x:c r="U306" s="25" t="n">
        <x:v>69</x:v>
      </x:c>
      <x:c r="V306" s="25" t="n">
        <x:v>99</x:v>
      </x:c>
      <x:c r="W306" s="20" t="inlineStr">
        <x:is>
          <x:t xml:space="preserve">A</x:t>
        </x:is>
      </x:c>
      <x:c r="X306" s="20" t="inlineStr">
        <x:is>
          <x:t xml:space="preserve">A</x:t>
        </x:is>
      </x:c>
      <x:c r="Y306" s="25" t="n">
        <x:v>40.3</x:v>
      </x:c>
      <x:c r="Z306" s="20" t="inlineStr">
        <x:is>
          <x:t xml:space="preserve">https://www.fldoe.org/file/18534/SchoolGrades25.xlsx</x:t>
        </x:is>
      </x:c>
    </x:row>
    <x:row r="307">
      <x:c r="A307" s="20" t="inlineStr">
        <x:is>
          <x:t xml:space="preserve">590651</x:t>
        </x:is>
      </x:c>
      <x:c r="B307" s="20" t="inlineStr">
        <x:is>
          <x:t xml:space="preserve">59</x:t>
        </x:is>
      </x:c>
      <x:c r="C307" s="20" t="inlineStr">
        <x:is>
          <x:t xml:space="preserve">SEMINOLE</x:t>
        </x:is>
      </x:c>
      <x:c r="D307" s="20" t="inlineStr">
        <x:is>
          <x:t xml:space="preserve">0651</x:t>
        </x:is>
      </x:c>
      <x:c r="E307" s="20" t="inlineStr">
        <x:is>
          <x:t xml:space="preserve">WEKIVA ELEMENTARY SCHOOL</x:t>
        </x:is>
      </x:c>
      <x:c r="F307" s="20" t="inlineStr">
        <x:is>
          <x:t xml:space="preserve">01</x:t>
        </x:is>
      </x:c>
      <x:c r="G307" s="20" t="inlineStr">
        <x:is>
          <x:t xml:space="preserve">Elementary</x:t>
        </x:is>
      </x:c>
      <x:c r="H307" s="20" t="inlineStr">
        <x:is>
          <x:t xml:space="preserve">NO</x:t>
        </x:is>
      </x:c>
      <x:c r="I307" s="20" t="inlineStr">
        <x:is>
          <x:t xml:space="preserve">NO</x:t>
        </x:is>
      </x:c>
      <x:c r="J307" s="20" t="inlineStr">
        <x:is>
          <x:t xml:space="preserve">N</x:t>
        </x:is>
      </x:c>
      <x:c r="K307" s="25" t="n">
        <x:v>71</x:v>
      </x:c>
      <x:c r="L307" s="25" t="n">
        <x:v>60</x:v>
      </x:c>
      <x:c r="M307" s="25" t="n">
        <x:v>68</x:v>
      </x:c>
      <x:c r="N307" s="25" t="n">
        <x:v>61</x:v>
      </x:c>
      <x:c r="O307" s="25" t="n">
        <x:v>71</x:v>
      </x:c>
      <x:c r="P307" s="25" t="n"/>
      <x:c r="Q307" s="25" t="n"/>
      <x:c r="R307" s="25" t="n"/>
      <x:c r="S307" s="20" t="n">
        <x:v>516</x:v>
      </x:c>
      <x:c r="T307" s="20" t="n">
        <x:v>8</x:v>
      </x:c>
      <x:c r="U307" s="25" t="n">
        <x:v>65</x:v>
      </x:c>
      <x:c r="V307" s="25" t="n">
        <x:v>100</x:v>
      </x:c>
      <x:c r="W307" s="20" t="inlineStr">
        <x:is>
          <x:t xml:space="preserve">A</x:t>
        </x:is>
      </x:c>
      <x:c r="X307" s="20" t="inlineStr">
        <x:is>
          <x:t xml:space="preserve">A</x:t>
        </x:is>
      </x:c>
      <x:c r="Y307" s="25" t="n">
        <x:v>38.3</x:v>
      </x:c>
      <x:c r="Z307" s="20" t="inlineStr">
        <x:is>
          <x:t xml:space="preserve">https://www.fldoe.org/file/18534/SchoolGrades25.xlsx</x:t>
        </x:is>
      </x:c>
    </x:row>
    <x:row r="308">
      <x:c r="A308" s="20" t="inlineStr">
        <x:is>
          <x:t xml:space="preserve">590661</x:t>
        </x:is>
      </x:c>
      <x:c r="B308" s="20" t="inlineStr">
        <x:is>
          <x:t xml:space="preserve">59</x:t>
        </x:is>
      </x:c>
      <x:c r="C308" s="20" t="inlineStr">
        <x:is>
          <x:t xml:space="preserve">SEMINOLE</x:t>
        </x:is>
      </x:c>
      <x:c r="D308" s="20" t="inlineStr">
        <x:is>
          <x:t xml:space="preserve">0661</x:t>
        </x:is>
      </x:c>
      <x:c r="E308" s="20" t="inlineStr">
        <x:is>
          <x:t xml:space="preserve">KEETH ELEMENTARY SCHOOL</x:t>
        </x:is>
      </x:c>
      <x:c r="F308" s="20" t="inlineStr">
        <x:is>
          <x:t xml:space="preserve">01</x:t>
        </x:is>
      </x:c>
      <x:c r="G308" s="20" t="inlineStr">
        <x:is>
          <x:t xml:space="preserve">Elementary</x:t>
        </x:is>
      </x:c>
      <x:c r="H308" s="20" t="inlineStr">
        <x:is>
          <x:t xml:space="preserve">NO</x:t>
        </x:is>
      </x:c>
      <x:c r="I308" s="20" t="inlineStr">
        <x:is>
          <x:t xml:space="preserve">NO</x:t>
        </x:is>
      </x:c>
      <x:c r="J308" s="20" t="inlineStr">
        <x:is>
          <x:t xml:space="preserve">N</x:t>
        </x:is>
      </x:c>
      <x:c r="K308" s="25" t="n">
        <x:v>81</x:v>
      </x:c>
      <x:c r="L308" s="25" t="n">
        <x:v>71</x:v>
      </x:c>
      <x:c r="M308" s="25" t="n">
        <x:v>79</x:v>
      </x:c>
      <x:c r="N308" s="25" t="n">
        <x:v>69</x:v>
      </x:c>
      <x:c r="O308" s="25" t="n">
        <x:v>84</x:v>
      </x:c>
      <x:c r="P308" s="25" t="n"/>
      <x:c r="Q308" s="25" t="n"/>
      <x:c r="R308" s="25" t="n"/>
      <x:c r="S308" s="20" t="n">
        <x:v>582</x:v>
      </x:c>
      <x:c r="T308" s="20" t="n">
        <x:v>8</x:v>
      </x:c>
      <x:c r="U308" s="25" t="n">
        <x:v>73</x:v>
      </x:c>
      <x:c r="V308" s="25" t="n">
        <x:v>100</x:v>
      </x:c>
      <x:c r="W308" s="20" t="inlineStr">
        <x:is>
          <x:t xml:space="preserve">A</x:t>
        </x:is>
      </x:c>
      <x:c r="X308" s="20" t="inlineStr">
        <x:is>
          <x:t xml:space="preserve">A</x:t>
        </x:is>
      </x:c>
      <x:c r="Y308" s="25" t="n">
        <x:v>31.2</x:v>
      </x:c>
      <x:c r="Z308" s="20" t="inlineStr">
        <x:is>
          <x:t xml:space="preserve">https://www.fldoe.org/file/18534/SchoolGrades25.xlsx</x:t>
        </x:is>
      </x:c>
    </x:row>
    <x:row r="309">
      <x:c r="A309" s="20" t="inlineStr">
        <x:is>
          <x:t xml:space="preserve">590671</x:t>
        </x:is>
      </x:c>
      <x:c r="B309" s="20" t="inlineStr">
        <x:is>
          <x:t xml:space="preserve">59</x:t>
        </x:is>
      </x:c>
      <x:c r="C309" s="20" t="inlineStr">
        <x:is>
          <x:t xml:space="preserve">SEMINOLE</x:t>
        </x:is>
      </x:c>
      <x:c r="D309" s="20" t="inlineStr">
        <x:is>
          <x:t xml:space="preserve">0671</x:t>
        </x:is>
      </x:c>
      <x:c r="E309" s="20" t="inlineStr">
        <x:is>
          <x:t xml:space="preserve">GREENWOOD LAKES MIDDLE SCHOOL</x:t>
        </x:is>
      </x:c>
      <x:c r="F309" s="20" t="inlineStr">
        <x:is>
          <x:t xml:space="preserve">02</x:t>
        </x:is>
      </x:c>
      <x:c r="G309" s="20" t="inlineStr">
        <x:is>
          <x:t xml:space="preserve">Middle/Junior</x:t>
        </x:is>
      </x:c>
      <x:c r="H309" s="20" t="inlineStr">
        <x:is>
          <x:t xml:space="preserve">NO</x:t>
        </x:is>
      </x:c>
      <x:c r="I309" s="20" t="inlineStr">
        <x:is>
          <x:t xml:space="preserve">YES</x:t>
        </x:is>
      </x:c>
      <x:c r="J309" s="20" t="inlineStr">
        <x:is>
          <x:t xml:space="preserve">N</x:t>
        </x:is>
      </x:c>
      <x:c r="K309" s="25" t="n">
        <x:v>61</x:v>
      </x:c>
      <x:c r="L309" s="25" t="n">
        <x:v>60</x:v>
      </x:c>
      <x:c r="M309" s="25" t="n">
        <x:v>66</x:v>
      </x:c>
      <x:c r="N309" s="25" t="n">
        <x:v>68</x:v>
      </x:c>
      <x:c r="O309" s="25" t="n">
        <x:v>57</x:v>
      </x:c>
      <x:c r="P309" s="25" t="n">
        <x:v>81</x:v>
      </x:c>
      <x:c r="Q309" s="25" t="n"/>
      <x:c r="R309" s="25" t="n"/>
      <x:c r="S309" s="20" t="n">
        <x:v>593</x:v>
      </x:c>
      <x:c r="T309" s="20" t="n">
        <x:v>9</x:v>
      </x:c>
      <x:c r="U309" s="25" t="n">
        <x:v>66</x:v>
      </x:c>
      <x:c r="V309" s="25" t="n">
        <x:v>98</x:v>
      </x:c>
      <x:c r="W309" s="20" t="inlineStr">
        <x:is>
          <x:t xml:space="preserve">A</x:t>
        </x:is>
      </x:c>
      <x:c r="X309" s="20" t="inlineStr">
        <x:is>
          <x:t xml:space="preserve">B</x:t>
        </x:is>
      </x:c>
      <x:c r="Y309" s="25" t="n">
        <x:v>62</x:v>
      </x:c>
      <x:c r="Z309" s="20" t="inlineStr">
        <x:is>
          <x:t xml:space="preserve">https://www.fldoe.org/file/18534/SchoolGrades25.xlsx</x:t>
        </x:is>
      </x:c>
    </x:row>
    <x:row r="310">
      <x:c r="A310" s="20" t="inlineStr">
        <x:is>
          <x:t xml:space="preserve">590681</x:t>
        </x:is>
      </x:c>
      <x:c r="B310" s="20" t="inlineStr">
        <x:is>
          <x:t xml:space="preserve">59</x:t>
        </x:is>
      </x:c>
      <x:c r="C310" s="20" t="inlineStr">
        <x:is>
          <x:t xml:space="preserve">SEMINOLE</x:t>
        </x:is>
      </x:c>
      <x:c r="D310" s="20" t="inlineStr">
        <x:is>
          <x:t xml:space="preserve">0681</x:t>
        </x:is>
      </x:c>
      <x:c r="E310" s="20" t="inlineStr">
        <x:is>
          <x:t xml:space="preserve">STENSTROM ELEMENTARY SCHOOL</x:t>
        </x:is>
      </x:c>
      <x:c r="F310" s="20" t="inlineStr">
        <x:is>
          <x:t xml:space="preserve">01</x:t>
        </x:is>
      </x:c>
      <x:c r="G310" s="20" t="inlineStr">
        <x:is>
          <x:t xml:space="preserve">Elementary</x:t>
        </x:is>
      </x:c>
      <x:c r="H310" s="20" t="inlineStr">
        <x:is>
          <x:t xml:space="preserve">NO</x:t>
        </x:is>
      </x:c>
      <x:c r="I310" s="20" t="inlineStr">
        <x:is>
          <x:t xml:space="preserve">NO</x:t>
        </x:is>
      </x:c>
      <x:c r="J310" s="20" t="inlineStr">
        <x:is>
          <x:t xml:space="preserve">N</x:t>
        </x:is>
      </x:c>
      <x:c r="K310" s="25" t="n">
        <x:v>73</x:v>
      </x:c>
      <x:c r="L310" s="25" t="n">
        <x:v>65</x:v>
      </x:c>
      <x:c r="M310" s="25" t="n">
        <x:v>72</x:v>
      </x:c>
      <x:c r="N310" s="25" t="n">
        <x:v>68</x:v>
      </x:c>
      <x:c r="O310" s="25" t="n">
        <x:v>84</x:v>
      </x:c>
      <x:c r="P310" s="25" t="n"/>
      <x:c r="Q310" s="25" t="n"/>
      <x:c r="R310" s="25" t="n"/>
      <x:c r="S310" s="20" t="n">
        <x:v>556</x:v>
      </x:c>
      <x:c r="T310" s="20" t="n">
        <x:v>8</x:v>
      </x:c>
      <x:c r="U310" s="25" t="n">
        <x:v>70</x:v>
      </x:c>
      <x:c r="V310" s="25" t="n">
        <x:v>100</x:v>
      </x:c>
      <x:c r="W310" s="20" t="inlineStr">
        <x:is>
          <x:t xml:space="preserve">A</x:t>
        </x:is>
      </x:c>
      <x:c r="X310" s="20" t="inlineStr">
        <x:is>
          <x:t xml:space="preserve">A</x:t>
        </x:is>
      </x:c>
      <x:c r="Y310" s="25" t="n">
        <x:v>43.6</x:v>
      </x:c>
      <x:c r="Z310" s="20" t="inlineStr">
        <x:is>
          <x:t xml:space="preserve">https://www.fldoe.org/file/18534/SchoolGrades25.xlsx</x:t>
        </x:is>
      </x:c>
    </x:row>
    <x:row r="311">
      <x:c r="A311" s="20" t="inlineStr">
        <x:is>
          <x:t xml:space="preserve">590691</x:t>
        </x:is>
      </x:c>
      <x:c r="B311" s="20" t="inlineStr">
        <x:is>
          <x:t xml:space="preserve">59</x:t>
        </x:is>
      </x:c>
      <x:c r="C311" s="20" t="inlineStr">
        <x:is>
          <x:t xml:space="preserve">SEMINOLE</x:t>
        </x:is>
      </x:c>
      <x:c r="D311" s="20" t="inlineStr">
        <x:is>
          <x:t xml:space="preserve">0691</x:t>
        </x:is>
      </x:c>
      <x:c r="E311" s="20" t="inlineStr">
        <x:is>
          <x:t xml:space="preserve">HEATHROW ELEMENTARY SCHOOL</x:t>
        </x:is>
      </x:c>
      <x:c r="F311" s="20" t="inlineStr">
        <x:is>
          <x:t xml:space="preserve">01</x:t>
        </x:is>
      </x:c>
      <x:c r="G311" s="20" t="inlineStr">
        <x:is>
          <x:t xml:space="preserve">Elementary</x:t>
        </x:is>
      </x:c>
      <x:c r="H311" s="20" t="inlineStr">
        <x:is>
          <x:t xml:space="preserve">NO</x:t>
        </x:is>
      </x:c>
      <x:c r="I311" s="20" t="inlineStr">
        <x:is>
          <x:t xml:space="preserve">NO</x:t>
        </x:is>
      </x:c>
      <x:c r="J311" s="20" t="inlineStr">
        <x:is>
          <x:t xml:space="preserve">N</x:t>
        </x:is>
      </x:c>
      <x:c r="K311" s="25" t="n">
        <x:v>85</x:v>
      </x:c>
      <x:c r="L311" s="25" t="n">
        <x:v>74</x:v>
      </x:c>
      <x:c r="M311" s="25" t="n">
        <x:v>87</x:v>
      </x:c>
      <x:c r="N311" s="25" t="n">
        <x:v>79</x:v>
      </x:c>
      <x:c r="O311" s="25" t="n">
        <x:v>85</x:v>
      </x:c>
      <x:c r="P311" s="25" t="n"/>
      <x:c r="Q311" s="25" t="n"/>
      <x:c r="R311" s="25" t="n"/>
      <x:c r="S311" s="20" t="n">
        <x:v>628</x:v>
      </x:c>
      <x:c r="T311" s="20" t="n">
        <x:v>8</x:v>
      </x:c>
      <x:c r="U311" s="25" t="n">
        <x:v>79</x:v>
      </x:c>
      <x:c r="V311" s="25" t="n">
        <x:v>100</x:v>
      </x:c>
      <x:c r="W311" s="20" t="inlineStr">
        <x:is>
          <x:t xml:space="preserve">A</x:t>
        </x:is>
      </x:c>
      <x:c r="X311" s="20" t="inlineStr">
        <x:is>
          <x:t xml:space="preserve">A</x:t>
        </x:is>
      </x:c>
      <x:c r="Y311" s="25" t="n">
        <x:v>19</x:v>
      </x:c>
      <x:c r="Z311" s="20" t="inlineStr">
        <x:is>
          <x:t xml:space="preserve">https://www.fldoe.org/file/18534/SchoolGrades25.xlsx</x:t>
        </x:is>
      </x:c>
    </x:row>
    <x:row r="312">
      <x:c r="A312" s="20" t="inlineStr">
        <x:is>
          <x:t xml:space="preserve">590701</x:t>
        </x:is>
      </x:c>
      <x:c r="B312" s="20" t="inlineStr">
        <x:is>
          <x:t xml:space="preserve">59</x:t>
        </x:is>
      </x:c>
      <x:c r="C312" s="20" t="inlineStr">
        <x:is>
          <x:t xml:space="preserve">SEMINOLE</x:t>
        </x:is>
      </x:c>
      <x:c r="D312" s="20" t="inlineStr">
        <x:is>
          <x:t xml:space="preserve">0701</x:t>
        </x:is>
      </x:c>
      <x:c r="E312" s="20" t="inlineStr">
        <x:is>
          <x:t xml:space="preserve">PARTIN ELEMENTARY SCHOOL</x:t>
        </x:is>
      </x:c>
      <x:c r="F312" s="20" t="inlineStr">
        <x:is>
          <x:t xml:space="preserve">01</x:t>
        </x:is>
      </x:c>
      <x:c r="G312" s="20" t="inlineStr">
        <x:is>
          <x:t xml:space="preserve">Elementary</x:t>
        </x:is>
      </x:c>
      <x:c r="H312" s="20" t="inlineStr">
        <x:is>
          <x:t xml:space="preserve">NO</x:t>
        </x:is>
      </x:c>
      <x:c r="I312" s="20" t="inlineStr">
        <x:is>
          <x:t xml:space="preserve">NO</x:t>
        </x:is>
      </x:c>
      <x:c r="J312" s="20" t="inlineStr">
        <x:is>
          <x:t xml:space="preserve">N</x:t>
        </x:is>
      </x:c>
      <x:c r="K312" s="25" t="n">
        <x:v>81</x:v>
      </x:c>
      <x:c r="L312" s="25" t="n">
        <x:v>66</x:v>
      </x:c>
      <x:c r="M312" s="25" t="n">
        <x:v>83</x:v>
      </x:c>
      <x:c r="N312" s="25" t="n">
        <x:v>69</x:v>
      </x:c>
      <x:c r="O312" s="25" t="n">
        <x:v>80</x:v>
      </x:c>
      <x:c r="P312" s="25" t="n"/>
      <x:c r="Q312" s="25" t="n"/>
      <x:c r="R312" s="25" t="n"/>
      <x:c r="S312" s="20" t="n">
        <x:v>585</x:v>
      </x:c>
      <x:c r="T312" s="20" t="n">
        <x:v>8</x:v>
      </x:c>
      <x:c r="U312" s="25" t="n">
        <x:v>73</x:v>
      </x:c>
      <x:c r="V312" s="25" t="n">
        <x:v>99</x:v>
      </x:c>
      <x:c r="W312" s="20" t="inlineStr">
        <x:is>
          <x:t xml:space="preserve">A</x:t>
        </x:is>
      </x:c>
      <x:c r="X312" s="20" t="inlineStr">
        <x:is>
          <x:t xml:space="preserve">A</x:t>
        </x:is>
      </x:c>
      <x:c r="Y312" s="25" t="n">
        <x:v>28.8</x:v>
      </x:c>
      <x:c r="Z312" s="20" t="inlineStr">
        <x:is>
          <x:t xml:space="preserve">https://www.fldoe.org/file/18534/SchoolGrades25.xlsx</x:t>
        </x:is>
      </x:c>
    </x:row>
    <x:row r="313">
      <x:c r="A313" s="20" t="inlineStr">
        <x:is>
          <x:t xml:space="preserve">590711</x:t>
        </x:is>
      </x:c>
      <x:c r="B313" s="20" t="inlineStr">
        <x:is>
          <x:t xml:space="preserve">59</x:t>
        </x:is>
      </x:c>
      <x:c r="C313" s="20" t="inlineStr">
        <x:is>
          <x:t xml:space="preserve">SEMINOLE</x:t>
        </x:is>
      </x:c>
      <x:c r="D313" s="20" t="inlineStr">
        <x:is>
          <x:t xml:space="preserve">0711</x:t>
        </x:is>
      </x:c>
      <x:c r="E313" s="20" t="inlineStr">
        <x:is>
          <x:t xml:space="preserve">INDIAN TRAILS MIDDLE SCHOOL</x:t>
        </x:is>
      </x:c>
      <x:c r="F313" s="20" t="inlineStr">
        <x:is>
          <x:t xml:space="preserve">02</x:t>
        </x:is>
      </x:c>
      <x:c r="G313" s="20" t="inlineStr">
        <x:is>
          <x:t xml:space="preserve">Middle/Junior</x:t>
        </x:is>
      </x:c>
      <x:c r="H313" s="20" t="inlineStr">
        <x:is>
          <x:t xml:space="preserve">NO</x:t>
        </x:is>
      </x:c>
      <x:c r="I313" s="20" t="inlineStr">
        <x:is>
          <x:t xml:space="preserve">NO</x:t>
        </x:is>
      </x:c>
      <x:c r="J313" s="20" t="inlineStr">
        <x:is>
          <x:t xml:space="preserve">N</x:t>
        </x:is>
      </x:c>
      <x:c r="K313" s="25" t="n">
        <x:v>71</x:v>
      </x:c>
      <x:c r="L313" s="25" t="n">
        <x:v>62</x:v>
      </x:c>
      <x:c r="M313" s="25" t="n">
        <x:v>67</x:v>
      </x:c>
      <x:c r="N313" s="25" t="n">
        <x:v>56</x:v>
      </x:c>
      <x:c r="O313" s="25" t="n">
        <x:v>67</x:v>
      </x:c>
      <x:c r="P313" s="25" t="n">
        <x:v>83</x:v>
      </x:c>
      <x:c r="Q313" s="25" t="n"/>
      <x:c r="R313" s="25" t="n"/>
      <x:c r="S313" s="20" t="n">
        <x:v>596</x:v>
      </x:c>
      <x:c r="T313" s="20" t="n">
        <x:v>9</x:v>
      </x:c>
      <x:c r="U313" s="25" t="n">
        <x:v>66</x:v>
      </x:c>
      <x:c r="V313" s="25" t="n">
        <x:v>98</x:v>
      </x:c>
      <x:c r="W313" s="20" t="inlineStr">
        <x:is>
          <x:t xml:space="preserve">A</x:t>
        </x:is>
      </x:c>
      <x:c r="X313" s="20" t="inlineStr">
        <x:is>
          <x:t xml:space="preserve">B</x:t>
        </x:is>
      </x:c>
      <x:c r="Y313" s="25" t="n">
        <x:v>42.8</x:v>
      </x:c>
      <x:c r="Z313" s="20" t="inlineStr">
        <x:is>
          <x:t xml:space="preserve">https://www.fldoe.org/file/18534/SchoolGrades25.xlsx</x:t>
        </x:is>
      </x:c>
    </x:row>
    <x:row r="314">
      <x:c r="A314" s="20" t="inlineStr">
        <x:is>
          <x:t xml:space="preserve">590721</x:t>
        </x:is>
      </x:c>
      <x:c r="B314" s="20" t="inlineStr">
        <x:is>
          <x:t xml:space="preserve">59</x:t>
        </x:is>
      </x:c>
      <x:c r="C314" s="20" t="inlineStr">
        <x:is>
          <x:t xml:space="preserve">SEMINOLE</x:t>
        </x:is>
      </x:c>
      <x:c r="D314" s="20" t="inlineStr">
        <x:is>
          <x:t xml:space="preserve">0721</x:t>
        </x:is>
      </x:c>
      <x:c r="E314" s="20" t="inlineStr">
        <x:is>
          <x:t xml:space="preserve">CHILES MIDDLE SCHOOL</x:t>
        </x:is>
      </x:c>
      <x:c r="F314" s="20" t="inlineStr">
        <x:is>
          <x:t xml:space="preserve">02</x:t>
        </x:is>
      </x:c>
      <x:c r="G314" s="20" t="inlineStr">
        <x:is>
          <x:t xml:space="preserve">Middle/Junior</x:t>
        </x:is>
      </x:c>
      <x:c r="H314" s="20" t="inlineStr">
        <x:is>
          <x:t xml:space="preserve">NO</x:t>
        </x:is>
      </x:c>
      <x:c r="I314" s="20" t="inlineStr">
        <x:is>
          <x:t xml:space="preserve">NO</x:t>
        </x:is>
      </x:c>
      <x:c r="J314" s="20" t="inlineStr">
        <x:is>
          <x:t xml:space="preserve">N</x:t>
        </x:is>
      </x:c>
      <x:c r="K314" s="25" t="n">
        <x:v>77</x:v>
      </x:c>
      <x:c r="L314" s="25" t="n">
        <x:v>67</x:v>
      </x:c>
      <x:c r="M314" s="25" t="n">
        <x:v>82</x:v>
      </x:c>
      <x:c r="N314" s="25" t="n">
        <x:v>71</x:v>
      </x:c>
      <x:c r="O314" s="25" t="n">
        <x:v>71</x:v>
      </x:c>
      <x:c r="P314" s="25" t="n">
        <x:v>86</x:v>
      </x:c>
      <x:c r="Q314" s="25" t="n"/>
      <x:c r="R314" s="25" t="n"/>
      <x:c r="S314" s="20" t="n">
        <x:v>663</x:v>
      </x:c>
      <x:c r="T314" s="20" t="n">
        <x:v>9</x:v>
      </x:c>
      <x:c r="U314" s="25" t="n">
        <x:v>74</x:v>
      </x:c>
      <x:c r="V314" s="25" t="n">
        <x:v>99</x:v>
      </x:c>
      <x:c r="W314" s="20" t="inlineStr">
        <x:is>
          <x:t xml:space="preserve">A</x:t>
        </x:is>
      </x:c>
      <x:c r="X314" s="20" t="inlineStr">
        <x:is>
          <x:t xml:space="preserve">A</x:t>
        </x:is>
      </x:c>
      <x:c r="Y314" s="25" t="n">
        <x:v>26.9</x:v>
      </x:c>
      <x:c r="Z314" s="20" t="inlineStr">
        <x:is>
          <x:t xml:space="preserve">https://www.fldoe.org/file/18534/SchoolGrades25.xlsx</x:t>
        </x:is>
      </x:c>
    </x:row>
    <x:row r="315">
      <x:c r="A315" s="20" t="inlineStr">
        <x:is>
          <x:t xml:space="preserve">590731</x:t>
        </x:is>
      </x:c>
      <x:c r="B315" s="20" t="inlineStr">
        <x:is>
          <x:t xml:space="preserve">59</x:t>
        </x:is>
      </x:c>
      <x:c r="C315" s="20" t="inlineStr">
        <x:is>
          <x:t xml:space="preserve">SEMINOLE</x:t>
        </x:is>
      </x:c>
      <x:c r="D315" s="20" t="inlineStr">
        <x:is>
          <x:t xml:space="preserve">0731</x:t>
        </x:is>
      </x:c>
      <x:c r="E315" s="20" t="inlineStr">
        <x:is>
          <x:t xml:space="preserve">MARKHAM WOODS MIDDLE SCHOOL</x:t>
        </x:is>
      </x:c>
      <x:c r="F315" s="20" t="inlineStr">
        <x:is>
          <x:t xml:space="preserve">02</x:t>
        </x:is>
      </x:c>
      <x:c r="G315" s="20" t="inlineStr">
        <x:is>
          <x:t xml:space="preserve">Middle/Junior</x:t>
        </x:is>
      </x:c>
      <x:c r="H315" s="20" t="inlineStr">
        <x:is>
          <x:t xml:space="preserve">NO</x:t>
        </x:is>
      </x:c>
      <x:c r="I315" s="20" t="inlineStr">
        <x:is>
          <x:t xml:space="preserve">NO</x:t>
        </x:is>
      </x:c>
      <x:c r="J315" s="20" t="inlineStr">
        <x:is>
          <x:t xml:space="preserve">N</x:t>
        </x:is>
      </x:c>
      <x:c r="K315" s="25" t="n">
        <x:v>56</x:v>
      </x:c>
      <x:c r="L315" s="25" t="n">
        <x:v>54</x:v>
      </x:c>
      <x:c r="M315" s="25" t="n">
        <x:v>68</x:v>
      </x:c>
      <x:c r="N315" s="25" t="n">
        <x:v>69</x:v>
      </x:c>
      <x:c r="O315" s="25" t="n">
        <x:v>61</x:v>
      </x:c>
      <x:c r="P315" s="25" t="n">
        <x:v>77</x:v>
      </x:c>
      <x:c r="Q315" s="25" t="n"/>
      <x:c r="R315" s="25" t="n"/>
      <x:c r="S315" s="20" t="n">
        <x:v>580</x:v>
      </x:c>
      <x:c r="T315" s="20" t="n">
        <x:v>9</x:v>
      </x:c>
      <x:c r="U315" s="25" t="n">
        <x:v>64</x:v>
      </x:c>
      <x:c r="V315" s="25" t="n">
        <x:v>98</x:v>
      </x:c>
      <x:c r="W315" s="20" t="inlineStr">
        <x:is>
          <x:t xml:space="preserve">A</x:t>
        </x:is>
      </x:c>
      <x:c r="X315" s="20" t="inlineStr">
        <x:is>
          <x:t xml:space="preserve">B</x:t>
        </x:is>
      </x:c>
      <x:c r="Y315" s="25" t="n">
        <x:v>51.1</x:v>
      </x:c>
      <x:c r="Z315" s="20" t="inlineStr">
        <x:is>
          <x:t xml:space="preserve">https://www.fldoe.org/file/18534/SchoolGrades25.xlsx</x:t>
        </x:is>
      </x:c>
    </x:row>
    <x:row r="316">
      <x:c r="A316" s="20" t="inlineStr">
        <x:is>
          <x:t xml:space="preserve">590801</x:t>
        </x:is>
      </x:c>
      <x:c r="B316" s="20" t="inlineStr">
        <x:is>
          <x:t xml:space="preserve">59</x:t>
        </x:is>
      </x:c>
      <x:c r="C316" s="20" t="inlineStr">
        <x:is>
          <x:t xml:space="preserve">SEMINOLE</x:t>
        </x:is>
      </x:c>
      <x:c r="D316" s="20" t="inlineStr">
        <x:is>
          <x:t xml:space="preserve">0801</x:t>
        </x:is>
      </x:c>
      <x:c r="E316" s="20" t="inlineStr">
        <x:is>
          <x:t xml:space="preserve">BENTLEY ELEMENTARY SCHOOL</x:t>
        </x:is>
      </x:c>
      <x:c r="F316" s="20" t="inlineStr">
        <x:is>
          <x:t xml:space="preserve">01</x:t>
        </x:is>
      </x:c>
      <x:c r="G316" s="20" t="inlineStr">
        <x:is>
          <x:t xml:space="preserve">Elementary</x:t>
        </x:is>
      </x:c>
      <x:c r="H316" s="20" t="inlineStr">
        <x:is>
          <x:t xml:space="preserve">NO</x:t>
        </x:is>
      </x:c>
      <x:c r="I316" s="20" t="inlineStr">
        <x:is>
          <x:t xml:space="preserve">YES</x:t>
        </x:is>
      </x:c>
      <x:c r="J316" s="20" t="inlineStr">
        <x:is>
          <x:t xml:space="preserve">N</x:t>
        </x:is>
      </x:c>
      <x:c r="K316" s="25" t="n">
        <x:v>58</x:v>
      </x:c>
      <x:c r="L316" s="25" t="n">
        <x:v>66</x:v>
      </x:c>
      <x:c r="M316" s="25" t="n">
        <x:v>62</x:v>
      </x:c>
      <x:c r="N316" s="25" t="n">
        <x:v>73</x:v>
      </x:c>
      <x:c r="O316" s="25" t="n">
        <x:v>55</x:v>
      </x:c>
      <x:c r="P316" s="25" t="n"/>
      <x:c r="Q316" s="25" t="n"/>
      <x:c r="R316" s="25" t="n"/>
      <x:c r="S316" s="20" t="n">
        <x:v>498</x:v>
      </x:c>
      <x:c r="T316" s="20" t="n">
        <x:v>8</x:v>
      </x:c>
      <x:c r="U316" s="25" t="n">
        <x:v>62</x:v>
      </x:c>
      <x:c r="V316" s="25" t="n">
        <x:v>99</x:v>
      </x:c>
      <x:c r="W316" s="20" t="inlineStr">
        <x:is>
          <x:t xml:space="preserve">A</x:t>
        </x:is>
      </x:c>
      <x:c r="X316" s="20" t="inlineStr">
        <x:is>
          <x:t xml:space="preserve">C</x:t>
        </x:is>
      </x:c>
      <x:c r="Y316" s="25" t="n">
        <x:v>72.09999999999999</x:v>
      </x:c>
      <x:c r="Z316" s="20" t="inlineStr">
        <x:is>
          <x:t xml:space="preserve">https://www.fldoe.org/file/18534/SchoolGrades25.xlsx</x:t>
        </x:is>
      </x:c>
    </x:row>
    <x:row r="317">
      <x:c r="A317" s="20" t="inlineStr">
        <x:is>
          <x:t xml:space="preserve">590811</x:t>
        </x:is>
      </x:c>
      <x:c r="B317" s="20" t="inlineStr">
        <x:is>
          <x:t xml:space="preserve">59</x:t>
        </x:is>
      </x:c>
      <x:c r="C317" s="20" t="inlineStr">
        <x:is>
          <x:t xml:space="preserve">SEMINOLE</x:t>
        </x:is>
      </x:c>
      <x:c r="D317" s="20" t="inlineStr">
        <x:is>
          <x:t xml:space="preserve">0811</x:t>
        </x:is>
      </x:c>
      <x:c r="E317" s="20" t="inlineStr">
        <x:is>
          <x:t xml:space="preserve">WICKLOW ELEMENTARY SCHOOL</x:t>
        </x:is>
      </x:c>
      <x:c r="F317" s="20" t="inlineStr">
        <x:is>
          <x:t xml:space="preserve">01</x:t>
        </x:is>
      </x:c>
      <x:c r="G317" s="20" t="inlineStr">
        <x:is>
          <x:t xml:space="preserve">Elementary</x:t>
        </x:is>
      </x:c>
      <x:c r="H317" s="20" t="inlineStr">
        <x:is>
          <x:t xml:space="preserve">NO</x:t>
        </x:is>
      </x:c>
      <x:c r="I317" s="20" t="inlineStr">
        <x:is>
          <x:t xml:space="preserve">YES</x:t>
        </x:is>
      </x:c>
      <x:c r="J317" s="20" t="inlineStr">
        <x:is>
          <x:t xml:space="preserve">N</x:t>
        </x:is>
      </x:c>
      <x:c r="K317" s="25" t="n">
        <x:v>43</x:v>
      </x:c>
      <x:c r="L317" s="25" t="n">
        <x:v>47</x:v>
      </x:c>
      <x:c r="M317" s="25" t="n">
        <x:v>43</x:v>
      </x:c>
      <x:c r="N317" s="25" t="n">
        <x:v>39</x:v>
      </x:c>
      <x:c r="O317" s="25" t="n">
        <x:v>38</x:v>
      </x:c>
      <x:c r="P317" s="25" t="n"/>
      <x:c r="Q317" s="25" t="n"/>
      <x:c r="R317" s="25" t="n"/>
      <x:c r="S317" s="20" t="n">
        <x:v>339</x:v>
      </x:c>
      <x:c r="T317" s="20" t="n">
        <x:v>8</x:v>
      </x:c>
      <x:c r="U317" s="25" t="n">
        <x:v>42</x:v>
      </x:c>
      <x:c r="V317" s="25" t="n">
        <x:v>99</x:v>
      </x:c>
      <x:c r="W317" s="20" t="inlineStr">
        <x:is>
          <x:t xml:space="preserve">C</x:t>
        </x:is>
      </x:c>
      <x:c r="X317" s="20" t="inlineStr">
        <x:is>
          <x:t xml:space="preserve">C</x:t>
        </x:is>
      </x:c>
      <x:c r="Y317" s="25" t="n">
        <x:v>88.40000000000001</x:v>
      </x:c>
      <x:c r="Z317" s="20" t="inlineStr">
        <x:is>
          <x:t xml:space="preserve">https://www.fldoe.org/file/18534/SchoolGrades25.xlsx</x:t>
        </x:is>
      </x:c>
    </x:row>
    <x:row r="318">
      <x:c r="A318" s="20" t="inlineStr">
        <x:is>
          <x:t xml:space="preserve">590821</x:t>
        </x:is>
      </x:c>
      <x:c r="B318" s="20" t="inlineStr">
        <x:is>
          <x:t xml:space="preserve">59</x:t>
        </x:is>
      </x:c>
      <x:c r="C318" s="20" t="inlineStr">
        <x:is>
          <x:t xml:space="preserve">SEMINOLE</x:t>
        </x:is>
      </x:c>
      <x:c r="D318" s="20" t="inlineStr">
        <x:is>
          <x:t xml:space="preserve">0821</x:t>
        </x:is>
      </x:c>
      <x:c r="E318" s="20" t="inlineStr">
        <x:is>
          <x:t xml:space="preserve">CRYSTAL LAKE ELEMENTARY SCHOOL</x:t>
        </x:is>
      </x:c>
      <x:c r="F318" s="20" t="inlineStr">
        <x:is>
          <x:t xml:space="preserve">01</x:t>
        </x:is>
      </x:c>
      <x:c r="G318" s="20" t="inlineStr">
        <x:is>
          <x:t xml:space="preserve">Elementary</x:t>
        </x:is>
      </x:c>
      <x:c r="H318" s="20" t="inlineStr">
        <x:is>
          <x:t xml:space="preserve">NO</x:t>
        </x:is>
      </x:c>
      <x:c r="I318" s="20" t="inlineStr">
        <x:is>
          <x:t xml:space="preserve">NO</x:t>
        </x:is>
      </x:c>
      <x:c r="J318" s="20" t="inlineStr">
        <x:is>
          <x:t xml:space="preserve">N</x:t>
        </x:is>
      </x:c>
      <x:c r="K318" s="25" t="n">
        <x:v>60</x:v>
      </x:c>
      <x:c r="L318" s="25" t="n">
        <x:v>62</x:v>
      </x:c>
      <x:c r="M318" s="25" t="n">
        <x:v>60</x:v>
      </x:c>
      <x:c r="N318" s="25" t="n">
        <x:v>47</x:v>
      </x:c>
      <x:c r="O318" s="25" t="n">
        <x:v>61</x:v>
      </x:c>
      <x:c r="P318" s="25" t="n"/>
      <x:c r="Q318" s="25" t="n"/>
      <x:c r="R318" s="25" t="n"/>
      <x:c r="S318" s="20" t="n">
        <x:v>441</x:v>
      </x:c>
      <x:c r="T318" s="20" t="n">
        <x:v>8</x:v>
      </x:c>
      <x:c r="U318" s="25" t="n">
        <x:v>55</x:v>
      </x:c>
      <x:c r="V318" s="25" t="n">
        <x:v>100</x:v>
      </x:c>
      <x:c r="W318" s="20" t="inlineStr">
        <x:is>
          <x:t xml:space="preserve">B</x:t>
        </x:is>
      </x:c>
      <x:c r="X318" s="20" t="inlineStr">
        <x:is>
          <x:t xml:space="preserve">B</x:t>
        </x:is>
      </x:c>
      <x:c r="Y318" s="25" t="n">
        <x:v>54.3</x:v>
      </x:c>
      <x:c r="Z318" s="20" t="inlineStr">
        <x:is>
          <x:t xml:space="preserve">https://www.fldoe.org/file/18534/SchoolGrades25.xlsx</x:t>
        </x:is>
      </x:c>
    </x:row>
    <x:row r="319">
      <x:c r="A319" s="20" t="inlineStr">
        <x:is>
          <x:t xml:space="preserve">590911</x:t>
        </x:is>
      </x:c>
      <x:c r="B319" s="20" t="inlineStr">
        <x:is>
          <x:t xml:space="preserve">59</x:t>
        </x:is>
      </x:c>
      <x:c r="C319" s="20" t="inlineStr">
        <x:is>
          <x:t xml:space="preserve">SEMINOLE</x:t>
        </x:is>
      </x:c>
      <x:c r="D319" s="20" t="inlineStr">
        <x:is>
          <x:t xml:space="preserve">0911</x:t>
        </x:is>
      </x:c>
      <x:c r="E319" s="20" t="inlineStr">
        <x:is>
          <x:t xml:space="preserve">WINTER SPRINGS HIGH SCHOOL</x:t>
        </x:is>
      </x:c>
      <x:c r="F319" s="20" t="inlineStr">
        <x:is>
          <x:t xml:space="preserve">03</x:t>
        </x:is>
      </x:c>
      <x:c r="G319" s="20" t="inlineStr">
        <x:is>
          <x:t xml:space="preserve">Senior High</x:t>
        </x:is>
      </x:c>
      <x:c r="H319" s="20" t="inlineStr">
        <x:is>
          <x:t xml:space="preserve">NO</x:t>
        </x:is>
      </x:c>
      <x:c r="I319" s="20" t="inlineStr">
        <x:is>
          <x:t xml:space="preserve">NO</x:t>
        </x:is>
      </x:c>
      <x:c r="J319" s="20" t="inlineStr">
        <x:is>
          <x:t xml:space="preserve">N</x:t>
        </x:is>
      </x:c>
      <x:c r="K319" s="25" t="n">
        <x:v>62</x:v>
      </x:c>
      <x:c r="L319" s="25" t="n">
        <x:v>65</x:v>
      </x:c>
      <x:c r="M319" s="25" t="n">
        <x:v>49</x:v>
      </x:c>
      <x:c r="N319" s="25" t="n">
        <x:v>60</x:v>
      </x:c>
      <x:c r="O319" s="25" t="n">
        <x:v>59</x:v>
      </x:c>
      <x:c r="P319" s="25" t="n">
        <x:v>83</x:v>
      </x:c>
      <x:c r="Q319" s="25" t="n">
        <x:v>93</x:v>
      </x:c>
      <x:c r="R319" s="25" t="n">
        <x:v>56</x:v>
      </x:c>
      <x:c r="S319" s="20" t="n">
        <x:v>651</x:v>
      </x:c>
      <x:c r="T319" s="20" t="n">
        <x:v>10</x:v>
      </x:c>
      <x:c r="U319" s="25" t="n">
        <x:v>65</x:v>
      </x:c>
      <x:c r="V319" s="25" t="n">
        <x:v>98</x:v>
      </x:c>
      <x:c r="W319" s="20" t="inlineStr">
        <x:is>
          <x:t xml:space="preserve">A</x:t>
        </x:is>
      </x:c>
      <x:c r="X319" s="20" t="inlineStr">
        <x:is>
          <x:t xml:space="preserve">A</x:t>
        </x:is>
      </x:c>
      <x:c r="Y319" s="25" t="n">
        <x:v>49.4</x:v>
      </x:c>
      <x:c r="Z319" s="20" t="inlineStr">
        <x:is>
          <x:t xml:space="preserve">https://www.fldoe.org/file/18534/SchoolGrades25.xlsx</x:t>
        </x:is>
      </x:c>
    </x:row>
    <x:row r="320">
      <x:c r="A320" s="20" t="inlineStr">
        <x:is>
          <x:t xml:space="preserve">590931</x:t>
        </x:is>
      </x:c>
      <x:c r="B320" s="20" t="inlineStr">
        <x:is>
          <x:t xml:space="preserve">59</x:t>
        </x:is>
      </x:c>
      <x:c r="C320" s="20" t="inlineStr">
        <x:is>
          <x:t xml:space="preserve">SEMINOLE</x:t>
        </x:is>
      </x:c>
      <x:c r="D320" s="20" t="inlineStr">
        <x:is>
          <x:t xml:space="preserve">0931</x:t>
        </x:is>
      </x:c>
      <x:c r="E320" s="20" t="inlineStr">
        <x:is>
          <x:t xml:space="preserve">HAGERTY HIGH SCHOOL</x:t>
        </x:is>
      </x:c>
      <x:c r="F320" s="20" t="inlineStr">
        <x:is>
          <x:t xml:space="preserve">03</x:t>
        </x:is>
      </x:c>
      <x:c r="G320" s="20" t="inlineStr">
        <x:is>
          <x:t xml:space="preserve">Senior High</x:t>
        </x:is>
      </x:c>
      <x:c r="H320" s="20" t="inlineStr">
        <x:is>
          <x:t xml:space="preserve">NO</x:t>
        </x:is>
      </x:c>
      <x:c r="I320" s="20" t="inlineStr">
        <x:is>
          <x:t xml:space="preserve">NO</x:t>
        </x:is>
      </x:c>
      <x:c r="J320" s="20" t="inlineStr">
        <x:is>
          <x:t xml:space="preserve">N</x:t>
        </x:is>
      </x:c>
      <x:c r="K320" s="25" t="n">
        <x:v>76</x:v>
      </x:c>
      <x:c r="L320" s="25" t="n">
        <x:v>66</x:v>
      </x:c>
      <x:c r="M320" s="25" t="n">
        <x:v>60</x:v>
      </x:c>
      <x:c r="N320" s="25" t="n">
        <x:v>59</x:v>
      </x:c>
      <x:c r="O320" s="25" t="n">
        <x:v>84</x:v>
      </x:c>
      <x:c r="P320" s="25" t="n">
        <x:v>91</x:v>
      </x:c>
      <x:c r="Q320" s="25" t="n">
        <x:v>98</x:v>
      </x:c>
      <x:c r="R320" s="25" t="n">
        <x:v>69</x:v>
      </x:c>
      <x:c r="S320" s="20" t="n">
        <x:v>713</x:v>
      </x:c>
      <x:c r="T320" s="20" t="n">
        <x:v>10</x:v>
      </x:c>
      <x:c r="U320" s="25" t="n">
        <x:v>71</x:v>
      </x:c>
      <x:c r="V320" s="25" t="n">
        <x:v>98</x:v>
      </x:c>
      <x:c r="W320" s="20" t="inlineStr">
        <x:is>
          <x:t xml:space="preserve">A</x:t>
        </x:is>
      </x:c>
      <x:c r="X320" s="20" t="inlineStr">
        <x:is>
          <x:t xml:space="preserve">A</x:t>
        </x:is>
      </x:c>
      <x:c r="Y320" s="25" t="n">
        <x:v>21.4</x:v>
      </x:c>
      <x:c r="Z320" s="20" t="inlineStr">
        <x:is>
          <x:t xml:space="preserve">https://www.fldoe.org/file/18534/SchoolGrades25.xlsx</x:t>
        </x:is>
      </x:c>
    </x:row>
    <x:row r="321">
      <x:c r="A321" s="20" t="inlineStr">
        <x:is>
          <x:t xml:space="preserve">597004</x:t>
        </x:is>
      </x:c>
      <x:c r="B321" s="20" t="inlineStr">
        <x:is>
          <x:t xml:space="preserve">59</x:t>
        </x:is>
      </x:c>
      <x:c r="C321" s="20" t="inlineStr">
        <x:is>
          <x:t xml:space="preserve">SEMINOLE</x:t>
        </x:is>
      </x:c>
      <x:c r="D321" s="20" t="inlineStr">
        <x:is>
          <x:t xml:space="preserve">7004</x:t>
        </x:is>
      </x:c>
      <x:c r="E321" s="20" t="inlineStr">
        <x:is>
          <x:t xml:space="preserve">A SEMINOLE COUNTY VIRTUAL SCHOOL</x:t>
        </x:is>
      </x:c>
      <x:c r="F321" s="20" t="inlineStr">
        <x:is>
          <x:t xml:space="preserve">04</x:t>
        </x:is>
      </x:c>
      <x:c r="G321" s="20" t="inlineStr">
        <x:is>
          <x:t xml:space="preserve">Combination</x:t>
        </x:is>
      </x:c>
      <x:c r="H321" s="20" t="inlineStr">
        <x:is>
          <x:t xml:space="preserve">NO</x:t>
        </x:is>
      </x:c>
      <x:c r="I321" s="20" t="inlineStr">
        <x:is>
          <x:t xml:space="preserve">NO</x:t>
        </x:is>
      </x:c>
      <x:c r="J321" s="20" t="inlineStr">
        <x:is>
          <x:t xml:space="preserve">N</x:t>
        </x:is>
      </x:c>
      <x:c r="K321" s="25" t="n">
        <x:v>82</x:v>
      </x:c>
      <x:c r="L321" s="25" t="n">
        <x:v>67</x:v>
      </x:c>
      <x:c r="M321" s="25" t="n">
        <x:v>73</x:v>
      </x:c>
      <x:c r="N321" s="25" t="n">
        <x:v>53</x:v>
      </x:c>
      <x:c r="O321" s="25" t="n">
        <x:v>76</x:v>
      </x:c>
      <x:c r="P321" s="25" t="n">
        <x:v>77</x:v>
      </x:c>
      <x:c r="Q321" s="25" t="n">
        <x:v>89</x:v>
      </x:c>
      <x:c r="R321" s="25" t="n">
        <x:v>38</x:v>
      </x:c>
      <x:c r="S321" s="20" t="n">
        <x:v>728</x:v>
      </x:c>
      <x:c r="T321" s="20" t="n">
        <x:v>11</x:v>
      </x:c>
      <x:c r="U321" s="25" t="n">
        <x:v>66</x:v>
      </x:c>
      <x:c r="V321" s="25" t="n">
        <x:v>99</x:v>
      </x:c>
      <x:c r="W321" s="20" t="inlineStr">
        <x:is>
          <x:t xml:space="preserve">A</x:t>
        </x:is>
      </x:c>
      <x:c r="X321" s="20" t="inlineStr">
        <x:is>
          <x:t xml:space="preserve">A</x:t>
        </x:is>
      </x:c>
      <x:c r="Y321" s="25" t="n">
        <x:v>26.3</x:v>
      </x:c>
      <x:c r="Z321" s="20" t="inlineStr">
        <x:is>
          <x:t xml:space="preserve">https://www.fldoe.org/file/18534/SchoolGrades25.xlsx</x:t>
        </x:is>
      </x:c>
    </x:row>
    <x:row r="322">
      <x:c r="A322" s="20" t="inlineStr">
        <x:is>
          <x:t xml:space="preserve">599229</x:t>
        </x:is>
      </x:c>
      <x:c r="B322" s="20" t="inlineStr">
        <x:is>
          <x:t xml:space="preserve">59</x:t>
        </x:is>
      </x:c>
      <x:c r="C322" s="20" t="inlineStr">
        <x:is>
          <x:t xml:space="preserve">SEMINOLE</x:t>
        </x:is>
      </x:c>
      <x:c r="D322" s="20" t="inlineStr">
        <x:is>
          <x:t xml:space="preserve">9229</x:t>
        </x:is>
      </x:c>
      <x:c r="E322" s="20" t="inlineStr">
        <x:is>
          <x:t xml:space="preserve">CHOICES IN LEARNING CHARTER</x:t>
        </x:is>
      </x:c>
      <x:c r="F322" s="20" t="inlineStr">
        <x:is>
          <x:t xml:space="preserve">01</x:t>
        </x:is>
      </x:c>
      <x:c r="G322" s="20" t="inlineStr">
        <x:is>
          <x:t xml:space="preserve">Elementary</x:t>
        </x:is>
      </x:c>
      <x:c r="H322" s="20" t="inlineStr">
        <x:is>
          <x:t xml:space="preserve">YES</x:t>
        </x:is>
      </x:c>
      <x:c r="I322" s="20" t="inlineStr">
        <x:is>
          <x:t xml:space="preserve">NO</x:t>
        </x:is>
      </x:c>
      <x:c r="J322" s="20" t="inlineStr">
        <x:is>
          <x:t xml:space="preserve">N</x:t>
        </x:is>
      </x:c>
      <x:c r="K322" s="25" t="n">
        <x:v>90</x:v>
      </x:c>
      <x:c r="L322" s="25" t="n">
        <x:v>75</x:v>
      </x:c>
      <x:c r="M322" s="25" t="n">
        <x:v>91</x:v>
      </x:c>
      <x:c r="N322" s="25" t="n">
        <x:v>86</x:v>
      </x:c>
      <x:c r="O322" s="25" t="n">
        <x:v>89</x:v>
      </x:c>
      <x:c r="P322" s="25" t="n"/>
      <x:c r="Q322" s="25" t="n"/>
      <x:c r="R322" s="25" t="n"/>
      <x:c r="S322" s="20" t="n">
        <x:v>680</x:v>
      </x:c>
      <x:c r="T322" s="20" t="n">
        <x:v>8</x:v>
      </x:c>
      <x:c r="U322" s="25" t="n">
        <x:v>85</x:v>
      </x:c>
      <x:c r="V322" s="25" t="n">
        <x:v>100</x:v>
      </x:c>
      <x:c r="W322" s="20" t="inlineStr">
        <x:is>
          <x:t xml:space="preserve">A</x:t>
        </x:is>
      </x:c>
      <x:c r="X322" s="20" t="inlineStr">
        <x:is>
          <x:t xml:space="preserve">A</x:t>
        </x:is>
      </x:c>
      <x:c r="Y322" s="25" t="n">
        <x:v>19.1</x:v>
      </x:c>
      <x:c r="Z322" s="20" t="inlineStr">
        <x:is>
          <x:t xml:space="preserve">https://www.fldoe.org/file/18534/SchoolGrades25.xlsx</x:t>
        </x:is>
      </x:c>
    </x:row>
    <x:row r="323">
      <x:c r="A323" s="20" t="inlineStr">
        <x:is>
          <x:t xml:space="preserve">599233</x:t>
        </x:is>
      </x:c>
      <x:c r="B323" s="20" t="inlineStr">
        <x:is>
          <x:t xml:space="preserve">59</x:t>
        </x:is>
      </x:c>
      <x:c r="C323" s="20" t="inlineStr">
        <x:is>
          <x:t xml:space="preserve">SEMINOLE</x:t>
        </x:is>
      </x:c>
      <x:c r="D323" s="20" t="inlineStr">
        <x:is>
          <x:t xml:space="preserve">9233</x:t>
        </x:is>
      </x:c>
      <x:c r="E323" s="20" t="inlineStr">
        <x:is>
          <x:t xml:space="preserve">GALILEO SCHOOL FOR GIFTED LEARNING</x:t>
        </x:is>
      </x:c>
      <x:c r="F323" s="20" t="inlineStr">
        <x:is>
          <x:t xml:space="preserve">04</x:t>
        </x:is>
      </x:c>
      <x:c r="G323" s="20" t="inlineStr">
        <x:is>
          <x:t xml:space="preserve">Combination</x:t>
        </x:is>
      </x:c>
      <x:c r="H323" s="20" t="inlineStr">
        <x:is>
          <x:t xml:space="preserve">YES</x:t>
        </x:is>
      </x:c>
      <x:c r="I323" s="20" t="inlineStr">
        <x:is>
          <x:t xml:space="preserve">NO</x:t>
        </x:is>
      </x:c>
      <x:c r="J323" s="20" t="inlineStr">
        <x:is>
          <x:t xml:space="preserve">N</x:t>
        </x:is>
      </x:c>
      <x:c r="K323" s="25" t="n">
        <x:v>70</x:v>
      </x:c>
      <x:c r="L323" s="25" t="n">
        <x:v>64</x:v>
      </x:c>
      <x:c r="M323" s="25" t="n">
        <x:v>73</x:v>
      </x:c>
      <x:c r="N323" s="25" t="n">
        <x:v>65</x:v>
      </x:c>
      <x:c r="O323" s="25" t="n">
        <x:v>61</x:v>
      </x:c>
      <x:c r="P323" s="25" t="n">
        <x:v>88</x:v>
      </x:c>
      <x:c r="Q323" s="25" t="n"/>
      <x:c r="R323" s="25" t="n"/>
      <x:c r="S323" s="20" t="n">
        <x:v>710</x:v>
      </x:c>
      <x:c r="T323" s="20" t="n">
        <x:v>10</x:v>
      </x:c>
      <x:c r="U323" s="25" t="n">
        <x:v>71</x:v>
      </x:c>
      <x:c r="V323" s="25" t="n">
        <x:v>99</x:v>
      </x:c>
      <x:c r="W323" s="20" t="inlineStr">
        <x:is>
          <x:t xml:space="preserve">A</x:t>
        </x:is>
      </x:c>
      <x:c r="X323" s="20" t="inlineStr">
        <x:is>
          <x:t xml:space="preserve">A</x:t>
        </x:is>
      </x:c>
      <x:c r="Y323" s="25" t="n">
        <x:v>30.3</x:v>
      </x:c>
      <x:c r="Z323" s="20" t="inlineStr">
        <x:is>
          <x:t xml:space="preserve">https://www.fldoe.org/file/18534/SchoolGrades25.xlsx</x:t>
        </x:is>
      </x:c>
    </x:row>
    <x:row r="324">
      <x:c r="A324" s="20" t="inlineStr">
        <x:is>
          <x:t xml:space="preserve">599236</x:t>
        </x:is>
      </x:c>
      <x:c r="B324" s="20" t="inlineStr">
        <x:is>
          <x:t xml:space="preserve">59</x:t>
        </x:is>
      </x:c>
      <x:c r="C324" s="20" t="inlineStr">
        <x:is>
          <x:t xml:space="preserve">SEMINOLE</x:t>
        </x:is>
      </x:c>
      <x:c r="D324" s="20" t="inlineStr">
        <x:is>
          <x:t xml:space="preserve">9236</x:t>
        </x:is>
      </x:c>
      <x:c r="E324" s="20" t="inlineStr">
        <x:is>
          <x:t xml:space="preserve">SEMINOLE SCIENCE CHARTER SCHOOL</x:t>
        </x:is>
      </x:c>
      <x:c r="F324" s="20" t="inlineStr">
        <x:is>
          <x:t xml:space="preserve">04</x:t>
        </x:is>
      </x:c>
      <x:c r="G324" s="20" t="inlineStr">
        <x:is>
          <x:t xml:space="preserve">Combination</x:t>
        </x:is>
      </x:c>
      <x:c r="H324" s="20" t="inlineStr">
        <x:is>
          <x:t xml:space="preserve">YES</x:t>
        </x:is>
      </x:c>
      <x:c r="I324" s="20" t="inlineStr">
        <x:is>
          <x:t xml:space="preserve">NO</x:t>
        </x:is>
      </x:c>
      <x:c r="J324" s="20" t="inlineStr">
        <x:is>
          <x:t xml:space="preserve">N</x:t>
        </x:is>
      </x:c>
      <x:c r="K324" s="25" t="n">
        <x:v>81</x:v>
      </x:c>
      <x:c r="L324" s="25" t="n">
        <x:v>72</x:v>
      </x:c>
      <x:c r="M324" s="25" t="n">
        <x:v>82</x:v>
      </x:c>
      <x:c r="N324" s="25" t="n">
        <x:v>69</x:v>
      </x:c>
      <x:c r="O324" s="25" t="n">
        <x:v>80</x:v>
      </x:c>
      <x:c r="P324" s="25" t="n">
        <x:v>83</x:v>
      </x:c>
      <x:c r="Q324" s="25" t="n"/>
      <x:c r="R324" s="25" t="n"/>
      <x:c r="S324" s="20" t="n">
        <x:v>767</x:v>
      </x:c>
      <x:c r="T324" s="20" t="n">
        <x:v>10</x:v>
      </x:c>
      <x:c r="U324" s="25" t="n">
        <x:v>77</x:v>
      </x:c>
      <x:c r="V324" s="25" t="n">
        <x:v>100</x:v>
      </x:c>
      <x:c r="W324" s="20" t="inlineStr">
        <x:is>
          <x:t xml:space="preserve">A</x:t>
        </x:is>
      </x:c>
      <x:c r="X324" s="20" t="inlineStr">
        <x:is>
          <x:t xml:space="preserve">A</x:t>
        </x:is>
      </x:c>
      <x:c r="Y324" s="25" t="n">
        <x:v>26.4</x:v>
      </x:c>
      <x:c r="Z324" s="20" t="inlineStr">
        <x:is>
          <x:t xml:space="preserve">https://www.fldoe.org/file/18534/SchoolGrades25.xlsx</x:t>
        </x:is>
      </x:c>
    </x:row>
    <x:row r="325">
      <x:c r="A325" s="20" t="inlineStr">
        <x:is>
          <x:t xml:space="preserve">599255</x:t>
        </x:is>
      </x:c>
      <x:c r="B325" s="20" t="inlineStr">
        <x:is>
          <x:t xml:space="preserve">59</x:t>
        </x:is>
      </x:c>
      <x:c r="C325" s="20" t="inlineStr">
        <x:is>
          <x:t xml:space="preserve">SEMINOLE</x:t>
        </x:is>
      </x:c>
      <x:c r="D325" s="20" t="inlineStr">
        <x:is>
          <x:t xml:space="preserve">9255</x:t>
        </x:is>
      </x:c>
      <x:c r="E325" s="20" t="inlineStr">
        <x:is>
          <x:t xml:space="preserve">GALILEO SCHOOL FOR GIFTED LEARNING SKYWAY</x:t>
        </x:is>
      </x:c>
      <x:c r="F325" s="20" t="inlineStr">
        <x:is>
          <x:t xml:space="preserve">04</x:t>
        </x:is>
      </x:c>
      <x:c r="G325" s="20" t="inlineStr">
        <x:is>
          <x:t xml:space="preserve">Combination</x:t>
        </x:is>
      </x:c>
      <x:c r="H325" s="20" t="inlineStr">
        <x:is>
          <x:t xml:space="preserve">YES</x:t>
        </x:is>
      </x:c>
      <x:c r="I325" s="20" t="inlineStr">
        <x:is>
          <x:t xml:space="preserve">NO</x:t>
        </x:is>
      </x:c>
      <x:c r="J325" s="20" t="inlineStr">
        <x:is>
          <x:t xml:space="preserve">N</x:t>
        </x:is>
      </x:c>
      <x:c r="K325" s="25" t="n">
        <x:v>72</x:v>
      </x:c>
      <x:c r="L325" s="25" t="n">
        <x:v>63</x:v>
      </x:c>
      <x:c r="M325" s="25" t="n">
        <x:v>73</x:v>
      </x:c>
      <x:c r="N325" s="25" t="n">
        <x:v>66</x:v>
      </x:c>
      <x:c r="O325" s="25" t="n">
        <x:v>70</x:v>
      </x:c>
      <x:c r="P325" s="25" t="n">
        <x:v>82</x:v>
      </x:c>
      <x:c r="Q325" s="25" t="n"/>
      <x:c r="R325" s="25" t="n"/>
      <x:c r="S325" s="20" t="n">
        <x:v>691</x:v>
      </x:c>
      <x:c r="T325" s="20" t="n">
        <x:v>10</x:v>
      </x:c>
      <x:c r="U325" s="25" t="n">
        <x:v>69</x:v>
      </x:c>
      <x:c r="V325" s="25" t="n">
        <x:v>100</x:v>
      </x:c>
      <x:c r="W325" s="20" t="inlineStr">
        <x:is>
          <x:t xml:space="preserve">A</x:t>
        </x:is>
      </x:c>
      <x:c r="X325" s="20" t="inlineStr">
        <x:is>
          <x:t xml:space="preserve">A</x:t>
        </x:is>
      </x:c>
      <x:c r="Y325" s="25" t="n">
        <x:v>29.4</x:v>
      </x:c>
      <x:c r="Z325" s="20" t="inlineStr">
        <x:is>
          <x:t xml:space="preserve">https://www.fldoe.org/file/18534/SchoolGrades25.xlsx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b82f02c612142ed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2" customWidth="1"/>
    <x:col min="3" max="3" width="12" customWidth="1"/>
    <x:col min="4" max="4" width="12" customWidth="1"/>
    <x:col min="5" max="5" width="10" customWidth="1"/>
    <x:col min="6" max="6" width="24" customWidth="1"/>
    <x:col min="7" max="7" width="14" customWidth="1"/>
    <x:col min="8" max="8" width="48" customWidth="1"/>
    <x:col min="9" max="9" width="18" customWidth="1"/>
    <x:col min="10" max="10" width="16" customWidth="1"/>
    <x:col min="11" max="11" width="38" customWidth="1"/>
    <x:col min="12" max="12" width="42" customWidth="1"/>
  </x:cols>
  <x:sheetData>
    <x:row r="1" ht="24" customHeight="1">
      <x:c r="A1" s="22" t="inlineStr">
        <x:is>
          <x:t xml:space="preserve">zone_id</x:t>
        </x:is>
      </x:c>
      <x:c r="B1" s="22" t="inlineStr">
        <x:is>
          <x:t xml:space="preserve">district</x:t>
        </x:is>
      </x:c>
      <x:c r="C1" s="22" t="inlineStr">
        <x:is>
          <x:t xml:space="preserve">county</x:t>
        </x:is>
      </x:c>
      <x:c r="D1" s="22" t="inlineStr">
        <x:is>
          <x:t xml:space="preserve">grade_band</x:t>
        </x:is>
      </x:c>
      <x:c r="E1" s="22" t="inlineStr">
        <x:is>
          <x:t xml:space="preserve">school_year</x:t>
        </x:is>
      </x:c>
      <x:c r="F1" s="22" t="inlineStr">
        <x:is>
          <x:t xml:space="preserve">school_name</x:t>
        </x:is>
      </x:c>
      <x:c r="G1" s="22" t="inlineStr">
        <x:is>
          <x:t xml:space="preserve">state_school_id</x:t>
        </x:is>
      </x:c>
      <x:c r="H1" s="22" t="inlineStr">
        <x:is>
          <x:t xml:space="preserve">geometry_file_or_layer</x:t>
        </x:is>
      </x:c>
      <x:c r="I1" s="22" t="inlineStr">
        <x:is>
          <x:t xml:space="preserve">geometry_id_field</x:t>
        </x:is>
      </x:c>
      <x:c r="J1" s="22" t="inlineStr">
        <x:is>
          <x:t xml:space="preserve">zone_status</x:t>
        </x:is>
      </x:c>
      <x:c r="K1" s="22" t="inlineStr">
        <x:is>
          <x:t xml:space="preserve">source_url</x:t>
        </x:is>
      </x:c>
      <x:c r="L1" s="22" t="inlineStr">
        <x:is>
          <x:t xml:space="preserve">notes</x:t>
        </x:is>
      </x:c>
    </x:row>
    <x:row r="2">
      <x:c r="A2" s="23" t="inlineStr">
        <x:is>
          <x:t xml:space="preserve">LAKE_ELEM_SRC</x:t>
        </x:is>
      </x:c>
      <x:c r="B2" s="23" t="inlineStr">
        <x:is>
          <x:t xml:space="preserve">LAKE</x:t>
        </x:is>
      </x:c>
      <x:c r="C2" s="23" t="inlineStr">
        <x:is>
          <x:t xml:space="preserve">LAKE</x:t>
        </x:is>
      </x:c>
      <x:c r="D2" s="23" t="inlineStr">
        <x:is>
          <x:t xml:space="preserve">Elementary</x:t>
        </x:is>
      </x:c>
      <x:c r="E2" s="23" t="inlineStr">
        <x:is>
          <x:t xml:space="preserve">2025-26</x:t>
        </x:is>
      </x:c>
      <x:c r="F2" s="23" t="inlineStr">
        <x:is>
          <x:t xml:space="preserve"/>
        </x:is>
      </x:c>
      <x:c r="G2" s="23" t="inlineStr">
        <x:is>
          <x:t xml:space="preserve"/>
        </x:is>
      </x:c>
      <x:c r="H2" s="23" t="inlineStr">
        <x:is>
          <x:t xml:space="preserve">https://gis-apps.lake.k12.fl.us/server/rest/services/Attendance/Elem_Attendance_2021_2022/MapServer/6</x:t>
        </x:is>
      </x:c>
      <x:c r="I2" s="23" t="inlineStr">
        <x:is>
          <x:t xml:space="preserve">RuleID / NAME</x:t>
        </x:is>
      </x:c>
      <x:c r="J2" s="23" t="inlineStr">
        <x:is>
          <x:t xml:space="preserve">Source registered</x:t>
        </x:is>
      </x:c>
      <x:c r="K2" s="23" t="inlineStr">
        <x:is>
          <x:t xml:space="preserve">https://gis-apps.lake.k12.fl.us/server/rest/services/Attendance/Elem_Attendance_2021_2022/MapServer/6</x:t>
        </x:is>
      </x:c>
      <x:c r="L2" s="23" t="inlineStr">
        <x:is>
          <x:t xml:space="preserve">Official district ArcGIS REST layer for traditional elementary zones; exposed service year is 2021-22 so validate against current board maps before publishing.</x:t>
        </x:is>
      </x:c>
    </x:row>
    <x:row r="3">
      <x:c r="A3" s="23" t="inlineStr">
        <x:is>
          <x:t xml:space="preserve">LAKE_LOCATOR</x:t>
        </x:is>
      </x:c>
      <x:c r="B3" s="23" t="inlineStr">
        <x:is>
          <x:t xml:space="preserve">LAKE</x:t>
        </x:is>
      </x:c>
      <x:c r="C3" s="23" t="inlineStr">
        <x:is>
          <x:t xml:space="preserve">LAKE</x:t>
        </x:is>
      </x:c>
      <x:c r="D3" s="23" t="inlineStr">
        <x:is>
          <x:t xml:space="preserve">All</x:t>
        </x:is>
      </x:c>
      <x:c r="E3" s="23" t="inlineStr">
        <x:is>
          <x:t xml:space="preserve">Current</x:t>
        </x:is>
      </x:c>
      <x:c r="F3" s="23" t="inlineStr">
        <x:is>
          <x:t xml:space="preserve"/>
        </x:is>
      </x:c>
      <x:c r="G3" s="23" t="inlineStr">
        <x:is>
          <x:t xml:space="preserve"/>
        </x:is>
      </x:c>
      <x:c r="H3" s="23" t="inlineStr">
        <x:is>
          <x:t xml:space="preserve">https://www.lake.k12.fl.us/page/school-locator</x:t>
        </x:is>
      </x:c>
      <x:c r="I3" s="23" t="inlineStr">
        <x:is>
          <x:t xml:space="preserve">n/a</x:t>
        </x:is>
      </x:c>
      <x:c r="J3" s="23" t="inlineStr">
        <x:is>
          <x:t xml:space="preserve">Validation source</x:t>
        </x:is>
      </x:c>
      <x:c r="K3" s="23" t="inlineStr">
        <x:is>
          <x:t xml:space="preserve">https://www.lake.k12.fl.us/page/school-locator</x:t>
        </x:is>
      </x:c>
      <x:c r="L3" s="23" t="inlineStr">
        <x:is>
          <x:t xml:space="preserve">Use district school locator to confirm current assignments.</x:t>
        </x:is>
      </x:c>
    </x:row>
    <x:row r="4">
      <x:c r="A4" s="23" t="inlineStr">
        <x:is>
          <x:t xml:space="preserve">OSCEOLA_ELEM_SRC</x:t>
        </x:is>
      </x:c>
      <x:c r="B4" s="23" t="inlineStr">
        <x:is>
          <x:t xml:space="preserve">OSCEOLA</x:t>
        </x:is>
      </x:c>
      <x:c r="C4" s="23" t="inlineStr">
        <x:is>
          <x:t xml:space="preserve">OSCEOLA</x:t>
        </x:is>
      </x:c>
      <x:c r="D4" s="23" t="inlineStr">
        <x:is>
          <x:t xml:space="preserve">Elementary</x:t>
        </x:is>
      </x:c>
      <x:c r="E4" s="23" t="inlineStr">
        <x:is>
          <x:t xml:space="preserve">2025-26</x:t>
        </x:is>
      </x:c>
      <x:c r="F4" s="23" t="inlineStr">
        <x:is>
          <x:t xml:space="preserve"/>
        </x:is>
      </x:c>
      <x:c r="G4" s="23" t="inlineStr">
        <x:is>
          <x:t xml:space="preserve"/>
        </x:is>
      </x:c>
      <x:c r="H4" s="23" t="inlineStr">
        <x:is>
          <x:t xml:space="preserve">https://www.osceolaschools.net/42204_4</x:t>
        </x:is>
      </x:c>
      <x:c r="I4" s="23" t="inlineStr">
        <x:is>
          <x:t xml:space="preserve">district shapefile</x:t>
        </x:is>
      </x:c>
      <x:c r="J4" s="23" t="inlineStr">
        <x:is>
          <x:t xml:space="preserve">Source registered</x:t>
        </x:is>
      </x:c>
      <x:c r="K4" s="23" t="inlineStr">
        <x:is>
          <x:t xml:space="preserve">https://www.osceolaschools.net/42204_4</x:t>
        </x:is>
      </x:c>
      <x:c r="L4" s="23" t="inlineStr">
        <x:is>
          <x:t xml:space="preserve">District GIS page links to K-5 shapefile download.</x:t>
        </x:is>
      </x:c>
    </x:row>
    <x:row r="5">
      <x:c r="A5" s="20" t="inlineStr">
        <x:is>
          <x:t xml:space="preserve">OSCEOLA_MID_SRC</x:t>
        </x:is>
      </x:c>
      <x:c r="B5" s="20" t="inlineStr">
        <x:is>
          <x:t xml:space="preserve">OSCEOLA</x:t>
        </x:is>
      </x:c>
      <x:c r="C5" s="20" t="inlineStr">
        <x:is>
          <x:t xml:space="preserve">OSCEOLA</x:t>
        </x:is>
      </x:c>
      <x:c r="D5" s="20" t="inlineStr">
        <x:is>
          <x:t xml:space="preserve">Middle</x:t>
        </x:is>
      </x:c>
      <x:c r="E5" s="20" t="inlineStr">
        <x:is>
          <x:t xml:space="preserve">2025-26</x:t>
        </x:is>
      </x:c>
      <x:c r="F5" s="20" t="inlineStr">
        <x:is>
          <x:t xml:space="preserve"/>
        </x:is>
      </x:c>
      <x:c r="G5" s="20" t="inlineStr">
        <x:is>
          <x:t xml:space="preserve"/>
        </x:is>
      </x:c>
      <x:c r="H5" s="20" t="inlineStr">
        <x:is>
          <x:t xml:space="preserve">https://www.osceolaschools.net/42204_4</x:t>
        </x:is>
      </x:c>
      <x:c r="I5" s="20" t="inlineStr">
        <x:is>
          <x:t xml:space="preserve">district shapefile</x:t>
        </x:is>
      </x:c>
      <x:c r="J5" s="20" t="inlineStr">
        <x:is>
          <x:t xml:space="preserve">Source registered</x:t>
        </x:is>
      </x:c>
      <x:c r="K5" s="20" t="inlineStr">
        <x:is>
          <x:t xml:space="preserve">https://www.osceolaschools.net/42204_4</x:t>
        </x:is>
      </x:c>
      <x:c r="L5" s="20" t="inlineStr">
        <x:is>
          <x:t xml:space="preserve">District GIS page links to 6-8 shapefile download.</x:t>
        </x:is>
      </x:c>
    </x:row>
    <x:row r="6">
      <x:c r="A6" s="20" t="inlineStr">
        <x:is>
          <x:t xml:space="preserve">OSCEOLA_HIGH_SRC</x:t>
        </x:is>
      </x:c>
      <x:c r="B6" s="20" t="inlineStr">
        <x:is>
          <x:t xml:space="preserve">OSCEOLA</x:t>
        </x:is>
      </x:c>
      <x:c r="C6" s="20" t="inlineStr">
        <x:is>
          <x:t xml:space="preserve">OSCEOLA</x:t>
        </x:is>
      </x:c>
      <x:c r="D6" s="20" t="inlineStr">
        <x:is>
          <x:t xml:space="preserve">High</x:t>
        </x:is>
      </x:c>
      <x:c r="E6" s="20" t="inlineStr">
        <x:is>
          <x:t xml:space="preserve">2025-26</x:t>
        </x:is>
      </x:c>
      <x:c r="F6" s="20" t="inlineStr">
        <x:is>
          <x:t xml:space="preserve"/>
        </x:is>
      </x:c>
      <x:c r="G6" s="20" t="inlineStr">
        <x:is>
          <x:t xml:space="preserve"/>
        </x:is>
      </x:c>
      <x:c r="H6" s="20" t="inlineStr">
        <x:is>
          <x:t xml:space="preserve">https://www.osceolaschools.net/42204_4</x:t>
        </x:is>
      </x:c>
      <x:c r="I6" s="20" t="inlineStr">
        <x:is>
          <x:t xml:space="preserve">district shapefile</x:t>
        </x:is>
      </x:c>
      <x:c r="J6" s="20" t="inlineStr">
        <x:is>
          <x:t xml:space="preserve">Source registered</x:t>
        </x:is>
      </x:c>
      <x:c r="K6" s="20" t="inlineStr">
        <x:is>
          <x:t xml:space="preserve">https://www.osceolaschools.net/42204_4</x:t>
        </x:is>
      </x:c>
      <x:c r="L6" s="20" t="inlineStr">
        <x:is>
          <x:t xml:space="preserve">District GIS page links to 9-12 shapefile download.</x:t>
        </x:is>
      </x:c>
    </x:row>
    <x:row r="7">
      <x:c r="A7" s="20" t="inlineStr">
        <x:is>
          <x:t xml:space="preserve">POLK_ZONE_TOOL</x:t>
        </x:is>
      </x:c>
      <x:c r="B7" s="20" t="inlineStr">
        <x:is>
          <x:t xml:space="preserve">POLK</x:t>
        </x:is>
      </x:c>
      <x:c r="C7" s="20" t="inlineStr">
        <x:is>
          <x:t xml:space="preserve">POLK</x:t>
        </x:is>
      </x:c>
      <x:c r="D7" s="20" t="inlineStr">
        <x:is>
          <x:t xml:space="preserve">All</x:t>
        </x:is>
      </x:c>
      <x:c r="E7" s="20" t="inlineStr">
        <x:is>
          <x:t xml:space="preserve">2025-26</x:t>
        </x:is>
      </x:c>
      <x:c r="F7" s="20" t="inlineStr">
        <x:is>
          <x:t xml:space="preserve"/>
        </x:is>
      </x:c>
      <x:c r="G7" s="20" t="inlineStr">
        <x:is>
          <x:t xml:space="preserve"/>
        </x:is>
      </x:c>
      <x:c r="H7" s="20" t="inlineStr">
        <x:is>
          <x:t xml:space="preserve">https://polkschoolsfl.com/schoolsandprograms/schoolzones</x:t>
        </x:is>
      </x:c>
      <x:c r="I7" s="20" t="inlineStr">
        <x:is>
          <x:t xml:space="preserve">tool result</x:t>
        </x:is>
      </x:c>
      <x:c r="J7" s="20" t="inlineStr">
        <x:is>
          <x:t xml:space="preserve">Needs export</x:t>
        </x:is>
      </x:c>
      <x:c r="K7" s="20" t="inlineStr">
        <x:is>
          <x:t xml:space="preserve">https://polkschoolsfl.com/schoolsandprograms/schoolzones</x:t>
        </x:is>
      </x:c>
      <x:c r="L7" s="20" t="inlineStr">
        <x:is>
          <x:t xml:space="preserve">Interactive GeoZone source; use final GIS export or geocoder-assisted lookup to isolate north-Polk target zones.</x:t>
        </x:is>
      </x:c>
    </x:row>
    <x:row r="8">
      <x:c r="A8" s="20" t="inlineStr">
        <x:is>
          <x:t xml:space="preserve">SEMINOLE_ZONE_SEARCH</x:t>
        </x:is>
      </x:c>
      <x:c r="B8" s="20" t="inlineStr">
        <x:is>
          <x:t xml:space="preserve">SEMINOLE</x:t>
        </x:is>
      </x:c>
      <x:c r="C8" s="20" t="inlineStr">
        <x:is>
          <x:t xml:space="preserve">SEMINOLE</x:t>
        </x:is>
      </x:c>
      <x:c r="D8" s="20" t="inlineStr">
        <x:is>
          <x:t xml:space="preserve">All</x:t>
        </x:is>
      </x:c>
      <x:c r="E8" s="20" t="inlineStr">
        <x:is>
          <x:t xml:space="preserve">2025-26</x:t>
        </x:is>
      </x:c>
      <x:c r="F8" s="20" t="inlineStr">
        <x:is>
          <x:t xml:space="preserve"/>
        </x:is>
      </x:c>
      <x:c r="G8" s="20" t="inlineStr">
        <x:is>
          <x:t xml:space="preserve"/>
        </x:is>
      </x:c>
      <x:c r="H8" s="20" t="inlineStr">
        <x:is>
          <x:t xml:space="preserve">https://www.scps.k12.fl.us/121791_2</x:t>
        </x:is>
      </x:c>
      <x:c r="I8" s="20" t="inlineStr">
        <x:is>
          <x:t xml:space="preserve">tool result</x:t>
        </x:is>
      </x:c>
      <x:c r="J8" s="20" t="inlineStr">
        <x:is>
          <x:t xml:space="preserve">Needs export</x:t>
        </x:is>
      </x:c>
      <x:c r="K8" s="20" t="inlineStr">
        <x:is>
          <x:t xml:space="preserve">https://www.scps.k12.fl.us/121791_2</x:t>
        </x:is>
      </x:c>
      <x:c r="L8" s="20" t="inlineStr">
        <x:is>
          <x:t xml:space="preserve">School-zone search and boundary maps exist, but exact geometry export still needs direct district pull.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6a4076250ac4b00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36" customWidth="1"/>
    <x:col min="3" max="3" width="12" customWidth="1"/>
    <x:col min="4" max="4" width="10" customWidth="1"/>
    <x:col min="5" max="5" width="10" customWidth="1"/>
    <x:col min="6" max="6" width="12" customWidth="1"/>
    <x:col min="7" max="7" width="12" customWidth="1"/>
    <x:col min="8" max="8" width="12" customWidth="1"/>
    <x:col min="9" max="9" width="11" customWidth="1"/>
    <x:col min="10" max="10" width="12" customWidth="1"/>
    <x:col min="11" max="11" width="12" customWidth="1"/>
    <x:col min="12" max="12" width="38" customWidth="1"/>
    <x:col min="13" max="13" width="42" customWidth="1"/>
  </x:cols>
  <x:sheetData>
    <x:row r="1" ht="24" customHeight="1">
      <x:c r="A1" s="22" t="inlineStr">
        <x:is>
          <x:t xml:space="preserve">state_school_id</x:t>
        </x:is>
      </x:c>
      <x:c r="B1" s="22" t="inlineStr">
        <x:is>
          <x:t xml:space="preserve">school_name</x:t>
        </x:is>
      </x:c>
      <x:c r="C1" s="22" t="inlineStr">
        <x:is>
          <x:t xml:space="preserve">school_year</x:t>
        </x:is>
      </x:c>
      <x:c r="D1" s="22" t="inlineStr">
        <x:is>
          <x:t xml:space="preserve">fl_school_grade</x:t>
        </x:is>
      </x:c>
      <x:c r="E1" s="22" t="inlineStr">
        <x:is>
          <x:t xml:space="preserve">grade_points</x:t>
        </x:is>
      </x:c>
      <x:c r="F1" s="22" t="inlineStr">
        <x:is>
          <x:t xml:space="preserve">ela_achievement_pct</x:t>
        </x:is>
      </x:c>
      <x:c r="G1" s="22" t="inlineStr">
        <x:is>
          <x:t xml:space="preserve">math_achievement_pct</x:t>
        </x:is>
      </x:c>
      <x:c r="H1" s="22" t="inlineStr">
        <x:is>
          <x:t xml:space="preserve">growth_pct</x:t>
        </x:is>
      </x:c>
      <x:c r="I1" s="22" t="inlineStr">
        <x:is>
          <x:t xml:space="preserve">graduation_pct</x:t>
        </x:is>
      </x:c>
      <x:c r="J1" s="22" t="inlineStr">
        <x:is>
          <x:t xml:space="preserve">career_college_readiness_pct</x:t>
        </x:is>
      </x:c>
      <x:c r="K1" s="22" t="inlineStr">
        <x:is>
          <x:t xml:space="preserve">public_zone_score</x:t>
        </x:is>
      </x:c>
      <x:c r="L1" s="22" t="inlineStr">
        <x:is>
          <x:t xml:space="preserve">source_url</x:t>
        </x:is>
      </x:c>
      <x:c r="M1" s="22" t="inlineStr">
        <x:is>
          <x:t xml:space="preserve">notes</x:t>
        </x:is>
      </x:c>
    </x:row>
    <x:row r="2">
      <x:c r="A2" s="23" t="str">
        <x:f>FDOE_Grades_2025_Raw!A2</x:f>
        <x:v>350031</x:v>
      </x:c>
      <x:c r="B2" s="23" t="str">
        <x:f>FDOE_Grades_2025_Raw!E2</x:f>
        <x:v>BEVERLY SHORES ELEMENTARY SCHOOL</x:v>
      </x:c>
      <x:c r="C2" s="23" t="n">
        <x:v>2025</x:v>
      </x:c>
      <x:c r="D2" s="23" t="str">
        <x:f>FDOE_Grades_2025_Raw!W2</x:f>
        <x:v>B</x:v>
      </x:c>
      <x:c r="E2" s="26">
        <x:f>IF(D2="A",4,IF(D2="B",3,IF(D2="C",2,IF(D2="D",1,IF(D2="F",0,"")))))</x:f>
        <x:v>3</x:v>
      </x:c>
      <x:c r="F2" s="27">
        <x:f>FDOE_Grades_2025_Raw!K2</x:f>
        <x:v>41</x:v>
      </x:c>
      <x:c r="G2" s="27">
        <x:f>FDOE_Grades_2025_Raw!M2</x:f>
        <x:v>53</x:v>
      </x:c>
      <x:c r="H2" s="27">
        <x:f>FDOE_Grades_2025_Raw!L2</x:f>
        <x:v>62</x:v>
      </x:c>
      <x:c r="I2" s="27">
        <x:f>FDOE_Grades_2025_Raw!Q2</x:f>
        <x:v>0</x:v>
      </x:c>
      <x:c r="J2" s="27">
        <x:f>FDOE_Grades_2025_Raw!R2</x:f>
        <x:v>0</x:v>
      </x:c>
      <x:c r="K2" s="26">
        <x:f>IF($A2="","",ROUND((Scoring_Model!$B$9*($E2/4)*100)+(Scoring_Model!$B$10*$F2)+(Scoring_Model!$B$11*$G2)+(Scoring_Model!$B$12*$H2)+(Scoring_Model!$B$13*IF($I2="",0,$I2))+(Scoring_Model!$B$14*IF($J2="",0,$J2)),1))</x:f>
        <x:v>57.2</x:v>
      </x:c>
      <x:c r="L2" s="23" t="inlineStr">
        <x:is>
          <x:t xml:space="preserve">https://www.fldoe.org/file/18534/SchoolGrades25.xlsx</x:t>
        </x:is>
      </x:c>
      <x:c r="M2" s="23" t="inlineStr">
        <x:is>
          <x:t xml:space="preserve">School type Elementary; growth field currently uses official ELA learning gains in this starter model.</x:t>
        </x:is>
      </x:c>
    </x:row>
    <x:row r="3">
      <x:c r="A3" s="23" t="str">
        <x:f>FDOE_Grades_2025_Raw!A3</x:f>
        <x:v>350035</x:v>
      </x:c>
      <x:c r="B3" s="23" t="str">
        <x:f>FDOE_Grades_2025_Raw!E3</x:f>
        <x:v>LAKE SUCCESS ELEMENTARY SCHOOL</x:v>
      </x:c>
      <x:c r="C3" s="23" t="n">
        <x:v>2025</x:v>
      </x:c>
      <x:c r="D3" s="23" t="str">
        <x:f>FDOE_Grades_2025_Raw!W3</x:f>
        <x:v>D</x:v>
      </x:c>
      <x:c r="E3" s="26">
        <x:f>IF(D3="A",4,IF(D3="B",3,IF(D3="C",2,IF(D3="D",1,IF(D3="F",0,"")))))</x:f>
        <x:v>1</x:v>
      </x:c>
      <x:c r="F3" s="27">
        <x:f>FDOE_Grades_2025_Raw!K3</x:f>
        <x:v>34</x:v>
      </x:c>
      <x:c r="G3" s="27">
        <x:f>FDOE_Grades_2025_Raw!M3</x:f>
        <x:v>40</x:v>
      </x:c>
      <x:c r="H3" s="27">
        <x:f>FDOE_Grades_2025_Raw!L3</x:f>
        <x:v>40</x:v>
      </x:c>
      <x:c r="I3" s="27">
        <x:f>FDOE_Grades_2025_Raw!Q3</x:f>
        <x:v>0</x:v>
      </x:c>
      <x:c r="J3" s="27">
        <x:f>FDOE_Grades_2025_Raw!R3</x:f>
        <x:v>0</x:v>
      </x:c>
      <x:c r="K3" s="26">
        <x:f>IF($A3="","",ROUND((Scoring_Model!$B$9*($E3/4)*100)+(Scoring_Model!$B$10*$F3)+(Scoring_Model!$B$11*$G3)+(Scoring_Model!$B$12*$H3)+(Scoring_Model!$B$13*IF($I3="",0,$I3))+(Scoring_Model!$B$14*IF($J3="",0,$J3)),1))</x:f>
        <x:v>27.3</x:v>
      </x:c>
      <x:c r="L3" s="23" t="inlineStr">
        <x:is>
          <x:t xml:space="preserve">https://www.fldoe.org/file/18534/SchoolGrades25.xlsx</x:t>
        </x:is>
      </x:c>
      <x:c r="M3" s="23" t="inlineStr">
        <x:is>
          <x:t xml:space="preserve">School type Elementary; growth field currently uses official ELA learning gains in this starter model.</x:t>
        </x:is>
      </x:c>
    </x:row>
    <x:row r="4">
      <x:c r="A4" s="23" t="str">
        <x:f>FDOE_Grades_2025_Raw!A4</x:f>
        <x:v>350061</x:v>
      </x:c>
      <x:c r="B4" s="23" t="str">
        <x:f>FDOE_Grades_2025_Raw!E4</x:f>
        <x:v>EUSTIS ELEMENTARY SCHOOL</x:v>
      </x:c>
      <x:c r="C4" s="23" t="n">
        <x:v>2025</x:v>
      </x:c>
      <x:c r="D4" s="23" t="str">
        <x:f>FDOE_Grades_2025_Raw!W4</x:f>
        <x:v>C</x:v>
      </x:c>
      <x:c r="E4" s="26">
        <x:f>IF(D4="A",4,IF(D4="B",3,IF(D4="C",2,IF(D4="D",1,IF(D4="F",0,"")))))</x:f>
        <x:v>2</x:v>
      </x:c>
      <x:c r="F4" s="27">
        <x:f>FDOE_Grades_2025_Raw!K4</x:f>
        <x:v>40</x:v>
      </x:c>
      <x:c r="G4" s="27">
        <x:f>FDOE_Grades_2025_Raw!M4</x:f>
        <x:v>49</x:v>
      </x:c>
      <x:c r="H4" s="27">
        <x:f>FDOE_Grades_2025_Raw!L4</x:f>
        <x:v>55</x:v>
      </x:c>
      <x:c r="I4" s="27">
        <x:f>FDOE_Grades_2025_Raw!Q4</x:f>
        <x:v>0</x:v>
      </x:c>
      <x:c r="J4" s="27">
        <x:f>FDOE_Grades_2025_Raw!R4</x:f>
        <x:v>0</x:v>
      </x:c>
      <x:c r="K4" s="26">
        <x:f>IF($A4="","",ROUND((Scoring_Model!$B$9*($E4/4)*100)+(Scoring_Model!$B$10*$F4)+(Scoring_Model!$B$11*$G4)+(Scoring_Model!$B$12*$H4)+(Scoring_Model!$B$13*IF($I4="",0,$I4))+(Scoring_Model!$B$14*IF($J4="",0,$J4)),1))</x:f>
        <x:v>43.4</x:v>
      </x:c>
      <x:c r="L4" s="23" t="inlineStr">
        <x:is>
          <x:t xml:space="preserve">https://www.fldoe.org/file/18534/SchoolGrades25.xlsx</x:t>
        </x:is>
      </x:c>
      <x:c r="M4" s="23" t="inlineStr">
        <x:is>
          <x:t xml:space="preserve">School type Elementary; growth field currently uses official ELA learning gains in this starter model.</x:t>
        </x:is>
      </x:c>
    </x:row>
    <x:row r="5">
      <x:c r="A5" s="23" t="str">
        <x:f>FDOE_Grades_2025_Raw!A5</x:f>
        <x:v>350067</x:v>
      </x:c>
      <x:c r="B5" s="23" t="str">
        <x:f>FDOE_Grades_2025_Raw!E5</x:f>
        <x:v>SAWGRASS BAY ELEMENTARY SCHOOL</x:v>
      </x:c>
      <x:c r="C5" s="23" t="n">
        <x:v>2025</x:v>
      </x:c>
      <x:c r="D5" s="23" t="str">
        <x:f>FDOE_Grades_2025_Raw!W5</x:f>
        <x:v>C</x:v>
      </x:c>
      <x:c r="E5" s="26">
        <x:f>IF(D5="A",4,IF(D5="B",3,IF(D5="C",2,IF(D5="D",1,IF(D5="F",0,"")))))</x:f>
        <x:v>2</x:v>
      </x:c>
      <x:c r="F5" s="27">
        <x:f>FDOE_Grades_2025_Raw!K5</x:f>
        <x:v>49</x:v>
      </x:c>
      <x:c r="G5" s="27">
        <x:f>FDOE_Grades_2025_Raw!M5</x:f>
        <x:v>53</x:v>
      </x:c>
      <x:c r="H5" s="27">
        <x:f>FDOE_Grades_2025_Raw!L5</x:f>
        <x:v>50</x:v>
      </x:c>
      <x:c r="I5" s="27">
        <x:f>FDOE_Grades_2025_Raw!Q5</x:f>
        <x:v>0</x:v>
      </x:c>
      <x:c r="J5" s="27">
        <x:f>FDOE_Grades_2025_Raw!R5</x:f>
        <x:v>0</x:v>
      </x:c>
      <x:c r="K5" s="26">
        <x:f>IF($A5="","",ROUND((Scoring_Model!$B$9*($E5/4)*100)+(Scoring_Model!$B$10*$F5)+(Scoring_Model!$B$11*$G5)+(Scoring_Model!$B$12*$H5)+(Scoring_Model!$B$13*IF($I5="",0,$I5))+(Scoring_Model!$B$14*IF($J5="",0,$J5)),1))</x:f>
        <x:v>45.1</x:v>
      </x:c>
      <x:c r="L5" s="23" t="inlineStr">
        <x:is>
          <x:t xml:space="preserve">https://www.fldoe.org/file/18534/SchoolGrades25.xlsx</x:t>
        </x:is>
      </x:c>
      <x:c r="M5" s="23" t="inlineStr">
        <x:is>
          <x:t xml:space="preserve">School type Elementary; growth field currently uses official ELA learning gains in this starter model.</x:t>
        </x:is>
      </x:c>
    </x:row>
    <x:row r="6">
      <x:c r="A6" s="23" t="str">
        <x:f>FDOE_Grades_2025_Raw!A6</x:f>
        <x:v>350068</x:v>
      </x:c>
      <x:c r="B6" s="23" t="str">
        <x:f>FDOE_Grades_2025_Raw!E6</x:f>
        <x:v>GRASSY LAKE ELEMENTARY SCHOOL</x:v>
      </x:c>
      <x:c r="C6" s="23" t="n">
        <x:v>2025</x:v>
      </x:c>
      <x:c r="D6" s="23" t="str">
        <x:f>FDOE_Grades_2025_Raw!W6</x:f>
        <x:v>B</x:v>
      </x:c>
      <x:c r="E6" s="26">
        <x:f>IF(D6="A",4,IF(D6="B",3,IF(D6="C",2,IF(D6="D",1,IF(D6="F",0,"")))))</x:f>
        <x:v>3</x:v>
      </x:c>
      <x:c r="F6" s="27">
        <x:f>FDOE_Grades_2025_Raw!K6</x:f>
        <x:v>64</x:v>
      </x:c>
      <x:c r="G6" s="27">
        <x:f>FDOE_Grades_2025_Raw!M6</x:f>
        <x:v>75</x:v>
      </x:c>
      <x:c r="H6" s="27">
        <x:f>FDOE_Grades_2025_Raw!L6</x:f>
        <x:v>53</x:v>
      </x:c>
      <x:c r="I6" s="27">
        <x:f>FDOE_Grades_2025_Raw!Q6</x:f>
        <x:v>0</x:v>
      </x:c>
      <x:c r="J6" s="27">
        <x:f>FDOE_Grades_2025_Raw!R6</x:f>
        <x:v>0</x:v>
      </x:c>
      <x:c r="K6" s="26">
        <x:f>IF($A6="","",ROUND((Scoring_Model!$B$9*($E6/4)*100)+(Scoring_Model!$B$10*$F6)+(Scoring_Model!$B$11*$G6)+(Scoring_Model!$B$12*$H6)+(Scoring_Model!$B$13*IF($I6="",0,$I6))+(Scoring_Model!$B$14*IF($J6="",0,$J6)),1))</x:f>
        <x:v>63.1</x:v>
      </x:c>
      <x:c r="L6" s="23" t="inlineStr">
        <x:is>
          <x:t xml:space="preserve">https://www.fldoe.org/file/18534/SchoolGrades25.xlsx</x:t>
        </x:is>
      </x:c>
      <x:c r="M6" s="23" t="inlineStr">
        <x:is>
          <x:t xml:space="preserve">School type Elementary; growth field currently uses official ELA learning gains in this starter model.</x:t>
        </x:is>
      </x:c>
    </x:row>
    <x:row r="7">
      <x:c r="A7" s="23" t="str">
        <x:f>FDOE_Grades_2025_Raw!A7</x:f>
        <x:v>350069</x:v>
      </x:c>
      <x:c r="B7" s="23" t="str">
        <x:f>FDOE_Grades_2025_Raw!E7</x:f>
        <x:v>SORRENTO ELEMENTARY</x:v>
      </x:c>
      <x:c r="C7" s="23" t="n">
        <x:v>2025</x:v>
      </x:c>
      <x:c r="D7" s="23" t="str">
        <x:f>FDOE_Grades_2025_Raw!W7</x:f>
        <x:v>B</x:v>
      </x:c>
      <x:c r="E7" s="26">
        <x:f>IF(D7="A",4,IF(D7="B",3,IF(D7="C",2,IF(D7="D",1,IF(D7="F",0,"")))))</x:f>
        <x:v>3</x:v>
      </x:c>
      <x:c r="F7" s="27">
        <x:f>FDOE_Grades_2025_Raw!K7</x:f>
        <x:v>62</x:v>
      </x:c>
      <x:c r="G7" s="27">
        <x:f>FDOE_Grades_2025_Raw!M7</x:f>
        <x:v>69</x:v>
      </x:c>
      <x:c r="H7" s="27">
        <x:f>FDOE_Grades_2025_Raw!L7</x:f>
        <x:v>65</x:v>
      </x:c>
      <x:c r="I7" s="27">
        <x:f>FDOE_Grades_2025_Raw!Q7</x:f>
        <x:v>0</x:v>
      </x:c>
      <x:c r="J7" s="27">
        <x:f>FDOE_Grades_2025_Raw!R7</x:f>
        <x:v>0</x:v>
      </x:c>
      <x:c r="K7" s="26">
        <x:f>IF($A7="","",ROUND((Scoring_Model!$B$9*($E7/4)*100)+(Scoring_Model!$B$10*$F7)+(Scoring_Model!$B$11*$G7)+(Scoring_Model!$B$12*$H7)+(Scoring_Model!$B$13*IF($I7="",0,$I7))+(Scoring_Model!$B$14*IF($J7="",0,$J7)),1))</x:f>
        <x:v>63.3</x:v>
      </x:c>
      <x:c r="L7" s="23" t="inlineStr">
        <x:is>
          <x:t xml:space="preserve">https://www.fldoe.org/file/18534/SchoolGrades25.xlsx</x:t>
        </x:is>
      </x:c>
      <x:c r="M7" s="23" t="inlineStr">
        <x:is>
          <x:t xml:space="preserve">School type Elementary; growth field currently uses official ELA learning gains in this starter model.</x:t>
        </x:is>
      </x:c>
    </x:row>
    <x:row r="8">
      <x:c r="A8" s="23" t="str">
        <x:f>FDOE_Grades_2025_Raw!A8</x:f>
        <x:v>350071</x:v>
      </x:c>
      <x:c r="B8" s="23" t="str">
        <x:f>FDOE_Grades_2025_Raw!E8</x:f>
        <x:v>EUSTIS HEIGHTS ELEMENTARY SCHOOL</x:v>
      </x:c>
      <x:c r="C8" s="23" t="n">
        <x:v>2025</x:v>
      </x:c>
      <x:c r="D8" s="23" t="str">
        <x:f>FDOE_Grades_2025_Raw!W8</x:f>
        <x:v>D</x:v>
      </x:c>
      <x:c r="E8" s="26">
        <x:f>IF(D8="A",4,IF(D8="B",3,IF(D8="C",2,IF(D8="D",1,IF(D8="F",0,"")))))</x:f>
        <x:v>1</x:v>
      </x:c>
      <x:c r="F8" s="27">
        <x:f>FDOE_Grades_2025_Raw!K8</x:f>
        <x:v>34</x:v>
      </x:c>
      <x:c r="G8" s="27">
        <x:f>FDOE_Grades_2025_Raw!M8</x:f>
        <x:v>40</x:v>
      </x:c>
      <x:c r="H8" s="27">
        <x:f>FDOE_Grades_2025_Raw!L8</x:f>
        <x:v>40</x:v>
      </x:c>
      <x:c r="I8" s="27">
        <x:f>FDOE_Grades_2025_Raw!Q8</x:f>
        <x:v>0</x:v>
      </x:c>
      <x:c r="J8" s="27">
        <x:f>FDOE_Grades_2025_Raw!R8</x:f>
        <x:v>0</x:v>
      </x:c>
      <x:c r="K8" s="26">
        <x:f>IF($A8="","",ROUND((Scoring_Model!$B$9*($E8/4)*100)+(Scoring_Model!$B$10*$F8)+(Scoring_Model!$B$11*$G8)+(Scoring_Model!$B$12*$H8)+(Scoring_Model!$B$13*IF($I8="",0,$I8))+(Scoring_Model!$B$14*IF($J8="",0,$J8)),1))</x:f>
        <x:v>27.3</x:v>
      </x:c>
      <x:c r="L8" s="23" t="inlineStr">
        <x:is>
          <x:t xml:space="preserve">https://www.fldoe.org/file/18534/SchoolGrades25.xlsx</x:t>
        </x:is>
      </x:c>
      <x:c r="M8" s="23" t="inlineStr">
        <x:is>
          <x:t xml:space="preserve">School type Elementary; growth field currently uses official ELA learning gains in this starter model.</x:t>
        </x:is>
      </x:c>
    </x:row>
    <x:row r="9">
      <x:c r="A9" s="23" t="str">
        <x:f>FDOE_Grades_2025_Raw!A9</x:f>
        <x:v>350080</x:v>
      </x:c>
      <x:c r="B9" s="23" t="str">
        <x:f>FDOE_Grades_2025_Raw!E9</x:f>
        <x:v>EAST RIDGE MIDDLE SCHOOL</x:v>
      </x:c>
      <x:c r="C9" s="23" t="n">
        <x:v>2025</x:v>
      </x:c>
      <x:c r="D9" s="23" t="str">
        <x:f>FDOE_Grades_2025_Raw!W9</x:f>
        <x:v>A</x:v>
      </x:c>
      <x:c r="E9" s="26">
        <x:f>IF(D9="A",4,IF(D9="B",3,IF(D9="C",2,IF(D9="D",1,IF(D9="F",0,"")))))</x:f>
        <x:v>4</x:v>
      </x:c>
      <x:c r="F9" s="27">
        <x:f>FDOE_Grades_2025_Raw!K9</x:f>
        <x:v>71</x:v>
      </x:c>
      <x:c r="G9" s="27">
        <x:f>FDOE_Grades_2025_Raw!M9</x:f>
        <x:v>74</x:v>
      </x:c>
      <x:c r="H9" s="27">
        <x:f>FDOE_Grades_2025_Raw!L9</x:f>
        <x:v>67</x:v>
      </x:c>
      <x:c r="I9" s="27">
        <x:f>FDOE_Grades_2025_Raw!Q9</x:f>
        <x:v>0</x:v>
      </x:c>
      <x:c r="J9" s="27">
        <x:f>FDOE_Grades_2025_Raw!R9</x:f>
        <x:v>0</x:v>
      </x:c>
      <x:c r="K9" s="26">
        <x:f>IF($A9="","",ROUND((Scoring_Model!$B$9*($E9/4)*100)+(Scoring_Model!$B$10*$F9)+(Scoring_Model!$B$11*$G9)+(Scoring_Model!$B$12*$H9)+(Scoring_Model!$B$13*IF($I9="",0,$I9))+(Scoring_Model!$B$14*IF($J9="",0,$J9)),1))</x:f>
        <x:v>78.3</x:v>
      </x:c>
      <x:c r="L9" s="23" t="inlineStr">
        <x:is>
          <x:t xml:space="preserve">https://www.fldoe.org/file/18534/SchoolGrades25.xlsx</x:t>
        </x:is>
      </x:c>
      <x:c r="M9" s="23" t="inlineStr">
        <x:is>
          <x:t xml:space="preserve">School type Middle/Junior; growth field currently uses official ELA learning gains in this starter model.</x:t>
        </x:is>
      </x:c>
    </x:row>
    <x:row r="10">
      <x:c r="A10" s="23" t="str">
        <x:f>FDOE_Grades_2025_Raw!A10</x:f>
        <x:v>350081</x:v>
      </x:c>
      <x:c r="B10" s="23" t="str">
        <x:f>FDOE_Grades_2025_Raw!E10</x:f>
        <x:v>EUSTIS HIGH SCHOOL</x:v>
      </x:c>
      <x:c r="C10" s="23" t="n">
        <x:v>2025</x:v>
      </x:c>
      <x:c r="D10" s="23" t="str">
        <x:f>FDOE_Grades_2025_Raw!W10</x:f>
        <x:v>C</x:v>
      </x:c>
      <x:c r="E10" s="26">
        <x:f>IF(D10="A",4,IF(D10="B",3,IF(D10="C",2,IF(D10="D",1,IF(D10="F",0,"")))))</x:f>
        <x:v>2</x:v>
      </x:c>
      <x:c r="F10" s="27">
        <x:f>FDOE_Grades_2025_Raw!K10</x:f>
        <x:v>48</x:v>
      </x:c>
      <x:c r="G10" s="27">
        <x:f>FDOE_Grades_2025_Raw!M10</x:f>
        <x:v>33</x:v>
      </x:c>
      <x:c r="H10" s="27">
        <x:f>FDOE_Grades_2025_Raw!L10</x:f>
        <x:v>51</x:v>
      </x:c>
      <x:c r="I10" s="27">
        <x:f>FDOE_Grades_2025_Raw!Q10</x:f>
        <x:v>86</x:v>
      </x:c>
      <x:c r="J10" s="27">
        <x:f>FDOE_Grades_2025_Raw!R10</x:f>
        <x:v>53</x:v>
      </x:c>
      <x:c r="K10" s="26">
        <x:f>IF($A10="","",ROUND((Scoring_Model!$B$9*($E10/4)*100)+(Scoring_Model!$B$10*$F10)+(Scoring_Model!$B$11*$G10)+(Scoring_Model!$B$12*$H10)+(Scoring_Model!$B$13*IF($I10="",0,$I10))+(Scoring_Model!$B$14*IF($J10="",0,$J10)),1))</x:f>
        <x:v>49.9</x:v>
      </x:c>
      <x:c r="L10" s="23" t="inlineStr">
        <x:is>
          <x:t xml:space="preserve">https://www.fldoe.org/file/18534/SchoolGrades25.xlsx</x:t>
        </x:is>
      </x:c>
      <x:c r="M10" s="23" t="inlineStr">
        <x:is>
          <x:t xml:space="preserve">School type Senior High; growth field currently uses official ELA learning gains in this starter model.</x:t>
        </x:is>
      </x:c>
    </x:row>
    <x:row r="11">
      <x:c r="A11" s="23" t="str">
        <x:f>FDOE_Grades_2025_Raw!A11</x:f>
        <x:v>350101</x:v>
      </x:c>
      <x:c r="B11" s="23" t="str">
        <x:f>FDOE_Grades_2025_Raw!E11</x:f>
        <x:v>FRUITLAND PARK ELEMENTARY SCHOOL</x:v>
      </x:c>
      <x:c r="C11" s="23" t="n">
        <x:v>2025</x:v>
      </x:c>
      <x:c r="D11" s="23" t="str">
        <x:f>FDOE_Grades_2025_Raw!W11</x:f>
        <x:v>C</x:v>
      </x:c>
      <x:c r="E11" s="26">
        <x:f>IF(D11="A",4,IF(D11="B",3,IF(D11="C",2,IF(D11="D",1,IF(D11="F",0,"")))))</x:f>
        <x:v>2</x:v>
      </x:c>
      <x:c r="F11" s="27">
        <x:f>FDOE_Grades_2025_Raw!K11</x:f>
        <x:v>36</x:v>
      </x:c>
      <x:c r="G11" s="27">
        <x:f>FDOE_Grades_2025_Raw!M11</x:f>
        <x:v>46</x:v>
      </x:c>
      <x:c r="H11" s="27">
        <x:f>FDOE_Grades_2025_Raw!L11</x:f>
        <x:v>56</x:v>
      </x:c>
      <x:c r="I11" s="27">
        <x:f>FDOE_Grades_2025_Raw!Q11</x:f>
        <x:v>0</x:v>
      </x:c>
      <x:c r="J11" s="27">
        <x:f>FDOE_Grades_2025_Raw!R11</x:f>
        <x:v>0</x:v>
      </x:c>
      <x:c r="K11" s="26">
        <x:f>IF($A11="","",ROUND((Scoring_Model!$B$9*($E11/4)*100)+(Scoring_Model!$B$10*$F11)+(Scoring_Model!$B$11*$G11)+(Scoring_Model!$B$12*$H11)+(Scoring_Model!$B$13*IF($I11="",0,$I11))+(Scoring_Model!$B$14*IF($J11="",0,$J11)),1))</x:f>
        <x:v>42.4</x:v>
      </x:c>
      <x:c r="L11" s="23" t="inlineStr">
        <x:is>
          <x:t xml:space="preserve">https://www.fldoe.org/file/18534/SchoolGrades25.xlsx</x:t>
        </x:is>
      </x:c>
      <x:c r="M11" s="23" t="inlineStr">
        <x:is>
          <x:t xml:space="preserve">School type Elementary; growth field currently uses official ELA learning gains in this starter model.</x:t>
        </x:is>
      </x:c>
    </x:row>
    <x:row r="12">
      <x:c r="A12" s="23" t="str">
        <x:f>FDOE_Grades_2025_Raw!A12</x:f>
        <x:v>350113</x:v>
      </x:c>
      <x:c r="B12" s="23" t="str">
        <x:f>FDOE_Grades_2025_Raw!E12</x:f>
        <x:v>GRAY MIDDLE SCHOOL</x:v>
      </x:c>
      <x:c r="C12" s="23" t="n">
        <x:v>2025</x:v>
      </x:c>
      <x:c r="D12" s="23" t="str">
        <x:f>FDOE_Grades_2025_Raw!W12</x:f>
        <x:v>C</x:v>
      </x:c>
      <x:c r="E12" s="26">
        <x:f>IF(D12="A",4,IF(D12="B",3,IF(D12="C",2,IF(D12="D",1,IF(D12="F",0,"")))))</x:f>
        <x:v>2</x:v>
      </x:c>
      <x:c r="F12" s="27">
        <x:f>FDOE_Grades_2025_Raw!K12</x:f>
        <x:v>45</x:v>
      </x:c>
      <x:c r="G12" s="27">
        <x:f>FDOE_Grades_2025_Raw!M12</x:f>
        <x:v>52</x:v>
      </x:c>
      <x:c r="H12" s="27">
        <x:f>FDOE_Grades_2025_Raw!L12</x:f>
        <x:v>52</x:v>
      </x:c>
      <x:c r="I12" s="27">
        <x:f>FDOE_Grades_2025_Raw!Q12</x:f>
        <x:v>0</x:v>
      </x:c>
      <x:c r="J12" s="27">
        <x:f>FDOE_Grades_2025_Raw!R12</x:f>
        <x:v>0</x:v>
      </x:c>
      <x:c r="K12" s="26">
        <x:f>IF($A12="","",ROUND((Scoring_Model!$B$9*($E12/4)*100)+(Scoring_Model!$B$10*$F12)+(Scoring_Model!$B$11*$G12)+(Scoring_Model!$B$12*$H12)+(Scoring_Model!$B$13*IF($I12="",0,$I12))+(Scoring_Model!$B$14*IF($J12="",0,$J12)),1))</x:f>
        <x:v>44.4</x:v>
      </x:c>
      <x:c r="L12" s="23" t="inlineStr">
        <x:is>
          <x:t xml:space="preserve">https://www.fldoe.org/file/18534/SchoolGrades25.xlsx</x:t>
        </x:is>
      </x:c>
      <x:c r="M12" s="23" t="inlineStr">
        <x:is>
          <x:t xml:space="preserve">School type Middle/Junior; growth field currently uses official ELA learning gains in this starter model.</x:t>
        </x:is>
      </x:c>
    </x:row>
    <x:row r="13">
      <x:c r="A13" s="23" t="str">
        <x:f>FDOE_Grades_2025_Raw!A13</x:f>
        <x:v>350119</x:v>
      </x:c>
      <x:c r="B13" s="23" t="str">
        <x:f>FDOE_Grades_2025_Raw!E13</x:f>
        <x:v>THE VILLAGES ELEMENTARY OF LADY LAKE SCHOOL</x:v>
      </x:c>
      <x:c r="C13" s="23" t="n">
        <x:v>2025</x:v>
      </x:c>
      <x:c r="D13" s="23" t="str">
        <x:f>FDOE_Grades_2025_Raw!W13</x:f>
        <x:v>A</x:v>
      </x:c>
      <x:c r="E13" s="26">
        <x:f>IF(D13="A",4,IF(D13="B",3,IF(D13="C",2,IF(D13="D",1,IF(D13="F",0,"")))))</x:f>
        <x:v>4</x:v>
      </x:c>
      <x:c r="F13" s="27">
        <x:f>FDOE_Grades_2025_Raw!K13</x:f>
        <x:v>67</x:v>
      </x:c>
      <x:c r="G13" s="27">
        <x:f>FDOE_Grades_2025_Raw!M13</x:f>
        <x:v>75</x:v>
      </x:c>
      <x:c r="H13" s="27">
        <x:f>FDOE_Grades_2025_Raw!L13</x:f>
        <x:v>59</x:v>
      </x:c>
      <x:c r="I13" s="27">
        <x:f>FDOE_Grades_2025_Raw!Q13</x:f>
        <x:v>0</x:v>
      </x:c>
      <x:c r="J13" s="27">
        <x:f>FDOE_Grades_2025_Raw!R13</x:f>
        <x:v>0</x:v>
      </x:c>
      <x:c r="K13" s="26">
        <x:f>IF($A13="","",ROUND((Scoring_Model!$B$9*($E13/4)*100)+(Scoring_Model!$B$10*$F13)+(Scoring_Model!$B$11*$G13)+(Scoring_Model!$B$12*$H13)+(Scoring_Model!$B$13*IF($I13="",0,$I13))+(Scoring_Model!$B$14*IF($J13="",0,$J13)),1))</x:f>
        <x:v>76.8</x:v>
      </x:c>
      <x:c r="L13" s="23" t="inlineStr">
        <x:is>
          <x:t xml:space="preserve">https://www.fldoe.org/file/18534/SchoolGrades25.xlsx</x:t>
        </x:is>
      </x:c>
      <x:c r="M13" s="23" t="inlineStr">
        <x:is>
          <x:t xml:space="preserve">School type Elementary; growth field currently uses official ELA learning gains in this starter model.</x:t>
        </x:is>
      </x:c>
    </x:row>
    <x:row r="14">
      <x:c r="A14" s="23" t="str">
        <x:f>FDOE_Grades_2025_Raw!A14</x:f>
        <x:v>350141</x:v>
      </x:c>
      <x:c r="B14" s="23" t="str">
        <x:f>FDOE_Grades_2025_Raw!E14</x:f>
        <x:v>SEMINOLE SPRINGS ELEMENTARY SCHOOL</x:v>
      </x:c>
      <x:c r="C14" s="23" t="n">
        <x:v>2025</x:v>
      </x:c>
      <x:c r="D14" s="23" t="str">
        <x:f>FDOE_Grades_2025_Raw!W14</x:f>
        <x:v>C</x:v>
      </x:c>
      <x:c r="E14" s="26">
        <x:f>IF(D14="A",4,IF(D14="B",3,IF(D14="C",2,IF(D14="D",1,IF(D14="F",0,"")))))</x:f>
        <x:v>2</x:v>
      </x:c>
      <x:c r="F14" s="27">
        <x:f>FDOE_Grades_2025_Raw!K14</x:f>
        <x:v>52</x:v>
      </x:c>
      <x:c r="G14" s="27">
        <x:f>FDOE_Grades_2025_Raw!M14</x:f>
        <x:v>57</x:v>
      </x:c>
      <x:c r="H14" s="27">
        <x:f>FDOE_Grades_2025_Raw!L14</x:f>
        <x:v>57</x:v>
      </x:c>
      <x:c r="I14" s="27">
        <x:f>FDOE_Grades_2025_Raw!Q14</x:f>
        <x:v>0</x:v>
      </x:c>
      <x:c r="J14" s="27">
        <x:f>FDOE_Grades_2025_Raw!R14</x:f>
        <x:v>0</x:v>
      </x:c>
      <x:c r="K14" s="26">
        <x:f>IF($A14="","",ROUND((Scoring_Model!$B$9*($E14/4)*100)+(Scoring_Model!$B$10*$F14)+(Scoring_Model!$B$11*$G14)+(Scoring_Model!$B$12*$H14)+(Scoring_Model!$B$13*IF($I14="",0,$I14))+(Scoring_Model!$B$14*IF($J14="",0,$J14)),1))</x:f>
        <x:v>46.8</x:v>
      </x:c>
      <x:c r="L14" s="23" t="inlineStr">
        <x:is>
          <x:t xml:space="preserve">https://www.fldoe.org/file/18534/SchoolGrades25.xlsx</x:t>
        </x:is>
      </x:c>
      <x:c r="M14" s="23" t="inlineStr">
        <x:is>
          <x:t xml:space="preserve">School type Elementary; growth field currently uses official ELA learning gains in this starter model.</x:t>
        </x:is>
      </x:c>
    </x:row>
    <x:row r="15">
      <x:c r="A15" s="23" t="str">
        <x:f>FDOE_Grades_2025_Raw!A15</x:f>
        <x:v>350149</x:v>
      </x:c>
      <x:c r="B15" s="23" t="str">
        <x:f>FDOE_Grades_2025_Raw!E15</x:f>
        <x:v>ROUND LAKE CHARTER SCHOOL</x:v>
      </x:c>
      <x:c r="C15" s="23" t="n">
        <x:v>2025</x:v>
      </x:c>
      <x:c r="D15" s="23" t="str">
        <x:f>FDOE_Grades_2025_Raw!W15</x:f>
        <x:v>A</x:v>
      </x:c>
      <x:c r="E15" s="26">
        <x:f>IF(D15="A",4,IF(D15="B",3,IF(D15="C",2,IF(D15="D",1,IF(D15="F",0,"")))))</x:f>
        <x:v>4</x:v>
      </x:c>
      <x:c r="F15" s="27">
        <x:f>FDOE_Grades_2025_Raw!K15</x:f>
        <x:v>81</x:v>
      </x:c>
      <x:c r="G15" s="27">
        <x:f>FDOE_Grades_2025_Raw!M15</x:f>
        <x:v>92</x:v>
      </x:c>
      <x:c r="H15" s="27">
        <x:f>FDOE_Grades_2025_Raw!L15</x:f>
        <x:v>69</x:v>
      </x:c>
      <x:c r="I15" s="27">
        <x:f>FDOE_Grades_2025_Raw!Q15</x:f>
        <x:v>0</x:v>
      </x:c>
      <x:c r="J15" s="27">
        <x:f>FDOE_Grades_2025_Raw!R15</x:f>
        <x:v>0</x:v>
      </x:c>
      <x:c r="K15" s="26">
        <x:f>IF($A15="","",ROUND((Scoring_Model!$B$9*($E15/4)*100)+(Scoring_Model!$B$10*$F15)+(Scoring_Model!$B$11*$G15)+(Scoring_Model!$B$12*$H15)+(Scoring_Model!$B$13*IF($I15="",0,$I15))+(Scoring_Model!$B$14*IF($J15="",0,$J15)),1))</x:f>
        <x:v>82.3</x:v>
      </x:c>
      <x:c r="L15" s="23" t="inlineStr">
        <x:is>
          <x:t xml:space="preserve">https://www.fldoe.org/file/18534/SchoolGrades25.xlsx</x:t>
        </x:is>
      </x:c>
      <x:c r="M15" s="23" t="inlineStr">
        <x:is>
          <x:t xml:space="preserve">School type Combination; growth field currently uses official ELA learning gains in this starter model.</x:t>
        </x:is>
      </x:c>
    </x:row>
    <x:row r="16">
      <x:c r="A16" s="23" t="str">
        <x:f>FDOE_Grades_2025_Raw!A16</x:f>
        <x:v>350161</x:v>
      </x:c>
      <x:c r="B16" s="23" t="str">
        <x:f>FDOE_Grades_2025_Raw!E16</x:f>
        <x:v>LEESBURG HIGH SCHOOL</x:v>
      </x:c>
      <x:c r="C16" s="23" t="n">
        <x:v>2025</x:v>
      </x:c>
      <x:c r="D16" s="23" t="str">
        <x:f>FDOE_Grades_2025_Raw!W16</x:f>
        <x:v>C</x:v>
      </x:c>
      <x:c r="E16" s="26">
        <x:f>IF(D16="A",4,IF(D16="B",3,IF(D16="C",2,IF(D16="D",1,IF(D16="F",0,"")))))</x:f>
        <x:v>2</x:v>
      </x:c>
      <x:c r="F16" s="27">
        <x:f>FDOE_Grades_2025_Raw!K16</x:f>
        <x:v>41</x:v>
      </x:c>
      <x:c r="G16" s="27">
        <x:f>FDOE_Grades_2025_Raw!M16</x:f>
        <x:v>27</x:v>
      </x:c>
      <x:c r="H16" s="27">
        <x:f>FDOE_Grades_2025_Raw!L16</x:f>
        <x:v>55</x:v>
      </x:c>
      <x:c r="I16" s="27">
        <x:f>FDOE_Grades_2025_Raw!Q16</x:f>
        <x:v>91</x:v>
      </x:c>
      <x:c r="J16" s="27">
        <x:f>FDOE_Grades_2025_Raw!R16</x:f>
        <x:v>53</x:v>
      </x:c>
      <x:c r="K16" s="26">
        <x:f>IF($A16="","",ROUND((Scoring_Model!$B$9*($E16/4)*100)+(Scoring_Model!$B$10*$F16)+(Scoring_Model!$B$11*$G16)+(Scoring_Model!$B$12*$H16)+(Scoring_Model!$B$13*IF($I16="",0,$I16))+(Scoring_Model!$B$14*IF($J16="",0,$J16)),1))</x:f>
        <x:v>48.6</x:v>
      </x:c>
      <x:c r="L16" s="23" t="inlineStr">
        <x:is>
          <x:t xml:space="preserve">https://www.fldoe.org/file/18534/SchoolGrades25.xlsx</x:t>
        </x:is>
      </x:c>
      <x:c r="M16" s="23" t="inlineStr">
        <x:is>
          <x:t xml:space="preserve">School type Senior High; growth field currently uses official ELA learning gains in this starter model.</x:t>
        </x:is>
      </x:c>
    </x:row>
    <x:row r="17">
      <x:c r="A17" s="23" t="str">
        <x:f>FDOE_Grades_2025_Raw!A17</x:f>
        <x:v>350181</x:v>
      </x:c>
      <x:c r="B17" s="23" t="str">
        <x:f>FDOE_Grades_2025_Raw!E17</x:f>
        <x:v>MT. DORA HIGH SCHOOL</x:v>
      </x:c>
      <x:c r="C17" s="23" t="n">
        <x:v>2025</x:v>
      </x:c>
      <x:c r="D17" s="23" t="str">
        <x:f>FDOE_Grades_2025_Raw!W17</x:f>
        <x:v>A</x:v>
      </x:c>
      <x:c r="E17" s="26">
        <x:f>IF(D17="A",4,IF(D17="B",3,IF(D17="C",2,IF(D17="D",1,IF(D17="F",0,"")))))</x:f>
        <x:v>4</x:v>
      </x:c>
      <x:c r="F17" s="27">
        <x:f>FDOE_Grades_2025_Raw!K17</x:f>
        <x:v>62</x:v>
      </x:c>
      <x:c r="G17" s="27">
        <x:f>FDOE_Grades_2025_Raw!M17</x:f>
        <x:v>57</x:v>
      </x:c>
      <x:c r="H17" s="27">
        <x:f>FDOE_Grades_2025_Raw!L17</x:f>
        <x:v>58</x:v>
      </x:c>
      <x:c r="I17" s="27">
        <x:f>FDOE_Grades_2025_Raw!Q17</x:f>
        <x:v>99</x:v>
      </x:c>
      <x:c r="J17" s="27">
        <x:f>FDOE_Grades_2025_Raw!R17</x:f>
        <x:v>87</x:v>
      </x:c>
      <x:c r="K17" s="26">
        <x:f>IF($A17="","",ROUND((Scoring_Model!$B$9*($E17/4)*100)+(Scoring_Model!$B$10*$F17)+(Scoring_Model!$B$11*$G17)+(Scoring_Model!$B$12*$H17)+(Scoring_Model!$B$13*IF($I17="",0,$I17))+(Scoring_Model!$B$14*IF($J17="",0,$J17)),1))</x:f>
        <x:v>83.2</x:v>
      </x:c>
      <x:c r="L17" s="23" t="inlineStr">
        <x:is>
          <x:t xml:space="preserve">https://www.fldoe.org/file/18534/SchoolGrades25.xlsx</x:t>
        </x:is>
      </x:c>
      <x:c r="M17" s="23" t="inlineStr">
        <x:is>
          <x:t xml:space="preserve">School type Senior High; growth field currently uses official ELA learning gains in this starter model.</x:t>
        </x:is>
      </x:c>
    </x:row>
    <x:row r="18">
      <x:c r="A18" s="23" t="str">
        <x:f>FDOE_Grades_2025_Raw!A18</x:f>
        <x:v>350211</x:v>
      </x:c>
      <x:c r="B18" s="23" t="str">
        <x:f>FDOE_Grades_2025_Raw!E18</x:f>
        <x:v>TAVARES HIGH SCHOOL</x:v>
      </x:c>
      <x:c r="C18" s="23" t="n">
        <x:v>2025</x:v>
      </x:c>
      <x:c r="D18" s="23" t="str">
        <x:f>FDOE_Grades_2025_Raw!W18</x:f>
        <x:v>B</x:v>
      </x:c>
      <x:c r="E18" s="26">
        <x:f>IF(D18="A",4,IF(D18="B",3,IF(D18="C",2,IF(D18="D",1,IF(D18="F",0,"")))))</x:f>
        <x:v>3</x:v>
      </x:c>
      <x:c r="F18" s="27">
        <x:f>FDOE_Grades_2025_Raw!K18</x:f>
        <x:v>49</x:v>
      </x:c>
      <x:c r="G18" s="27">
        <x:f>FDOE_Grades_2025_Raw!M18</x:f>
        <x:v>41</x:v>
      </x:c>
      <x:c r="H18" s="27">
        <x:f>FDOE_Grades_2025_Raw!L18</x:f>
        <x:v>58</x:v>
      </x:c>
      <x:c r="I18" s="27">
        <x:f>FDOE_Grades_2025_Raw!Q18</x:f>
        <x:v>92</x:v>
      </x:c>
      <x:c r="J18" s="27">
        <x:f>FDOE_Grades_2025_Raw!R18</x:f>
        <x:v>86</x:v>
      </x:c>
      <x:c r="K18" s="26">
        <x:f>IF($A18="","",ROUND((Scoring_Model!$B$9*($E18/4)*100)+(Scoring_Model!$B$10*$F18)+(Scoring_Model!$B$11*$G18)+(Scoring_Model!$B$12*$H18)+(Scoring_Model!$B$13*IF($I18="",0,$I18))+(Scoring_Model!$B$14*IF($J18="",0,$J18)),1))</x:f>
        <x:v>66.1</x:v>
      </x:c>
      <x:c r="L18" s="23" t="inlineStr">
        <x:is>
          <x:t xml:space="preserve">https://www.fldoe.org/file/18534/SchoolGrades25.xlsx</x:t>
        </x:is>
      </x:c>
      <x:c r="M18" s="23" t="inlineStr">
        <x:is>
          <x:t xml:space="preserve">School type Senior High; growth field currently uses official ELA learning gains in this starter model.</x:t>
        </x:is>
      </x:c>
    </x:row>
    <x:row r="19">
      <x:c r="A19" s="23" t="str">
        <x:f>FDOE_Grades_2025_Raw!A19</x:f>
        <x:v>350213</x:v>
      </x:c>
      <x:c r="B19" s="23" t="str">
        <x:f>FDOE_Grades_2025_Raw!E19</x:f>
        <x:v>TAVARES MIDDLE SCHOOL</x:v>
      </x:c>
      <x:c r="C19" s="23" t="n">
        <x:v>2025</x:v>
      </x:c>
      <x:c r="D19" s="23" t="str">
        <x:f>FDOE_Grades_2025_Raw!W19</x:f>
        <x:v>B</x:v>
      </x:c>
      <x:c r="E19" s="26">
        <x:f>IF(D19="A",4,IF(D19="B",3,IF(D19="C",2,IF(D19="D",1,IF(D19="F",0,"")))))</x:f>
        <x:v>3</x:v>
      </x:c>
      <x:c r="F19" s="27">
        <x:f>FDOE_Grades_2025_Raw!K19</x:f>
        <x:v>50</x:v>
      </x:c>
      <x:c r="G19" s="27">
        <x:f>FDOE_Grades_2025_Raw!M19</x:f>
        <x:v>55</x:v>
      </x:c>
      <x:c r="H19" s="27">
        <x:f>FDOE_Grades_2025_Raw!L19</x:f>
        <x:v>56</x:v>
      </x:c>
      <x:c r="I19" s="27">
        <x:f>FDOE_Grades_2025_Raw!Q19</x:f>
        <x:v>0</x:v>
      </x:c>
      <x:c r="J19" s="27">
        <x:f>FDOE_Grades_2025_Raw!R19</x:f>
        <x:v>0</x:v>
      </x:c>
      <x:c r="K19" s="26">
        <x:f>IF($A19="","",ROUND((Scoring_Model!$B$9*($E19/4)*100)+(Scoring_Model!$B$10*$F19)+(Scoring_Model!$B$11*$G19)+(Scoring_Model!$B$12*$H19)+(Scoring_Model!$B$13*IF($I19="",0,$I19))+(Scoring_Model!$B$14*IF($J19="",0,$J19)),1))</x:f>
        <x:v>58.6</x:v>
      </x:c>
      <x:c r="L19" s="23" t="inlineStr">
        <x:is>
          <x:t xml:space="preserve">https://www.fldoe.org/file/18534/SchoolGrades25.xlsx</x:t>
        </x:is>
      </x:c>
      <x:c r="M19" s="23" t="inlineStr">
        <x:is>
          <x:t xml:space="preserve">School type Middle/Junior; growth field currently uses official ELA learning gains in this starter model.</x:t>
        </x:is>
      </x:c>
    </x:row>
    <x:row r="20">
      <x:c r="A20" s="23" t="str">
        <x:f>FDOE_Grades_2025_Raw!A20</x:f>
        <x:v>350231</x:v>
      </x:c>
      <x:c r="B20" s="23" t="str">
        <x:f>FDOE_Grades_2025_Raw!E20</x:f>
        <x:v>UMATILLA HIGH SCHOOL</x:v>
      </x:c>
      <x:c r="C20" s="23" t="n">
        <x:v>2025</x:v>
      </x:c>
      <x:c r="D20" s="23" t="str">
        <x:f>FDOE_Grades_2025_Raw!W20</x:f>
        <x:v>B</x:v>
      </x:c>
      <x:c r="E20" s="26">
        <x:f>IF(D20="A",4,IF(D20="B",3,IF(D20="C",2,IF(D20="D",1,IF(D20="F",0,"")))))</x:f>
        <x:v>3</x:v>
      </x:c>
      <x:c r="F20" s="27">
        <x:f>FDOE_Grades_2025_Raw!K20</x:f>
        <x:v>48</x:v>
      </x:c>
      <x:c r="G20" s="27">
        <x:f>FDOE_Grades_2025_Raw!M20</x:f>
        <x:v>44</x:v>
      </x:c>
      <x:c r="H20" s="27">
        <x:f>FDOE_Grades_2025_Raw!L20</x:f>
        <x:v>50</x:v>
      </x:c>
      <x:c r="I20" s="27">
        <x:f>FDOE_Grades_2025_Raw!Q20</x:f>
        <x:v>97</x:v>
      </x:c>
      <x:c r="J20" s="27">
        <x:f>FDOE_Grades_2025_Raw!R20</x:f>
        <x:v>77</x:v>
      </x:c>
      <x:c r="K20" s="26">
        <x:f>IF($A20="","",ROUND((Scoring_Model!$B$9*($E20/4)*100)+(Scoring_Model!$B$10*$F20)+(Scoring_Model!$B$11*$G20)+(Scoring_Model!$B$12*$H20)+(Scoring_Model!$B$13*IF($I20="",0,$I20))+(Scoring_Model!$B$14*IF($J20="",0,$J20)),1))</x:f>
        <x:v>65.2</x:v>
      </x:c>
      <x:c r="L20" s="23" t="inlineStr">
        <x:is>
          <x:t xml:space="preserve">https://www.fldoe.org/file/18534/SchoolGrades25.xlsx</x:t>
        </x:is>
      </x:c>
      <x:c r="M20" s="23" t="inlineStr">
        <x:is>
          <x:t xml:space="preserve">School type Senior High; growth field currently uses official ELA learning gains in this starter model.</x:t>
        </x:is>
      </x:c>
    </x:row>
    <x:row r="21">
      <x:c r="A21" s="20" t="str">
        <x:f>FDOE_Grades_2025_Raw!A21</x:f>
        <x:v>350241</x:v>
      </x:c>
      <x:c r="B21" s="20" t="str">
        <x:f>FDOE_Grades_2025_Raw!E21</x:f>
        <x:v>TREADWAY ELEMENTARY SCHOOL</x:v>
      </x:c>
      <x:c r="C21" s="20" t="n">
        <x:v>2025</x:v>
      </x:c>
      <x:c r="D21" s="20" t="str">
        <x:f>FDOE_Grades_2025_Raw!W21</x:f>
        <x:v>A</x:v>
      </x:c>
      <x:c r="E21" s="25">
        <x:f>IF(D21="A",4,IF(D21="B",3,IF(D21="C",2,IF(D21="D",1,IF(D21="F",0,"")))))</x:f>
        <x:v>4</x:v>
      </x:c>
      <x:c r="F21" s="25">
        <x:f>FDOE_Grades_2025_Raw!K21</x:f>
        <x:v>58</x:v>
      </x:c>
      <x:c r="G21" s="25">
        <x:f>FDOE_Grades_2025_Raw!M21</x:f>
        <x:v>66</x:v>
      </x:c>
      <x:c r="H21" s="25">
        <x:f>FDOE_Grades_2025_Raw!L21</x:f>
        <x:v>65</x:v>
      </x:c>
      <x:c r="I21" s="25">
        <x:f>FDOE_Grades_2025_Raw!Q21</x:f>
        <x:v>0</x:v>
      </x:c>
      <x:c r="J21" s="25">
        <x:f>FDOE_Grades_2025_Raw!R21</x:f>
        <x:v>0</x:v>
      </x:c>
      <x:c r="K21" s="25">
        <x:f>IF($A21="","",ROUND((Scoring_Model!$B$9*($E21/4)*100)+(Scoring_Model!$B$10*$F21)+(Scoring_Model!$B$11*$G21)+(Scoring_Model!$B$12*$H21)+(Scoring_Model!$B$13*IF($I21="",0,$I21))+(Scoring_Model!$B$14*IF($J21="",0,$J21)),1))</x:f>
        <x:v>74.7</x:v>
      </x:c>
      <x:c r="L21" s="20" t="inlineStr">
        <x:is>
          <x:t xml:space="preserve">https://www.fldoe.org/file/18534/SchoolGrades25.xlsx</x:t>
        </x:is>
      </x:c>
      <x:c r="M21" s="20" t="inlineStr">
        <x:is>
          <x:t xml:space="preserve">School type Elementary; growth field currently uses official ELA learning gains in this starter model.</x:t>
        </x:is>
      </x:c>
    </x:row>
    <x:row r="22">
      <x:c r="A22" s="20" t="str">
        <x:f>FDOE_Grades_2025_Raw!A22</x:f>
        <x:v>350251</x:v>
      </x:c>
      <x:c r="B22" s="20" t="str">
        <x:f>FDOE_Grades_2025_Raw!E22</x:f>
        <x:v>OAK PARK MIDDLE SCHOOL</x:v>
      </x:c>
      <x:c r="C22" s="20" t="n">
        <x:v>2025</x:v>
      </x:c>
      <x:c r="D22" s="20" t="str">
        <x:f>FDOE_Grades_2025_Raw!W22</x:f>
        <x:v>C</x:v>
      </x:c>
      <x:c r="E22" s="25">
        <x:f>IF(D22="A",4,IF(D22="B",3,IF(D22="C",2,IF(D22="D",1,IF(D22="F",0,"")))))</x:f>
        <x:v>2</x:v>
      </x:c>
      <x:c r="F22" s="25">
        <x:f>FDOE_Grades_2025_Raw!K22</x:f>
        <x:v>38</x:v>
      </x:c>
      <x:c r="G22" s="25">
        <x:f>FDOE_Grades_2025_Raw!M22</x:f>
        <x:v>46</x:v>
      </x:c>
      <x:c r="H22" s="25">
        <x:f>FDOE_Grades_2025_Raw!L22</x:f>
        <x:v>50</x:v>
      </x:c>
      <x:c r="I22" s="25">
        <x:f>FDOE_Grades_2025_Raw!Q22</x:f>
        <x:v>0</x:v>
      </x:c>
      <x:c r="J22" s="25">
        <x:f>FDOE_Grades_2025_Raw!R22</x:f>
        <x:v>0</x:v>
      </x:c>
      <x:c r="K22" s="25">
        <x:f>IF($A22="","",ROUND((Scoring_Model!$B$9*($E22/4)*100)+(Scoring_Model!$B$10*$F22)+(Scoring_Model!$B$11*$G22)+(Scoring_Model!$B$12*$H22)+(Scoring_Model!$B$13*IF($I22="",0,$I22))+(Scoring_Model!$B$14*IF($J22="",0,$J22)),1))</x:f>
        <x:v>42.2</x:v>
      </x:c>
      <x:c r="L22" s="20" t="inlineStr">
        <x:is>
          <x:t xml:space="preserve">https://www.fldoe.org/file/18534/SchoolGrades25.xlsx</x:t>
        </x:is>
      </x:c>
      <x:c r="M22" s="20" t="inlineStr">
        <x:is>
          <x:t xml:space="preserve">School type Middle/Junior; growth field currently uses official ELA learning gains in this starter model.</x:t>
        </x:is>
      </x:c>
    </x:row>
    <x:row r="23">
      <x:c r="A23" s="20" t="str">
        <x:f>FDOE_Grades_2025_Raw!A23</x:f>
        <x:v>350261</x:v>
      </x:c>
      <x:c r="B23" s="20" t="str">
        <x:f>FDOE_Grades_2025_Raw!E23</x:f>
        <x:v>MINNEOLA CHARTER SCHOOL</x:v>
      </x:c>
      <x:c r="C23" s="20" t="n">
        <x:v>2025</x:v>
      </x:c>
      <x:c r="D23" s="20" t="str">
        <x:f>FDOE_Grades_2025_Raw!W23</x:f>
        <x:v>A</x:v>
      </x:c>
      <x:c r="E23" s="25">
        <x:f>IF(D23="A",4,IF(D23="B",3,IF(D23="C",2,IF(D23="D",1,IF(D23="F",0,"")))))</x:f>
        <x:v>4</x:v>
      </x:c>
      <x:c r="F23" s="25">
        <x:f>FDOE_Grades_2025_Raw!K23</x:f>
        <x:v>70</x:v>
      </x:c>
      <x:c r="G23" s="25">
        <x:f>FDOE_Grades_2025_Raw!M23</x:f>
        <x:v>81</x:v>
      </x:c>
      <x:c r="H23" s="25">
        <x:f>FDOE_Grades_2025_Raw!L23</x:f>
        <x:v>61</x:v>
      </x:c>
      <x:c r="I23" s="25">
        <x:f>FDOE_Grades_2025_Raw!Q23</x:f>
        <x:v>0</x:v>
      </x:c>
      <x:c r="J23" s="25">
        <x:f>FDOE_Grades_2025_Raw!R23</x:f>
        <x:v>0</x:v>
      </x:c>
      <x:c r="K23" s="25">
        <x:f>IF($A23="","",ROUND((Scoring_Model!$B$9*($E23/4)*100)+(Scoring_Model!$B$10*$F23)+(Scoring_Model!$B$11*$G23)+(Scoring_Model!$B$12*$H23)+(Scoring_Model!$B$13*IF($I23="",0,$I23))+(Scoring_Model!$B$14*IF($J23="",0,$J23)),1))</x:f>
        <x:v>78.2</x:v>
      </x:c>
      <x:c r="L23" s="20" t="inlineStr">
        <x:is>
          <x:t xml:space="preserve">https://www.fldoe.org/file/18534/SchoolGrades25.xlsx</x:t>
        </x:is>
      </x:c>
      <x:c r="M23" s="20" t="inlineStr">
        <x:is>
          <x:t xml:space="preserve">School type Combination; growth field currently uses official ELA learning gains in this starter model.</x:t>
        </x:is>
      </x:c>
    </x:row>
    <x:row r="24">
      <x:c r="A24" s="20" t="str">
        <x:f>FDOE_Grades_2025_Raw!A24</x:f>
        <x:v>350271</x:v>
      </x:c>
      <x:c r="B24" s="20" t="str">
        <x:f>FDOE_Grades_2025_Raw!E24</x:f>
        <x:v>ASTATULA ELEMENTARY SCHOOL</x:v>
      </x:c>
      <x:c r="C24" s="20" t="n">
        <x:v>2025</x:v>
      </x:c>
      <x:c r="D24" s="20" t="str">
        <x:f>FDOE_Grades_2025_Raw!W24</x:f>
        <x:v>B</x:v>
      </x:c>
      <x:c r="E24" s="25">
        <x:f>IF(D24="A",4,IF(D24="B",3,IF(D24="C",2,IF(D24="D",1,IF(D24="F",0,"")))))</x:f>
        <x:v>3</x:v>
      </x:c>
      <x:c r="F24" s="25">
        <x:f>FDOE_Grades_2025_Raw!K24</x:f>
        <x:v>47</x:v>
      </x:c>
      <x:c r="G24" s="25">
        <x:f>FDOE_Grades_2025_Raw!M24</x:f>
        <x:v>51</x:v>
      </x:c>
      <x:c r="H24" s="25">
        <x:f>FDOE_Grades_2025_Raw!L24</x:f>
        <x:v>55</x:v>
      </x:c>
      <x:c r="I24" s="25">
        <x:f>FDOE_Grades_2025_Raw!Q24</x:f>
        <x:v>0</x:v>
      </x:c>
      <x:c r="J24" s="25">
        <x:f>FDOE_Grades_2025_Raw!R24</x:f>
        <x:v>0</x:v>
      </x:c>
      <x:c r="K24" s="25">
        <x:f>IF($A24="","",ROUND((Scoring_Model!$B$9*($E24/4)*100)+(Scoring_Model!$B$10*$F24)+(Scoring_Model!$B$11*$G24)+(Scoring_Model!$B$12*$H24)+(Scoring_Model!$B$13*IF($I24="",0,$I24))+(Scoring_Model!$B$14*IF($J24="",0,$J24)),1))</x:f>
        <x:v>57.5</x:v>
      </x:c>
      <x:c r="L24" s="20" t="inlineStr">
        <x:is>
          <x:t xml:space="preserve">https://www.fldoe.org/file/18534/SchoolGrades25.xlsx</x:t>
        </x:is>
      </x:c>
      <x:c r="M24" s="20" t="inlineStr">
        <x:is>
          <x:t xml:space="preserve">School type Elementary; growth field currently uses official ELA learning gains in this starter model.</x:t>
        </x:is>
      </x:c>
    </x:row>
    <x:row r="25">
      <x:c r="A25" s="20" t="str">
        <x:f>FDOE_Grades_2025_Raw!A25</x:f>
        <x:v>350281</x:v>
      </x:c>
      <x:c r="B25" s="20" t="str">
        <x:f>FDOE_Grades_2025_Raw!E25</x:f>
        <x:v>LOST LAKE ELEMENTARY SCHOOL</x:v>
      </x:c>
      <x:c r="C25" s="20" t="n">
        <x:v>2025</x:v>
      </x:c>
      <x:c r="D25" s="20" t="str">
        <x:f>FDOE_Grades_2025_Raw!W25</x:f>
        <x:v>B</x:v>
      </x:c>
      <x:c r="E25" s="25">
        <x:f>IF(D25="A",4,IF(D25="B",3,IF(D25="C",2,IF(D25="D",1,IF(D25="F",0,"")))))</x:f>
        <x:v>3</x:v>
      </x:c>
      <x:c r="F25" s="25">
        <x:f>FDOE_Grades_2025_Raw!K25</x:f>
        <x:v>64</x:v>
      </x:c>
      <x:c r="G25" s="25">
        <x:f>FDOE_Grades_2025_Raw!M25</x:f>
        <x:v>70</x:v>
      </x:c>
      <x:c r="H25" s="25">
        <x:f>FDOE_Grades_2025_Raw!L25</x:f>
        <x:v>59</x:v>
      </x:c>
      <x:c r="I25" s="25">
        <x:f>FDOE_Grades_2025_Raw!Q25</x:f>
        <x:v>0</x:v>
      </x:c>
      <x:c r="J25" s="25">
        <x:f>FDOE_Grades_2025_Raw!R25</x:f>
        <x:v>0</x:v>
      </x:c>
      <x:c r="K25" s="25">
        <x:f>IF($A25="","",ROUND((Scoring_Model!$B$9*($E25/4)*100)+(Scoring_Model!$B$10*$F25)+(Scoring_Model!$B$11*$G25)+(Scoring_Model!$B$12*$H25)+(Scoring_Model!$B$13*IF($I25="",0,$I25))+(Scoring_Model!$B$14*IF($J25="",0,$J25)),1))</x:f>
        <x:v>63.2</x:v>
      </x:c>
      <x:c r="L25" s="20" t="inlineStr">
        <x:is>
          <x:t xml:space="preserve">https://www.fldoe.org/file/18534/SchoolGrades25.xlsx</x:t>
        </x:is>
      </x:c>
      <x:c r="M25" s="20" t="inlineStr">
        <x:is>
          <x:t xml:space="preserve">School type Elementary; growth field currently uses official ELA learning gains in this starter model.</x:t>
        </x:is>
      </x:c>
    </x:row>
    <x:row r="26">
      <x:c r="A26" s="20" t="str">
        <x:f>FDOE_Grades_2025_Raw!A26</x:f>
        <x:v>350291</x:v>
      </x:c>
      <x:c r="B26" s="20" t="str">
        <x:f>FDOE_Grades_2025_Raw!E26</x:f>
        <x:v>LEESBURG ELEMENTARY SCHOOL</x:v>
      </x:c>
      <x:c r="C26" s="20" t="n">
        <x:v>2025</x:v>
      </x:c>
      <x:c r="D26" s="20" t="str">
        <x:f>FDOE_Grades_2025_Raw!W26</x:f>
        <x:v>C</x:v>
      </x:c>
      <x:c r="E26" s="25">
        <x:f>IF(D26="A",4,IF(D26="B",3,IF(D26="C",2,IF(D26="D",1,IF(D26="F",0,"")))))</x:f>
        <x:v>2</x:v>
      </x:c>
      <x:c r="F26" s="25">
        <x:f>FDOE_Grades_2025_Raw!K26</x:f>
        <x:v>34</x:v>
      </x:c>
      <x:c r="G26" s="25">
        <x:f>FDOE_Grades_2025_Raw!M26</x:f>
        <x:v>39</x:v>
      </x:c>
      <x:c r="H26" s="25">
        <x:f>FDOE_Grades_2025_Raw!L26</x:f>
        <x:v>45</x:v>
      </x:c>
      <x:c r="I26" s="25">
        <x:f>FDOE_Grades_2025_Raw!Q26</x:f>
        <x:v>0</x:v>
      </x:c>
      <x:c r="J26" s="25">
        <x:f>FDOE_Grades_2025_Raw!R26</x:f>
        <x:v>0</x:v>
      </x:c>
      <x:c r="K26" s="25">
        <x:f>IF($A26="","",ROUND((Scoring_Model!$B$9*($E26/4)*100)+(Scoring_Model!$B$10*$F26)+(Scoring_Model!$B$11*$G26)+(Scoring_Model!$B$12*$H26)+(Scoring_Model!$B$13*IF($I26="",0,$I26))+(Scoring_Model!$B$14*IF($J26="",0,$J26)),1))</x:f>
        <x:v>40.2</x:v>
      </x:c>
      <x:c r="L26" s="20" t="inlineStr">
        <x:is>
          <x:t xml:space="preserve">https://www.fldoe.org/file/18534/SchoolGrades25.xlsx</x:t>
        </x:is>
      </x:c>
      <x:c r="M26" s="20" t="inlineStr">
        <x:is>
          <x:t xml:space="preserve">School type Elementary; growth field currently uses official ELA learning gains in this starter model.</x:t>
        </x:is>
      </x:c>
    </x:row>
    <x:row r="27">
      <x:c r="A27" s="20" t="str">
        <x:f>FDOE_Grades_2025_Raw!A27</x:f>
        <x:v>350351</x:v>
      </x:c>
      <x:c r="B27" s="20" t="str">
        <x:f>FDOE_Grades_2025_Raw!E27</x:f>
        <x:v>CARVER MIDDLE SCHOOL</x:v>
      </x:c>
      <x:c r="C27" s="20" t="n">
        <x:v>2025</x:v>
      </x:c>
      <x:c r="D27" s="20" t="str">
        <x:f>FDOE_Grades_2025_Raw!W27</x:f>
        <x:v>C</x:v>
      </x:c>
      <x:c r="E27" s="25">
        <x:f>IF(D27="A",4,IF(D27="B",3,IF(D27="C",2,IF(D27="D",1,IF(D27="F",0,"")))))</x:f>
        <x:v>2</x:v>
      </x:c>
      <x:c r="F27" s="25">
        <x:f>FDOE_Grades_2025_Raw!K27</x:f>
        <x:v>45</x:v>
      </x:c>
      <x:c r="G27" s="25">
        <x:f>FDOE_Grades_2025_Raw!M27</x:f>
        <x:v>46</x:v>
      </x:c>
      <x:c r="H27" s="25">
        <x:f>FDOE_Grades_2025_Raw!L27</x:f>
        <x:v>53</x:v>
      </x:c>
      <x:c r="I27" s="25">
        <x:f>FDOE_Grades_2025_Raw!Q27</x:f>
        <x:v>0</x:v>
      </x:c>
      <x:c r="J27" s="25">
        <x:f>FDOE_Grades_2025_Raw!R27</x:f>
        <x:v>0</x:v>
      </x:c>
      <x:c r="K27" s="25">
        <x:f>IF($A27="","",ROUND((Scoring_Model!$B$9*($E27/4)*100)+(Scoring_Model!$B$10*$F27)+(Scoring_Model!$B$11*$G27)+(Scoring_Model!$B$12*$H27)+(Scoring_Model!$B$13*IF($I27="",0,$I27))+(Scoring_Model!$B$14*IF($J27="",0,$J27)),1))</x:f>
        <x:v>43.9</x:v>
      </x:c>
      <x:c r="L27" s="20" t="inlineStr">
        <x:is>
          <x:t xml:space="preserve">https://www.fldoe.org/file/18534/SchoolGrades25.xlsx</x:t>
        </x:is>
      </x:c>
      <x:c r="M27" s="20" t="inlineStr">
        <x:is>
          <x:t xml:space="preserve">School type Middle/Junior; growth field currently uses official ELA learning gains in this starter model.</x:t>
        </x:is>
      </x:c>
    </x:row>
    <x:row r="28">
      <x:c r="A28" s="20" t="str">
        <x:f>FDOE_Grades_2025_Raw!A28</x:f>
        <x:v>350382</x:v>
      </x:c>
      <x:c r="B28" s="20" t="str">
        <x:f>FDOE_Grades_2025_Raw!E28</x:f>
        <x:v>GROVELAND ELEMENTARY SCHOOL</x:v>
      </x:c>
      <x:c r="C28" s="20" t="n">
        <x:v>2025</x:v>
      </x:c>
      <x:c r="D28" s="20" t="str">
        <x:f>FDOE_Grades_2025_Raw!W28</x:f>
        <x:v>C</x:v>
      </x:c>
      <x:c r="E28" s="25">
        <x:f>IF(D28="A",4,IF(D28="B",3,IF(D28="C",2,IF(D28="D",1,IF(D28="F",0,"")))))</x:f>
        <x:v>2</x:v>
      </x:c>
      <x:c r="F28" s="25">
        <x:f>FDOE_Grades_2025_Raw!K28</x:f>
        <x:v>37</x:v>
      </x:c>
      <x:c r="G28" s="25">
        <x:f>FDOE_Grades_2025_Raw!M28</x:f>
        <x:v>40</x:v>
      </x:c>
      <x:c r="H28" s="25">
        <x:f>FDOE_Grades_2025_Raw!L28</x:f>
        <x:v>48</x:v>
      </x:c>
      <x:c r="I28" s="25">
        <x:f>FDOE_Grades_2025_Raw!Q28</x:f>
        <x:v>0</x:v>
      </x:c>
      <x:c r="J28" s="25">
        <x:f>FDOE_Grades_2025_Raw!R28</x:f>
        <x:v>0</x:v>
      </x:c>
      <x:c r="K28" s="25">
        <x:f>IF($A28="","",ROUND((Scoring_Model!$B$9*($E28/4)*100)+(Scoring_Model!$B$10*$F28)+(Scoring_Model!$B$11*$G28)+(Scoring_Model!$B$12*$H28)+(Scoring_Model!$B$13*IF($I28="",0,$I28))+(Scoring_Model!$B$14*IF($J28="",0,$J28)),1))</x:f>
        <x:v>41.2</x:v>
      </x:c>
      <x:c r="L28" s="20" t="inlineStr">
        <x:is>
          <x:t xml:space="preserve">https://www.fldoe.org/file/18534/SchoolGrades25.xlsx</x:t>
        </x:is>
      </x:c>
      <x:c r="M28" s="20" t="inlineStr">
        <x:is>
          <x:t xml:space="preserve">School type Elementary; growth field currently uses official ELA learning gains in this starter model.</x:t>
        </x:is>
      </x:c>
    </x:row>
    <x:row r="29">
      <x:c r="A29" s="20" t="str">
        <x:f>FDOE_Grades_2025_Raw!A29</x:f>
        <x:v>350411</x:v>
      </x:c>
      <x:c r="B29" s="20" t="str">
        <x:f>FDOE_Grades_2025_Raw!E29</x:f>
        <x:v>MT. DORA MIDDLE SCHOOL</x:v>
      </x:c>
      <x:c r="C29" s="20" t="n">
        <x:v>2025</x:v>
      </x:c>
      <x:c r="D29" s="20" t="str">
        <x:f>FDOE_Grades_2025_Raw!W29</x:f>
        <x:v>C</x:v>
      </x:c>
      <x:c r="E29" s="25">
        <x:f>IF(D29="A",4,IF(D29="B",3,IF(D29="C",2,IF(D29="D",1,IF(D29="F",0,"")))))</x:f>
        <x:v>2</x:v>
      </x:c>
      <x:c r="F29" s="25">
        <x:f>FDOE_Grades_2025_Raw!K29</x:f>
        <x:v>47</x:v>
      </x:c>
      <x:c r="G29" s="25">
        <x:f>FDOE_Grades_2025_Raw!M29</x:f>
        <x:v>56</x:v>
      </x:c>
      <x:c r="H29" s="25">
        <x:f>FDOE_Grades_2025_Raw!L29</x:f>
        <x:v>54</x:v>
      </x:c>
      <x:c r="I29" s="25">
        <x:f>FDOE_Grades_2025_Raw!Q29</x:f>
        <x:v>0</x:v>
      </x:c>
      <x:c r="J29" s="25">
        <x:f>FDOE_Grades_2025_Raw!R29</x:f>
        <x:v>0</x:v>
      </x:c>
      <x:c r="K29" s="25">
        <x:f>IF($A29="","",ROUND((Scoring_Model!$B$9*($E29/4)*100)+(Scoring_Model!$B$10*$F29)+(Scoring_Model!$B$11*$G29)+(Scoring_Model!$B$12*$H29)+(Scoring_Model!$B$13*IF($I29="",0,$I29))+(Scoring_Model!$B$14*IF($J29="",0,$J29)),1))</x:f>
        <x:v>45.4</x:v>
      </x:c>
      <x:c r="L29" s="20" t="inlineStr">
        <x:is>
          <x:t xml:space="preserve">https://www.fldoe.org/file/18534/SchoolGrades25.xlsx</x:t>
        </x:is>
      </x:c>
      <x:c r="M29" s="20" t="inlineStr">
        <x:is>
          <x:t xml:space="preserve">School type Middle/Junior; growth field currently uses official ELA learning gains in this starter model.</x:t>
        </x:is>
      </x:c>
    </x:row>
    <x:row r="30">
      <x:c r="A30" s="20" t="str">
        <x:f>FDOE_Grades_2025_Raw!A30</x:f>
        <x:v>350431</x:v>
      </x:c>
      <x:c r="B30" s="20" t="str">
        <x:f>FDOE_Grades_2025_Raw!E30</x:f>
        <x:v>LAKE POINTE ACADEMY</x:v>
      </x:c>
      <x:c r="C30" s="20" t="n">
        <x:v>2025</x:v>
      </x:c>
      <x:c r="D30" s="20" t="str">
        <x:f>FDOE_Grades_2025_Raw!W30</x:f>
        <x:v>C</x:v>
      </x:c>
      <x:c r="E30" s="25">
        <x:f>IF(D30="A",4,IF(D30="B",3,IF(D30="C",2,IF(D30="D",1,IF(D30="F",0,"")))))</x:f>
        <x:v>2</x:v>
      </x:c>
      <x:c r="F30" s="25">
        <x:f>FDOE_Grades_2025_Raw!K30</x:f>
        <x:v>44</x:v>
      </x:c>
      <x:c r="G30" s="25">
        <x:f>FDOE_Grades_2025_Raw!M30</x:f>
        <x:v>54</x:v>
      </x:c>
      <x:c r="H30" s="25">
        <x:f>FDOE_Grades_2025_Raw!L30</x:f>
        <x:v>52</x:v>
      </x:c>
      <x:c r="I30" s="25">
        <x:f>FDOE_Grades_2025_Raw!Q30</x:f>
        <x:v>0</x:v>
      </x:c>
      <x:c r="J30" s="25">
        <x:f>FDOE_Grades_2025_Raw!R30</x:f>
        <x:v>0</x:v>
      </x:c>
      <x:c r="K30" s="25">
        <x:f>IF($A30="","",ROUND((Scoring_Model!$B$9*($E30/4)*100)+(Scoring_Model!$B$10*$F30)+(Scoring_Model!$B$11*$G30)+(Scoring_Model!$B$12*$H30)+(Scoring_Model!$B$13*IF($I30="",0,$I30))+(Scoring_Model!$B$14*IF($J30="",0,$J30)),1))</x:f>
        <x:v>44.4</x:v>
      </x:c>
      <x:c r="L30" s="20" t="inlineStr">
        <x:is>
          <x:t xml:space="preserve">https://www.fldoe.org/file/18534/SchoolGrades25.xlsx</x:t>
        </x:is>
      </x:c>
      <x:c r="M30" s="20" t="inlineStr">
        <x:is>
          <x:t xml:space="preserve">School type Combination; growth field currently uses official ELA learning gains in this starter model.</x:t>
        </x:is>
      </x:c>
    </x:row>
    <x:row r="31">
      <x:c r="A31" s="20" t="str">
        <x:f>FDOE_Grades_2025_Raw!A31</x:f>
        <x:v>350471</x:v>
      </x:c>
      <x:c r="B31" s="20" t="str">
        <x:f>FDOE_Grades_2025_Raw!E31</x:f>
        <x:v>AURELIA M. COLE ACADEMY</x:v>
      </x:c>
      <x:c r="C31" s="20" t="n">
        <x:v>2025</x:v>
      </x:c>
      <x:c r="D31" s="20" t="str">
        <x:f>FDOE_Grades_2025_Raw!W31</x:f>
        <x:v>B</x:v>
      </x:c>
      <x:c r="E31" s="25">
        <x:f>IF(D31="A",4,IF(D31="B",3,IF(D31="C",2,IF(D31="D",1,IF(D31="F",0,"")))))</x:f>
        <x:v>3</x:v>
      </x:c>
      <x:c r="F31" s="25">
        <x:f>FDOE_Grades_2025_Raw!K31</x:f>
        <x:v>56</x:v>
      </x:c>
      <x:c r="G31" s="25">
        <x:f>FDOE_Grades_2025_Raw!M31</x:f>
        <x:v>62</x:v>
      </x:c>
      <x:c r="H31" s="25">
        <x:f>FDOE_Grades_2025_Raw!L31</x:f>
        <x:v>57</x:v>
      </x:c>
      <x:c r="I31" s="25">
        <x:f>FDOE_Grades_2025_Raw!Q31</x:f>
        <x:v>0</x:v>
      </x:c>
      <x:c r="J31" s="25">
        <x:f>FDOE_Grades_2025_Raw!R31</x:f>
        <x:v>0</x:v>
      </x:c>
      <x:c r="K31" s="25">
        <x:f>IF($A31="","",ROUND((Scoring_Model!$B$9*($E31/4)*100)+(Scoring_Model!$B$10*$F31)+(Scoring_Model!$B$11*$G31)+(Scoring_Model!$B$12*$H31)+(Scoring_Model!$B$13*IF($I31="",0,$I31))+(Scoring_Model!$B$14*IF($J31="",0,$J31)),1))</x:f>
        <x:v>60.6</x:v>
      </x:c>
      <x:c r="L31" s="20" t="inlineStr">
        <x:is>
          <x:t xml:space="preserve">https://www.fldoe.org/file/18534/SchoolGrades25.xlsx</x:t>
        </x:is>
      </x:c>
      <x:c r="M31" s="20" t="inlineStr">
        <x:is>
          <x:t xml:space="preserve">School type Combination; growth field currently uses official ELA learning gains in this starter model.</x:t>
        </x:is>
      </x:c>
    </x:row>
    <x:row r="32">
      <x:c r="A32" s="20" t="str">
        <x:f>FDOE_Grades_2025_Raw!A32</x:f>
        <x:v>350481</x:v>
      </x:c>
      <x:c r="B32" s="20" t="str">
        <x:f>FDOE_Grades_2025_Raw!E32</x:f>
        <x:v>WINDY HILL MIDDLE SCHOOL</x:v>
      </x:c>
      <x:c r="C32" s="20" t="n">
        <x:v>2025</x:v>
      </x:c>
      <x:c r="D32" s="20" t="str">
        <x:f>FDOE_Grades_2025_Raw!W32</x:f>
        <x:v>B</x:v>
      </x:c>
      <x:c r="E32" s="25">
        <x:f>IF(D32="A",4,IF(D32="B",3,IF(D32="C",2,IF(D32="D",1,IF(D32="F",0,"")))))</x:f>
        <x:v>3</x:v>
      </x:c>
      <x:c r="F32" s="25">
        <x:f>FDOE_Grades_2025_Raw!K32</x:f>
        <x:v>62</x:v>
      </x:c>
      <x:c r="G32" s="25">
        <x:f>FDOE_Grades_2025_Raw!M32</x:f>
        <x:v>64</x:v>
      </x:c>
      <x:c r="H32" s="25">
        <x:f>FDOE_Grades_2025_Raw!L32</x:f>
        <x:v>62</x:v>
      </x:c>
      <x:c r="I32" s="25">
        <x:f>FDOE_Grades_2025_Raw!Q32</x:f>
        <x:v>0</x:v>
      </x:c>
      <x:c r="J32" s="25">
        <x:f>FDOE_Grades_2025_Raw!R32</x:f>
        <x:v>0</x:v>
      </x:c>
      <x:c r="K32" s="25">
        <x:f>IF($A32="","",ROUND((Scoring_Model!$B$9*($E32/4)*100)+(Scoring_Model!$B$10*$F32)+(Scoring_Model!$B$11*$G32)+(Scoring_Model!$B$12*$H32)+(Scoring_Model!$B$13*IF($I32="",0,$I32))+(Scoring_Model!$B$14*IF($J32="",0,$J32)),1))</x:f>
        <x:v>62.5</x:v>
      </x:c>
      <x:c r="L32" s="20" t="inlineStr">
        <x:is>
          <x:t xml:space="preserve">https://www.fldoe.org/file/18534/SchoolGrades25.xlsx</x:t>
        </x:is>
      </x:c>
      <x:c r="M32" s="20" t="inlineStr">
        <x:is>
          <x:t xml:space="preserve">School type Middle/Junior; growth field currently uses official ELA learning gains in this starter model.</x:t>
        </x:is>
      </x:c>
    </x:row>
    <x:row r="33">
      <x:c r="A33" s="20" t="str">
        <x:f>FDOE_Grades_2025_Raw!A33</x:f>
        <x:v>350521</x:v>
      </x:c>
      <x:c r="B33" s="20" t="str">
        <x:f>FDOE_Grades_2025_Raw!E33</x:f>
        <x:v>TRIANGLE ELEMENTARY SCHOOL</x:v>
      </x:c>
      <x:c r="C33" s="20" t="n">
        <x:v>2025</x:v>
      </x:c>
      <x:c r="D33" s="20" t="str">
        <x:f>FDOE_Grades_2025_Raw!W33</x:f>
        <x:v>C</x:v>
      </x:c>
      <x:c r="E33" s="25">
        <x:f>IF(D33="A",4,IF(D33="B",3,IF(D33="C",2,IF(D33="D",1,IF(D33="F",0,"")))))</x:f>
        <x:v>2</x:v>
      </x:c>
      <x:c r="F33" s="25">
        <x:f>FDOE_Grades_2025_Raw!K33</x:f>
        <x:v>38</x:v>
      </x:c>
      <x:c r="G33" s="25">
        <x:f>FDOE_Grades_2025_Raw!M33</x:f>
        <x:v>37</x:v>
      </x:c>
      <x:c r="H33" s="25">
        <x:f>FDOE_Grades_2025_Raw!L33</x:f>
        <x:v>48</x:v>
      </x:c>
      <x:c r="I33" s="25">
        <x:f>FDOE_Grades_2025_Raw!Q33</x:f>
        <x:v>0</x:v>
      </x:c>
      <x:c r="J33" s="25">
        <x:f>FDOE_Grades_2025_Raw!R33</x:f>
        <x:v>0</x:v>
      </x:c>
      <x:c r="K33" s="25">
        <x:f>IF($A33="","",ROUND((Scoring_Model!$B$9*($E33/4)*100)+(Scoring_Model!$B$10*$F33)+(Scoring_Model!$B$11*$G33)+(Scoring_Model!$B$12*$H33)+(Scoring_Model!$B$13*IF($I33="",0,$I33))+(Scoring_Model!$B$14*IF($J33="",0,$J33)),1))</x:f>
        <x:v>41.1</x:v>
      </x:c>
      <x:c r="L33" s="20" t="inlineStr">
        <x:is>
          <x:t xml:space="preserve">https://www.fldoe.org/file/18534/SchoolGrades25.xlsx</x:t>
        </x:is>
      </x:c>
      <x:c r="M33" s="20" t="inlineStr">
        <x:is>
          <x:t xml:space="preserve">School type Elementary; growth field currently uses official ELA learning gains in this starter model.</x:t>
        </x:is>
      </x:c>
    </x:row>
    <x:row r="34">
      <x:c r="A34" s="20" t="str">
        <x:f>FDOE_Grades_2025_Raw!A34</x:f>
        <x:v>350541</x:v>
      </x:c>
      <x:c r="B34" s="20" t="str">
        <x:f>FDOE_Grades_2025_Raw!E34</x:f>
        <x:v>MASCOTTE CHARTER SCHOOL</x:v>
      </x:c>
      <x:c r="C34" s="20" t="n">
        <x:v>2025</x:v>
      </x:c>
      <x:c r="D34" s="20" t="str">
        <x:f>FDOE_Grades_2025_Raw!W34</x:f>
        <x:v>B</x:v>
      </x:c>
      <x:c r="E34" s="25">
        <x:f>IF(D34="A",4,IF(D34="B",3,IF(D34="C",2,IF(D34="D",1,IF(D34="F",0,"")))))</x:f>
        <x:v>3</x:v>
      </x:c>
      <x:c r="F34" s="25">
        <x:f>FDOE_Grades_2025_Raw!K34</x:f>
        <x:v>56</x:v>
      </x:c>
      <x:c r="G34" s="25">
        <x:f>FDOE_Grades_2025_Raw!M34</x:f>
        <x:v>63</x:v>
      </x:c>
      <x:c r="H34" s="25">
        <x:f>FDOE_Grades_2025_Raw!L34</x:f>
        <x:v>58</x:v>
      </x:c>
      <x:c r="I34" s="25">
        <x:f>FDOE_Grades_2025_Raw!Q34</x:f>
        <x:v>0</x:v>
      </x:c>
      <x:c r="J34" s="25">
        <x:f>FDOE_Grades_2025_Raw!R34</x:f>
        <x:v>0</x:v>
      </x:c>
      <x:c r="K34" s="25">
        <x:f>IF($A34="","",ROUND((Scoring_Model!$B$9*($E34/4)*100)+(Scoring_Model!$B$10*$F34)+(Scoring_Model!$B$11*$G34)+(Scoring_Model!$B$12*$H34)+(Scoring_Model!$B$13*IF($I34="",0,$I34))+(Scoring_Model!$B$14*IF($J34="",0,$J34)),1))</x:f>
        <x:v>60.8</x:v>
      </x:c>
      <x:c r="L34" s="20" t="inlineStr">
        <x:is>
          <x:t xml:space="preserve">https://www.fldoe.org/file/18534/SchoolGrades25.xlsx</x:t>
        </x:is>
      </x:c>
      <x:c r="M34" s="20" t="inlineStr">
        <x:is>
          <x:t xml:space="preserve">School type Elementary; growth field currently uses official ELA learning gains in this starter model.</x:t>
        </x:is>
      </x:c>
    </x:row>
    <x:row r="35">
      <x:c r="A35" s="20" t="str">
        <x:f>FDOE_Grades_2025_Raw!A35</x:f>
        <x:v>350551</x:v>
      </x:c>
      <x:c r="B35" s="20" t="str">
        <x:f>FDOE_Grades_2025_Raw!E35</x:f>
        <x:v>TAVARES ELEMENTARY SCHOOL</x:v>
      </x:c>
      <x:c r="C35" s="20" t="n">
        <x:v>2025</x:v>
      </x:c>
      <x:c r="D35" s="20" t="str">
        <x:f>FDOE_Grades_2025_Raw!W35</x:f>
        <x:v>C</x:v>
      </x:c>
      <x:c r="E35" s="25">
        <x:f>IF(D35="A",4,IF(D35="B",3,IF(D35="C",2,IF(D35="D",1,IF(D35="F",0,"")))))</x:f>
        <x:v>2</x:v>
      </x:c>
      <x:c r="F35" s="25">
        <x:f>FDOE_Grades_2025_Raw!K35</x:f>
        <x:v>49</x:v>
      </x:c>
      <x:c r="G35" s="25">
        <x:f>FDOE_Grades_2025_Raw!M35</x:f>
        <x:v>50</x:v>
      </x:c>
      <x:c r="H35" s="25">
        <x:f>FDOE_Grades_2025_Raw!L35</x:f>
        <x:v>60</x:v>
      </x:c>
      <x:c r="I35" s="25">
        <x:f>FDOE_Grades_2025_Raw!Q35</x:f>
        <x:v>0</x:v>
      </x:c>
      <x:c r="J35" s="25">
        <x:f>FDOE_Grades_2025_Raw!R35</x:f>
        <x:v>0</x:v>
      </x:c>
      <x:c r="K35" s="25">
        <x:f>IF($A35="","",ROUND((Scoring_Model!$B$9*($E35/4)*100)+(Scoring_Model!$B$10*$F35)+(Scoring_Model!$B$11*$G35)+(Scoring_Model!$B$12*$H35)+(Scoring_Model!$B$13*IF($I35="",0,$I35))+(Scoring_Model!$B$14*IF($J35="",0,$J35)),1))</x:f>
        <x:v>45.8</x:v>
      </x:c>
      <x:c r="L35" s="20" t="inlineStr">
        <x:is>
          <x:t xml:space="preserve">https://www.fldoe.org/file/18534/SchoolGrades25.xlsx</x:t>
        </x:is>
      </x:c>
      <x:c r="M35" s="20" t="inlineStr">
        <x:is>
          <x:t xml:space="preserve">School type Elementary; growth field currently uses official ELA learning gains in this starter model.</x:t>
        </x:is>
      </x:c>
    </x:row>
    <x:row r="36">
      <x:c r="A36" s="20" t="str">
        <x:f>FDOE_Grades_2025_Raw!A36</x:f>
        <x:v>350561</x:v>
      </x:c>
      <x:c r="B36" s="20" t="str">
        <x:f>FDOE_Grades_2025_Raw!E36</x:f>
        <x:v>UMATILLA ELEMENTARY SCHOOL</x:v>
      </x:c>
      <x:c r="C36" s="20" t="n">
        <x:v>2025</x:v>
      </x:c>
      <x:c r="D36" s="20" t="str">
        <x:f>FDOE_Grades_2025_Raw!W36</x:f>
        <x:v>B</x:v>
      </x:c>
      <x:c r="E36" s="25">
        <x:f>IF(D36="A",4,IF(D36="B",3,IF(D36="C",2,IF(D36="D",1,IF(D36="F",0,"")))))</x:f>
        <x:v>3</x:v>
      </x:c>
      <x:c r="F36" s="25">
        <x:f>FDOE_Grades_2025_Raw!K36</x:f>
        <x:v>51</x:v>
      </x:c>
      <x:c r="G36" s="25">
        <x:f>FDOE_Grades_2025_Raw!M36</x:f>
        <x:v>64</x:v>
      </x:c>
      <x:c r="H36" s="25">
        <x:f>FDOE_Grades_2025_Raw!L36</x:f>
        <x:v>55</x:v>
      </x:c>
      <x:c r="I36" s="25">
        <x:f>FDOE_Grades_2025_Raw!Q36</x:f>
        <x:v>0</x:v>
      </x:c>
      <x:c r="J36" s="25">
        <x:f>FDOE_Grades_2025_Raw!R36</x:f>
        <x:v>0</x:v>
      </x:c>
      <x:c r="K36" s="25">
        <x:f>IF($A36="","",ROUND((Scoring_Model!$B$9*($E36/4)*100)+(Scoring_Model!$B$10*$F36)+(Scoring_Model!$B$11*$G36)+(Scoring_Model!$B$12*$H36)+(Scoring_Model!$B$13*IF($I36="",0,$I36))+(Scoring_Model!$B$14*IF($J36="",0,$J36)),1))</x:f>
        <x:v>59.6</x:v>
      </x:c>
      <x:c r="L36" s="20" t="inlineStr">
        <x:is>
          <x:t xml:space="preserve">https://www.fldoe.org/file/18534/SchoolGrades25.xlsx</x:t>
        </x:is>
      </x:c>
      <x:c r="M36" s="20" t="inlineStr">
        <x:is>
          <x:t xml:space="preserve">School type Elementary; growth field currently uses official ELA learning gains in this starter model.</x:t>
        </x:is>
      </x:c>
    </x:row>
    <x:row r="37">
      <x:c r="A37" s="20" t="str">
        <x:f>FDOE_Grades_2025_Raw!A37</x:f>
        <x:v>350571</x:v>
      </x:c>
      <x:c r="B37" s="20" t="str">
        <x:f>FDOE_Grades_2025_Raw!E37</x:f>
        <x:v>UMATILLA MIDDLE SCHOOL</x:v>
      </x:c>
      <x:c r="C37" s="20" t="n">
        <x:v>2025</x:v>
      </x:c>
      <x:c r="D37" s="20" t="str">
        <x:f>FDOE_Grades_2025_Raw!W37</x:f>
        <x:v>B</x:v>
      </x:c>
      <x:c r="E37" s="25">
        <x:f>IF(D37="A",4,IF(D37="B",3,IF(D37="C",2,IF(D37="D",1,IF(D37="F",0,"")))))</x:f>
        <x:v>3</x:v>
      </x:c>
      <x:c r="F37" s="25">
        <x:f>FDOE_Grades_2025_Raw!K37</x:f>
        <x:v>49</x:v>
      </x:c>
      <x:c r="G37" s="25">
        <x:f>FDOE_Grades_2025_Raw!M37</x:f>
        <x:v>62</x:v>
      </x:c>
      <x:c r="H37" s="25">
        <x:f>FDOE_Grades_2025_Raw!L37</x:f>
        <x:v>54</x:v>
      </x:c>
      <x:c r="I37" s="25">
        <x:f>FDOE_Grades_2025_Raw!Q37</x:f>
        <x:v>0</x:v>
      </x:c>
      <x:c r="J37" s="25">
        <x:f>FDOE_Grades_2025_Raw!R37</x:f>
        <x:v>0</x:v>
      </x:c>
      <x:c r="K37" s="25">
        <x:f>IF($A37="","",ROUND((Scoring_Model!$B$9*($E37/4)*100)+(Scoring_Model!$B$10*$F37)+(Scoring_Model!$B$11*$G37)+(Scoring_Model!$B$12*$H37)+(Scoring_Model!$B$13*IF($I37="",0,$I37))+(Scoring_Model!$B$14*IF($J37="",0,$J37)),1))</x:f>
        <x:v>58.9</x:v>
      </x:c>
      <x:c r="L37" s="20" t="inlineStr">
        <x:is>
          <x:t xml:space="preserve">https://www.fldoe.org/file/18534/SchoolGrades25.xlsx</x:t>
        </x:is>
      </x:c>
      <x:c r="M37" s="20" t="inlineStr">
        <x:is>
          <x:t xml:space="preserve">School type Middle/Junior; growth field currently uses official ELA learning gains in this starter model.</x:t>
        </x:is>
      </x:c>
    </x:row>
    <x:row r="38">
      <x:c r="A38" s="20" t="str">
        <x:f>FDOE_Grades_2025_Raw!A38</x:f>
        <x:v>350591</x:v>
      </x:c>
      <x:c r="B38" s="20" t="str">
        <x:f>FDOE_Grades_2025_Raw!E38</x:f>
        <x:v>PINE RIDGE ELEMENTARY SCHOOL</x:v>
      </x:c>
      <x:c r="C38" s="20" t="n">
        <x:v>2025</x:v>
      </x:c>
      <x:c r="D38" s="20" t="str">
        <x:f>FDOE_Grades_2025_Raw!W38</x:f>
        <x:v>B</x:v>
      </x:c>
      <x:c r="E38" s="25">
        <x:f>IF(D38="A",4,IF(D38="B",3,IF(D38="C",2,IF(D38="D",1,IF(D38="F",0,"")))))</x:f>
        <x:v>3</x:v>
      </x:c>
      <x:c r="F38" s="25">
        <x:f>FDOE_Grades_2025_Raw!K38</x:f>
        <x:v>55</x:v>
      </x:c>
      <x:c r="G38" s="25">
        <x:f>FDOE_Grades_2025_Raw!M38</x:f>
        <x:v>65</x:v>
      </x:c>
      <x:c r="H38" s="25">
        <x:f>FDOE_Grades_2025_Raw!L38</x:f>
        <x:v>63</x:v>
      </x:c>
      <x:c r="I38" s="25">
        <x:f>FDOE_Grades_2025_Raw!Q38</x:f>
        <x:v>0</x:v>
      </x:c>
      <x:c r="J38" s="25">
        <x:f>FDOE_Grades_2025_Raw!R38</x:f>
        <x:v>0</x:v>
      </x:c>
      <x:c r="K38" s="25">
        <x:f>IF($A38="","",ROUND((Scoring_Model!$B$9*($E38/4)*100)+(Scoring_Model!$B$10*$F38)+(Scoring_Model!$B$11*$G38)+(Scoring_Model!$B$12*$H38)+(Scoring_Model!$B$13*IF($I38="",0,$I38))+(Scoring_Model!$B$14*IF($J38="",0,$J38)),1))</x:f>
        <x:v>61.3</x:v>
      </x:c>
      <x:c r="L38" s="20" t="inlineStr">
        <x:is>
          <x:t xml:space="preserve">https://www.fldoe.org/file/18534/SchoolGrades25.xlsx</x:t>
        </x:is>
      </x:c>
      <x:c r="M38" s="20" t="inlineStr">
        <x:is>
          <x:t xml:space="preserve">School type Elementary; growth field currently uses official ELA learning gains in this starter model.</x:t>
        </x:is>
      </x:c>
    </x:row>
    <x:row r="39">
      <x:c r="A39" s="20" t="str">
        <x:f>FDOE_Grades_2025_Raw!A39</x:f>
        <x:v>350597</x:v>
      </x:c>
      <x:c r="B39" s="20" t="str">
        <x:f>FDOE_Grades_2025_Raw!E39</x:f>
        <x:v>CYPRESS RIDGE ELEMENTARY SCHOOL</x:v>
      </x:c>
      <x:c r="C39" s="20" t="n">
        <x:v>2025</x:v>
      </x:c>
      <x:c r="D39" s="20" t="str">
        <x:f>FDOE_Grades_2025_Raw!W39</x:f>
        <x:v>A</x:v>
      </x:c>
      <x:c r="E39" s="25">
        <x:f>IF(D39="A",4,IF(D39="B",3,IF(D39="C",2,IF(D39="D",1,IF(D39="F",0,"")))))</x:f>
        <x:v>4</x:v>
      </x:c>
      <x:c r="F39" s="25">
        <x:f>FDOE_Grades_2025_Raw!K39</x:f>
        <x:v>76</x:v>
      </x:c>
      <x:c r="G39" s="25">
        <x:f>FDOE_Grades_2025_Raw!M39</x:f>
        <x:v>86</x:v>
      </x:c>
      <x:c r="H39" s="25">
        <x:f>FDOE_Grades_2025_Raw!L39</x:f>
        <x:v>62</x:v>
      </x:c>
      <x:c r="I39" s="25">
        <x:f>FDOE_Grades_2025_Raw!Q39</x:f>
        <x:v>0</x:v>
      </x:c>
      <x:c r="J39" s="25">
        <x:f>FDOE_Grades_2025_Raw!R39</x:f>
        <x:v>0</x:v>
      </x:c>
      <x:c r="K39" s="25">
        <x:f>IF($A39="","",ROUND((Scoring_Model!$B$9*($E39/4)*100)+(Scoring_Model!$B$10*$F39)+(Scoring_Model!$B$11*$G39)+(Scoring_Model!$B$12*$H39)+(Scoring_Model!$B$13*IF($I39="",0,$I39))+(Scoring_Model!$B$14*IF($J39="",0,$J39)),1))</x:f>
        <x:v>80</x:v>
      </x:c>
      <x:c r="L39" s="20" t="inlineStr">
        <x:is>
          <x:t xml:space="preserve">https://www.fldoe.org/file/18534/SchoolGrades25.xlsx</x:t>
        </x:is>
      </x:c>
      <x:c r="M39" s="20" t="inlineStr">
        <x:is>
          <x:t xml:space="preserve">School type Elementary; growth field currently uses official ELA learning gains in this starter model.</x:t>
        </x:is>
      </x:c>
    </x:row>
    <x:row r="40">
      <x:c r="A40" s="20" t="str">
        <x:f>FDOE_Grades_2025_Raw!A40</x:f>
        <x:v>350631</x:v>
      </x:c>
      <x:c r="B40" s="20" t="str">
        <x:f>FDOE_Grades_2025_Raw!E40</x:f>
        <x:v>SPRING CREEK CHARTER SCHOOL</x:v>
      </x:c>
      <x:c r="C40" s="20" t="n">
        <x:v>2025</x:v>
      </x:c>
      <x:c r="D40" s="20" t="str">
        <x:f>FDOE_Grades_2025_Raw!W40</x:f>
        <x:v>B</x:v>
      </x:c>
      <x:c r="E40" s="25">
        <x:f>IF(D40="A",4,IF(D40="B",3,IF(D40="C",2,IF(D40="D",1,IF(D40="F",0,"")))))</x:f>
        <x:v>3</x:v>
      </x:c>
      <x:c r="F40" s="25">
        <x:f>FDOE_Grades_2025_Raw!K40</x:f>
        <x:v>54</x:v>
      </x:c>
      <x:c r="G40" s="25">
        <x:f>FDOE_Grades_2025_Raw!M40</x:f>
        <x:v>57</x:v>
      </x:c>
      <x:c r="H40" s="25">
        <x:f>FDOE_Grades_2025_Raw!L40</x:f>
        <x:v>62</x:v>
      </x:c>
      <x:c r="I40" s="25">
        <x:f>FDOE_Grades_2025_Raw!Q40</x:f>
        <x:v>0</x:v>
      </x:c>
      <x:c r="J40" s="25">
        <x:f>FDOE_Grades_2025_Raw!R40</x:f>
        <x:v>0</x:v>
      </x:c>
      <x:c r="K40" s="25">
        <x:f>IF($A40="","",ROUND((Scoring_Model!$B$9*($E40/4)*100)+(Scoring_Model!$B$10*$F40)+(Scoring_Model!$B$11*$G40)+(Scoring_Model!$B$12*$H40)+(Scoring_Model!$B$13*IF($I40="",0,$I40))+(Scoring_Model!$B$14*IF($J40="",0,$J40)),1))</x:f>
        <x:v>60.2</x:v>
      </x:c>
      <x:c r="L40" s="20" t="inlineStr">
        <x:is>
          <x:t xml:space="preserve">https://www.fldoe.org/file/18534/SchoolGrades25.xlsx</x:t>
        </x:is>
      </x:c>
      <x:c r="M40" s="20" t="inlineStr">
        <x:is>
          <x:t xml:space="preserve">School type Combination; growth field currently uses official ELA learning gains in this starter model.</x:t>
        </x:is>
      </x:c>
    </x:row>
    <x:row r="41">
      <x:c r="A41" s="20" t="str">
        <x:f>FDOE_Grades_2025_Raw!A41</x:f>
        <x:v>350697</x:v>
      </x:c>
      <x:c r="B41" s="20" t="str">
        <x:f>FDOE_Grades_2025_Raw!E41</x:f>
        <x:v>EUSTIS MIDDLE SCHOOL</x:v>
      </x:c>
      <x:c r="C41" s="20" t="n">
        <x:v>2025</x:v>
      </x:c>
      <x:c r="D41" s="20" t="str">
        <x:f>FDOE_Grades_2025_Raw!W41</x:f>
        <x:v>C</x:v>
      </x:c>
      <x:c r="E41" s="25">
        <x:f>IF(D41="A",4,IF(D41="B",3,IF(D41="C",2,IF(D41="D",1,IF(D41="F",0,"")))))</x:f>
        <x:v>2</x:v>
      </x:c>
      <x:c r="F41" s="25">
        <x:f>FDOE_Grades_2025_Raw!K41</x:f>
        <x:v>45</x:v>
      </x:c>
      <x:c r="G41" s="25">
        <x:f>FDOE_Grades_2025_Raw!M41</x:f>
        <x:v>43</x:v>
      </x:c>
      <x:c r="H41" s="25">
        <x:f>FDOE_Grades_2025_Raw!L41</x:f>
        <x:v>51</x:v>
      </x:c>
      <x:c r="I41" s="25">
        <x:f>FDOE_Grades_2025_Raw!Q41</x:f>
        <x:v>0</x:v>
      </x:c>
      <x:c r="J41" s="25">
        <x:f>FDOE_Grades_2025_Raw!R41</x:f>
        <x:v>0</x:v>
      </x:c>
      <x:c r="K41" s="25">
        <x:f>IF($A41="","",ROUND((Scoring_Model!$B$9*($E41/4)*100)+(Scoring_Model!$B$10*$F41)+(Scoring_Model!$B$11*$G41)+(Scoring_Model!$B$12*$H41)+(Scoring_Model!$B$13*IF($I41="",0,$I41))+(Scoring_Model!$B$14*IF($J41="",0,$J41)),1))</x:f>
        <x:v>43.4</x:v>
      </x:c>
      <x:c r="L41" s="20" t="inlineStr">
        <x:is>
          <x:t xml:space="preserve">https://www.fldoe.org/file/18534/SchoolGrades25.xlsx</x:t>
        </x:is>
      </x:c>
      <x:c r="M41" s="20" t="inlineStr">
        <x:is>
          <x:t xml:space="preserve">School type Middle/Junior; growth field currently uses official ELA learning gains in this starter model.</x:t>
        </x:is>
      </x:c>
    </x:row>
    <x:row r="42">
      <x:c r="A42" s="20" t="str">
        <x:f>FDOE_Grades_2025_Raw!A42</x:f>
        <x:v>350701</x:v>
      </x:c>
      <x:c r="B42" s="20" t="str">
        <x:f>FDOE_Grades_2025_Raw!E42</x:f>
        <x:v>SOUTH LAKE HIGH SCHOOL</x:v>
      </x:c>
      <x:c r="C42" s="20" t="n">
        <x:v>2025</x:v>
      </x:c>
      <x:c r="D42" s="20" t="str">
        <x:f>FDOE_Grades_2025_Raw!W42</x:f>
        <x:v>B</x:v>
      </x:c>
      <x:c r="E42" s="25">
        <x:f>IF(D42="A",4,IF(D42="B",3,IF(D42="C",2,IF(D42="D",1,IF(D42="F",0,"")))))</x:f>
        <x:v>3</x:v>
      </x:c>
      <x:c r="F42" s="25">
        <x:f>FDOE_Grades_2025_Raw!K42</x:f>
        <x:v>54</x:v>
      </x:c>
      <x:c r="G42" s="25">
        <x:f>FDOE_Grades_2025_Raw!M42</x:f>
        <x:v>33</x:v>
      </x:c>
      <x:c r="H42" s="25">
        <x:f>FDOE_Grades_2025_Raw!L42</x:f>
        <x:v>58</x:v>
      </x:c>
      <x:c r="I42" s="25">
        <x:f>FDOE_Grades_2025_Raw!Q42</x:f>
        <x:v>91</x:v>
      </x:c>
      <x:c r="J42" s="25">
        <x:f>FDOE_Grades_2025_Raw!R42</x:f>
        <x:v>75</x:v>
      </x:c>
      <x:c r="K42" s="25">
        <x:f>IF($A42="","",ROUND((Scoring_Model!$B$9*($E42/4)*100)+(Scoring_Model!$B$10*$F42)+(Scoring_Model!$B$11*$G42)+(Scoring_Model!$B$12*$H42)+(Scoring_Model!$B$13*IF($I42="",0,$I42))+(Scoring_Model!$B$14*IF($J42="",0,$J42)),1))</x:f>
        <x:v>65.7</x:v>
      </x:c>
      <x:c r="L42" s="20" t="inlineStr">
        <x:is>
          <x:t xml:space="preserve">https://www.fldoe.org/file/18534/SchoolGrades25.xlsx</x:t>
        </x:is>
      </x:c>
      <x:c r="M42" s="20" t="inlineStr">
        <x:is>
          <x:t xml:space="preserve">School type Senior High; growth field currently uses official ELA learning gains in this starter model.</x:t>
        </x:is>
      </x:c>
    </x:row>
    <x:row r="43">
      <x:c r="A43" s="20" t="str">
        <x:f>FDOE_Grades_2025_Raw!A43</x:f>
        <x:v>350801</x:v>
      </x:c>
      <x:c r="B43" s="20" t="str">
        <x:f>FDOE_Grades_2025_Raw!E43</x:f>
        <x:v>EAST RIDGE HIGH SCHOOL</x:v>
      </x:c>
      <x:c r="C43" s="20" t="n">
        <x:v>2025</x:v>
      </x:c>
      <x:c r="D43" s="20" t="str">
        <x:f>FDOE_Grades_2025_Raw!W43</x:f>
        <x:v>A</x:v>
      </x:c>
      <x:c r="E43" s="25">
        <x:f>IF(D43="A",4,IF(D43="B",3,IF(D43="C",2,IF(D43="D",1,IF(D43="F",0,"")))))</x:f>
        <x:v>4</x:v>
      </x:c>
      <x:c r="F43" s="25">
        <x:f>FDOE_Grades_2025_Raw!K43</x:f>
        <x:v>61</x:v>
      </x:c>
      <x:c r="G43" s="25">
        <x:f>FDOE_Grades_2025_Raw!M43</x:f>
        <x:v>48</x:v>
      </x:c>
      <x:c r="H43" s="25">
        <x:f>FDOE_Grades_2025_Raw!L43</x:f>
        <x:v>58</x:v>
      </x:c>
      <x:c r="I43" s="25">
        <x:f>FDOE_Grades_2025_Raw!Q43</x:f>
        <x:v>97</x:v>
      </x:c>
      <x:c r="J43" s="25">
        <x:f>FDOE_Grades_2025_Raw!R43</x:f>
        <x:v>80</x:v>
      </x:c>
      <x:c r="K43" s="25">
        <x:f>IF($A43="","",ROUND((Scoring_Model!$B$9*($E43/4)*100)+(Scoring_Model!$B$10*$F43)+(Scoring_Model!$B$11*$G43)+(Scoring_Model!$B$12*$H43)+(Scoring_Model!$B$13*IF($I43="",0,$I43))+(Scoring_Model!$B$14*IF($J43="",0,$J43)),1))</x:f>
        <x:v>81.6</x:v>
      </x:c>
      <x:c r="L43" s="20" t="inlineStr">
        <x:is>
          <x:t xml:space="preserve">https://www.fldoe.org/file/18534/SchoolGrades25.xlsx</x:t>
        </x:is>
      </x:c>
      <x:c r="M43" s="20" t="inlineStr">
        <x:is>
          <x:t xml:space="preserve">School type Senior High; growth field currently uses official ELA learning gains in this starter model.</x:t>
        </x:is>
      </x:c>
    </x:row>
    <x:row r="44">
      <x:c r="A44" s="20" t="str">
        <x:f>FDOE_Grades_2025_Raw!A44</x:f>
        <x:v>350901</x:v>
      </x:c>
      <x:c r="B44" s="20" t="str">
        <x:f>FDOE_Grades_2025_Raw!E44</x:f>
        <x:v>LAKE MINNEOLA HIGH SCHOOL</x:v>
      </x:c>
      <x:c r="C44" s="20" t="n">
        <x:v>2025</x:v>
      </x:c>
      <x:c r="D44" s="20" t="str">
        <x:f>FDOE_Grades_2025_Raw!W44</x:f>
        <x:v>B</x:v>
      </x:c>
      <x:c r="E44" s="25">
        <x:f>IF(D44="A",4,IF(D44="B",3,IF(D44="C",2,IF(D44="D",1,IF(D44="F",0,"")))))</x:f>
        <x:v>3</x:v>
      </x:c>
      <x:c r="F44" s="25">
        <x:f>FDOE_Grades_2025_Raw!K44</x:f>
        <x:v>66</x:v>
      </x:c>
      <x:c r="G44" s="25">
        <x:f>FDOE_Grades_2025_Raw!M44</x:f>
        <x:v>45</x:v>
      </x:c>
      <x:c r="H44" s="25">
        <x:f>FDOE_Grades_2025_Raw!L44</x:f>
        <x:v>57</x:v>
      </x:c>
      <x:c r="I44" s="25">
        <x:f>FDOE_Grades_2025_Raw!Q44</x:f>
        <x:v>98</x:v>
      </x:c>
      <x:c r="J44" s="25">
        <x:f>FDOE_Grades_2025_Raw!R44</x:f>
        <x:v>70</x:v>
      </x:c>
      <x:c r="K44" s="25">
        <x:f>IF($A44="","",ROUND((Scoring_Model!$B$9*($E44/4)*100)+(Scoring_Model!$B$10*$F44)+(Scoring_Model!$B$11*$G44)+(Scoring_Model!$B$12*$H44)+(Scoring_Model!$B$13*IF($I44="",0,$I44))+(Scoring_Model!$B$14*IF($J44="",0,$J44)),1))</x:f>
        <x:v>69.3</x:v>
      </x:c>
      <x:c r="L44" s="20" t="inlineStr">
        <x:is>
          <x:t xml:space="preserve">https://www.fldoe.org/file/18534/SchoolGrades25.xlsx</x:t>
        </x:is>
      </x:c>
      <x:c r="M44" s="20" t="inlineStr">
        <x:is>
          <x:t xml:space="preserve">School type Senior High; growth field currently uses official ELA learning gains in this starter model.</x:t>
        </x:is>
      </x:c>
    </x:row>
    <x:row r="45">
      <x:c r="A45" s="20" t="str">
        <x:f>FDOE_Grades_2025_Raw!A45</x:f>
        <x:v>357004</x:v>
      </x:c>
      <x:c r="B45" s="20" t="str">
        <x:f>FDOE_Grades_2025_Raw!E45</x:f>
        <x:v>LAKE VIRTUAL FRANCHISE</x:v>
      </x:c>
      <x:c r="C45" s="20" t="n">
        <x:v>2025</x:v>
      </x:c>
      <x:c r="D45" s="20" t="str">
        <x:f>FDOE_Grades_2025_Raw!W45</x:f>
        <x:v>A</x:v>
      </x:c>
      <x:c r="E45" s="25">
        <x:f>IF(D45="A",4,IF(D45="B",3,IF(D45="C",2,IF(D45="D",1,IF(D45="F",0,"")))))</x:f>
        <x:v>4</x:v>
      </x:c>
      <x:c r="F45" s="25">
        <x:f>FDOE_Grades_2025_Raw!K45</x:f>
        <x:v>67</x:v>
      </x:c>
      <x:c r="G45" s="25">
        <x:f>FDOE_Grades_2025_Raw!M45</x:f>
        <x:v>52</x:v>
      </x:c>
      <x:c r="H45" s="25">
        <x:f>FDOE_Grades_2025_Raw!L45</x:f>
        <x:v>67</x:v>
      </x:c>
      <x:c r="I45" s="25">
        <x:f>FDOE_Grades_2025_Raw!Q45</x:f>
        <x:v>91</x:v>
      </x:c>
      <x:c r="J45" s="25">
        <x:f>FDOE_Grades_2025_Raw!R45</x:f>
        <x:v>52</x:v>
      </x:c>
      <x:c r="K45" s="25">
        <x:f>IF($A45="","",ROUND((Scoring_Model!$B$9*($E45/4)*100)+(Scoring_Model!$B$10*$F45)+(Scoring_Model!$B$11*$G45)+(Scoring_Model!$B$12*$H45)+(Scoring_Model!$B$13*IF($I45="",0,$I45))+(Scoring_Model!$B$14*IF($J45="",0,$J45)),1))</x:f>
        <x:v>82.4</x:v>
      </x:c>
      <x:c r="L45" s="20" t="inlineStr">
        <x:is>
          <x:t xml:space="preserve">https://www.fldoe.org/file/18534/SchoolGrades25.xlsx</x:t>
        </x:is>
      </x:c>
      <x:c r="M45" s="20" t="inlineStr">
        <x:is>
          <x:t xml:space="preserve">School type Combination; growth field currently uses official ELA learning gains in this starter model.</x:t>
        </x:is>
      </x:c>
    </x:row>
    <x:row r="46">
      <x:c r="A46" s="20" t="str">
        <x:f>FDOE_Grades_2025_Raw!A46</x:f>
        <x:v>359027</x:v>
      </x:c>
      <x:c r="B46" s="20" t="str">
        <x:f>FDOE_Grades_2025_Raw!E46</x:f>
        <x:v>PINECREST ACADEMY FOUR CORNERS</x:v>
      </x:c>
      <x:c r="C46" s="20" t="n">
        <x:v>2025</x:v>
      </x:c>
      <x:c r="D46" s="20" t="str">
        <x:f>FDOE_Grades_2025_Raw!W46</x:f>
        <x:v>A</x:v>
      </x:c>
      <x:c r="E46" s="25">
        <x:f>IF(D46="A",4,IF(D46="B",3,IF(D46="C",2,IF(D46="D",1,IF(D46="F",0,"")))))</x:f>
        <x:v>4</x:v>
      </x:c>
      <x:c r="F46" s="25">
        <x:f>FDOE_Grades_2025_Raw!K46</x:f>
        <x:v>64</x:v>
      </x:c>
      <x:c r="G46" s="25">
        <x:f>FDOE_Grades_2025_Raw!M46</x:f>
        <x:v>58</x:v>
      </x:c>
      <x:c r="H46" s="25">
        <x:f>FDOE_Grades_2025_Raw!L46</x:f>
        <x:v>65</x:v>
      </x:c>
      <x:c r="I46" s="25">
        <x:f>FDOE_Grades_2025_Raw!Q46</x:f>
        <x:v>0</x:v>
      </x:c>
      <x:c r="J46" s="25">
        <x:f>FDOE_Grades_2025_Raw!R46</x:f>
        <x:v>0</x:v>
      </x:c>
      <x:c r="K46" s="25">
        <x:f>IF($A46="","",ROUND((Scoring_Model!$B$9*($E46/4)*100)+(Scoring_Model!$B$10*$F46)+(Scoring_Model!$B$11*$G46)+(Scoring_Model!$B$12*$H46)+(Scoring_Model!$B$13*IF($I46="",0,$I46))+(Scoring_Model!$B$14*IF($J46="",0,$J46)),1))</x:f>
        <x:v>75.1</x:v>
      </x:c>
      <x:c r="L46" s="20" t="inlineStr">
        <x:is>
          <x:t xml:space="preserve">https://www.fldoe.org/file/18534/SchoolGrades25.xlsx</x:t>
        </x:is>
      </x:c>
      <x:c r="M46" s="20" t="inlineStr">
        <x:is>
          <x:t xml:space="preserve">School type Combination; growth field currently uses official ELA learning gains in this starter model.</x:t>
        </x:is>
      </x:c>
    </x:row>
    <x:row r="47">
      <x:c r="A47" s="20" t="str">
        <x:f>FDOE_Grades_2025_Raw!A47</x:f>
        <x:v>359028</x:v>
      </x:c>
      <x:c r="B47" s="20" t="str">
        <x:f>FDOE_Grades_2025_Raw!E47</x:f>
        <x:v>ALTOONA SCHOOL</x:v>
      </x:c>
      <x:c r="C47" s="20" t="n">
        <x:v>2025</x:v>
      </x:c>
      <x:c r="D47" s="20" t="str">
        <x:f>FDOE_Grades_2025_Raw!W47</x:f>
        <x:v>A</x:v>
      </x:c>
      <x:c r="E47" s="25">
        <x:f>IF(D47="A",4,IF(D47="B",3,IF(D47="C",2,IF(D47="D",1,IF(D47="F",0,"")))))</x:f>
        <x:v>4</x:v>
      </x:c>
      <x:c r="F47" s="25">
        <x:f>FDOE_Grades_2025_Raw!K47</x:f>
        <x:v>69</x:v>
      </x:c>
      <x:c r="G47" s="25">
        <x:f>FDOE_Grades_2025_Raw!M47</x:f>
        <x:v>75</x:v>
      </x:c>
      <x:c r="H47" s="25">
        <x:f>FDOE_Grades_2025_Raw!L47</x:f>
        <x:v>66</x:v>
      </x:c>
      <x:c r="I47" s="25">
        <x:f>FDOE_Grades_2025_Raw!Q47</x:f>
        <x:v>0</x:v>
      </x:c>
      <x:c r="J47" s="25">
        <x:f>FDOE_Grades_2025_Raw!R47</x:f>
        <x:v>0</x:v>
      </x:c>
      <x:c r="K47" s="25">
        <x:f>IF($A47="","",ROUND((Scoring_Model!$B$9*($E47/4)*100)+(Scoring_Model!$B$10*$F47)+(Scoring_Model!$B$11*$G47)+(Scoring_Model!$B$12*$H47)+(Scoring_Model!$B$13*IF($I47="",0,$I47))+(Scoring_Model!$B$14*IF($J47="",0,$J47)),1))</x:f>
        <x:v>77.9</x:v>
      </x:c>
      <x:c r="L47" s="20" t="inlineStr">
        <x:is>
          <x:t xml:space="preserve">https://www.fldoe.org/file/18534/SchoolGrades25.xlsx</x:t>
        </x:is>
      </x:c>
      <x:c r="M47" s="20" t="inlineStr">
        <x:is>
          <x:t xml:space="preserve">School type Elementary; growth field currently uses official ELA learning gains in this starter model.</x:t>
        </x:is>
      </x:c>
    </x:row>
    <x:row r="48">
      <x:c r="A48" s="20" t="str">
        <x:f>FDOE_Grades_2025_Raw!A48</x:f>
        <x:v>359031</x:v>
      </x:c>
      <x:c r="B48" s="20" t="str">
        <x:f>FDOE_Grades_2025_Raw!E48</x:f>
        <x:v>IMAGINE SCHOOLS AT SOUTH LAKE</x:v>
      </x:c>
      <x:c r="C48" s="20" t="n">
        <x:v>2025</x:v>
      </x:c>
      <x:c r="D48" s="20" t="str">
        <x:f>FDOE_Grades_2025_Raw!W48</x:f>
        <x:v>A</x:v>
      </x:c>
      <x:c r="E48" s="25">
        <x:f>IF(D48="A",4,IF(D48="B",3,IF(D48="C",2,IF(D48="D",1,IF(D48="F",0,"")))))</x:f>
        <x:v>4</x:v>
      </x:c>
      <x:c r="F48" s="25">
        <x:f>FDOE_Grades_2025_Raw!K48</x:f>
        <x:v>73</x:v>
      </x:c>
      <x:c r="G48" s="25">
        <x:f>FDOE_Grades_2025_Raw!M48</x:f>
        <x:v>85</x:v>
      </x:c>
      <x:c r="H48" s="25">
        <x:f>FDOE_Grades_2025_Raw!L48</x:f>
        <x:v>57</x:v>
      </x:c>
      <x:c r="I48" s="25">
        <x:f>FDOE_Grades_2025_Raw!Q48</x:f>
        <x:v>0</x:v>
      </x:c>
      <x:c r="J48" s="25">
        <x:f>FDOE_Grades_2025_Raw!R48</x:f>
        <x:v>0</x:v>
      </x:c>
      <x:c r="K48" s="25">
        <x:f>IF($A48="","",ROUND((Scoring_Model!$B$9*($E48/4)*100)+(Scoring_Model!$B$10*$F48)+(Scoring_Model!$B$11*$G48)+(Scoring_Model!$B$12*$H48)+(Scoring_Model!$B$13*IF($I48="",0,$I48))+(Scoring_Model!$B$14*IF($J48="",0,$J48)),1))</x:f>
        <x:v>78.8</x:v>
      </x:c>
      <x:c r="L48" s="20" t="inlineStr">
        <x:is>
          <x:t xml:space="preserve">https://www.fldoe.org/file/18534/SchoolGrades25.xlsx</x:t>
        </x:is>
      </x:c>
      <x:c r="M48" s="20" t="inlineStr">
        <x:is>
          <x:t xml:space="preserve">School type Combination; growth field currently uses official ELA learning gains in this starter model.</x:t>
        </x:is>
      </x:c>
    </x:row>
    <x:row r="49">
      <x:c r="A49" s="20" t="str">
        <x:f>FDOE_Grades_2025_Raw!A49</x:f>
        <x:v>359039</x:v>
      </x:c>
      <x:c r="B49" s="20" t="str">
        <x:f>FDOE_Grades_2025_Raw!E49</x:f>
        <x:v>PINECREST ACADEMY TAVARES</x:v>
      </x:c>
      <x:c r="C49" s="20" t="n">
        <x:v>2025</x:v>
      </x:c>
      <x:c r="D49" s="20" t="str">
        <x:f>FDOE_Grades_2025_Raw!W49</x:f>
        <x:v>A</x:v>
      </x:c>
      <x:c r="E49" s="25">
        <x:f>IF(D49="A",4,IF(D49="B",3,IF(D49="C",2,IF(D49="D",1,IF(D49="F",0,"")))))</x:f>
        <x:v>4</x:v>
      </x:c>
      <x:c r="F49" s="25">
        <x:f>FDOE_Grades_2025_Raw!K49</x:f>
        <x:v>73</x:v>
      </x:c>
      <x:c r="G49" s="25">
        <x:f>FDOE_Grades_2025_Raw!M49</x:f>
        <x:v>77</x:v>
      </x:c>
      <x:c r="H49" s="25">
        <x:f>FDOE_Grades_2025_Raw!L49</x:f>
        <x:v>74</x:v>
      </x:c>
      <x:c r="I49" s="25">
        <x:f>FDOE_Grades_2025_Raw!Q49</x:f>
        <x:v>0</x:v>
      </x:c>
      <x:c r="J49" s="25">
        <x:f>FDOE_Grades_2025_Raw!R49</x:f>
        <x:v>0</x:v>
      </x:c>
      <x:c r="K49" s="25">
        <x:f>IF($A49="","",ROUND((Scoring_Model!$B$9*($E49/4)*100)+(Scoring_Model!$B$10*$F49)+(Scoring_Model!$B$11*$G49)+(Scoring_Model!$B$12*$H49)+(Scoring_Model!$B$13*IF($I49="",0,$I49))+(Scoring_Model!$B$14*IF($J49="",0,$J49)),1))</x:f>
        <x:v>79.7</x:v>
      </x:c>
      <x:c r="L49" s="20" t="inlineStr">
        <x:is>
          <x:t xml:space="preserve">https://www.fldoe.org/file/18534/SchoolGrades25.xlsx</x:t>
        </x:is>
      </x:c>
      <x:c r="M49" s="20" t="inlineStr">
        <x:is>
          <x:t xml:space="preserve">School type Combination; growth field currently uses official ELA learning gains in this starter model.</x:t>
        </x:is>
      </x:c>
    </x:row>
    <x:row r="50">
      <x:c r="A50" s="20" t="str">
        <x:f>FDOE_Grades_2025_Raw!A50</x:f>
        <x:v>359041</x:v>
      </x:c>
      <x:c r="B50" s="20" t="str">
        <x:f>FDOE_Grades_2025_Raw!E50</x:f>
        <x:v>PINECREST LAKES ACADEMY</x:v>
      </x:c>
      <x:c r="C50" s="20" t="n">
        <x:v>2025</x:v>
      </x:c>
      <x:c r="D50" s="20" t="str">
        <x:f>FDOE_Grades_2025_Raw!W50</x:f>
        <x:v>A</x:v>
      </x:c>
      <x:c r="E50" s="25">
        <x:f>IF(D50="A",4,IF(D50="B",3,IF(D50="C",2,IF(D50="D",1,IF(D50="F",0,"")))))</x:f>
        <x:v>4</x:v>
      </x:c>
      <x:c r="F50" s="25">
        <x:f>FDOE_Grades_2025_Raw!K50</x:f>
        <x:v>87</x:v>
      </x:c>
      <x:c r="G50" s="25">
        <x:f>FDOE_Grades_2025_Raw!M50</x:f>
        <x:v>92</x:v>
      </x:c>
      <x:c r="H50" s="25">
        <x:f>FDOE_Grades_2025_Raw!L50</x:f>
        <x:v>68</x:v>
      </x:c>
      <x:c r="I50" s="25">
        <x:f>FDOE_Grades_2025_Raw!Q50</x:f>
        <x:v>0</x:v>
      </x:c>
      <x:c r="J50" s="25">
        <x:f>FDOE_Grades_2025_Raw!R50</x:f>
        <x:v>0</x:v>
      </x:c>
      <x:c r="K50" s="25">
        <x:f>IF($A50="","",ROUND((Scoring_Model!$B$9*($E50/4)*100)+(Scoring_Model!$B$10*$F50)+(Scoring_Model!$B$11*$G50)+(Scoring_Model!$B$12*$H50)+(Scoring_Model!$B$13*IF($I50="",0,$I50))+(Scoring_Model!$B$14*IF($J50="",0,$J50)),1))</x:f>
        <x:v>83.4</x:v>
      </x:c>
      <x:c r="L50" s="20" t="inlineStr">
        <x:is>
          <x:t xml:space="preserve">https://www.fldoe.org/file/18534/SchoolGrades25.xlsx</x:t>
        </x:is>
      </x:c>
      <x:c r="M50" s="20" t="inlineStr">
        <x:is>
          <x:t xml:space="preserve">School type Combination; growth field currently uses official ELA learning gains in this starter model.</x:t>
        </x:is>
      </x:c>
    </x:row>
    <x:row r="51">
      <x:c r="A51" s="20" t="str">
        <x:f>FDOE_Grades_2025_Raw!A51</x:f>
        <x:v>359061</x:v>
      </x:c>
      <x:c r="B51" s="20" t="str">
        <x:f>FDOE_Grades_2025_Raw!E51</x:f>
        <x:v>PINECREST LAKES MIDDLE/HIGH ACADEMY</x:v>
      </x:c>
      <x:c r="C51" s="20" t="n">
        <x:v>2025</x:v>
      </x:c>
      <x:c r="D51" s="20" t="str">
        <x:f>FDOE_Grades_2025_Raw!W51</x:f>
        <x:v>A</x:v>
      </x:c>
      <x:c r="E51" s="25">
        <x:f>IF(D51="A",4,IF(D51="B",3,IF(D51="C",2,IF(D51="D",1,IF(D51="F",0,"")))))</x:f>
        <x:v>4</x:v>
      </x:c>
      <x:c r="F51" s="25">
        <x:f>FDOE_Grades_2025_Raw!K51</x:f>
        <x:v>83</x:v>
      </x:c>
      <x:c r="G51" s="25">
        <x:f>FDOE_Grades_2025_Raw!M51</x:f>
        <x:v>80</x:v>
      </x:c>
      <x:c r="H51" s="25">
        <x:f>FDOE_Grades_2025_Raw!L51</x:f>
        <x:v>69</x:v>
      </x:c>
      <x:c r="I51" s="25">
        <x:f>FDOE_Grades_2025_Raw!Q51</x:f>
        <x:v>98</x:v>
      </x:c>
      <x:c r="J51" s="25">
        <x:f>FDOE_Grades_2025_Raw!R51</x:f>
        <x:v>84</x:v>
      </x:c>
      <x:c r="K51" s="25">
        <x:f>IF($A51="","",ROUND((Scoring_Model!$B$9*($E51/4)*100)+(Scoring_Model!$B$10*$F51)+(Scoring_Model!$B$11*$G51)+(Scoring_Model!$B$12*$H51)+(Scoring_Model!$B$13*IF($I51="",0,$I51))+(Scoring_Model!$B$14*IF($J51="",0,$J51)),1))</x:f>
        <x:v>90.6</x:v>
      </x:c>
      <x:c r="L51" s="20" t="inlineStr">
        <x:is>
          <x:t xml:space="preserve">https://www.fldoe.org/file/18534/SchoolGrades25.xlsx</x:t>
        </x:is>
      </x:c>
      <x:c r="M51" s="20" t="inlineStr">
        <x:is>
          <x:t xml:space="preserve">School type Senior High; growth field currently uses official ELA learning gains in this starter model.</x:t>
        </x:is>
      </x:c>
    </x:row>
    <x:row r="52">
      <x:c r="A52" s="20" t="str">
        <x:f>FDOE_Grades_2025_Raw!A52</x:f>
        <x:v>490005</x:v>
      </x:c>
      <x:c r="B52" s="20" t="str">
        <x:f>FDOE_Grades_2025_Raw!E52</x:f>
        <x:v>TOHOPEKALIGA HIGH SCHOOL</x:v>
      </x:c>
      <x:c r="C52" s="20" t="n">
        <x:v>2025</x:v>
      </x:c>
      <x:c r="D52" s="20" t="str">
        <x:f>FDOE_Grades_2025_Raw!W52</x:f>
        <x:v>A</x:v>
      </x:c>
      <x:c r="E52" s="25">
        <x:f>IF(D52="A",4,IF(D52="B",3,IF(D52="C",2,IF(D52="D",1,IF(D52="F",0,"")))))</x:f>
        <x:v>4</x:v>
      </x:c>
      <x:c r="F52" s="25">
        <x:f>FDOE_Grades_2025_Raw!K52</x:f>
        <x:v>63</x:v>
      </x:c>
      <x:c r="G52" s="25">
        <x:f>FDOE_Grades_2025_Raw!M52</x:f>
        <x:v>46</x:v>
      </x:c>
      <x:c r="H52" s="25">
        <x:f>FDOE_Grades_2025_Raw!L52</x:f>
        <x:v>66</x:v>
      </x:c>
      <x:c r="I52" s="25">
        <x:f>FDOE_Grades_2025_Raw!Q52</x:f>
        <x:v>92</x:v>
      </x:c>
      <x:c r="J52" s="25">
        <x:f>FDOE_Grades_2025_Raw!R52</x:f>
        <x:v>59</x:v>
      </x:c>
      <x:c r="K52" s="25">
        <x:f>IF($A52="","",ROUND((Scoring_Model!$B$9*($E52/4)*100)+(Scoring_Model!$B$10*$F52)+(Scoring_Model!$B$11*$G52)+(Scoring_Model!$B$12*$H52)+(Scoring_Model!$B$13*IF($I52="",0,$I52))+(Scoring_Model!$B$14*IF($J52="",0,$J52)),1))</x:f>
        <x:v>81.4</x:v>
      </x:c>
      <x:c r="L52" s="20" t="inlineStr">
        <x:is>
          <x:t xml:space="preserve">https://www.fldoe.org/file/18534/SchoolGrades25.xlsx</x:t>
        </x:is>
      </x:c>
      <x:c r="M52" s="20" t="inlineStr">
        <x:is>
          <x:t xml:space="preserve">School type Senior High; growth field currently uses official ELA learning gains in this starter model.</x:t>
        </x:is>
      </x:c>
    </x:row>
    <x:row r="53">
      <x:c r="A53" s="20" t="str">
        <x:f>FDOE_Grades_2025_Raw!A53</x:f>
        <x:v>490011</x:v>
      </x:c>
      <x:c r="B53" s="20" t="str">
        <x:f>FDOE_Grades_2025_Raw!E53</x:f>
        <x:v>HARMONY COMMUNITY SCHOOL</x:v>
      </x:c>
      <x:c r="C53" s="20" t="n">
        <x:v>2025</x:v>
      </x:c>
      <x:c r="D53" s="20" t="str">
        <x:f>FDOE_Grades_2025_Raw!W53</x:f>
        <x:v>A</x:v>
      </x:c>
      <x:c r="E53" s="25">
        <x:f>IF(D53="A",4,IF(D53="B",3,IF(D53="C",2,IF(D53="D",1,IF(D53="F",0,"")))))</x:f>
        <x:v>4</x:v>
      </x:c>
      <x:c r="F53" s="25">
        <x:f>FDOE_Grades_2025_Raw!K53</x:f>
        <x:v>71</x:v>
      </x:c>
      <x:c r="G53" s="25">
        <x:f>FDOE_Grades_2025_Raw!M53</x:f>
        <x:v>72</x:v>
      </x:c>
      <x:c r="H53" s="25">
        <x:f>FDOE_Grades_2025_Raw!L53</x:f>
        <x:v>71</x:v>
      </x:c>
      <x:c r="I53" s="25">
        <x:f>FDOE_Grades_2025_Raw!Q53</x:f>
        <x:v>0</x:v>
      </x:c>
      <x:c r="J53" s="25">
        <x:f>FDOE_Grades_2025_Raw!R53</x:f>
        <x:v>0</x:v>
      </x:c>
      <x:c r="K53" s="25">
        <x:f>IF($A53="","",ROUND((Scoring_Model!$B$9*($E53/4)*100)+(Scoring_Model!$B$10*$F53)+(Scoring_Model!$B$11*$G53)+(Scoring_Model!$B$12*$H53)+(Scoring_Model!$B$13*IF($I53="",0,$I53))+(Scoring_Model!$B$14*IF($J53="",0,$J53)),1))</x:f>
        <x:v>78.5</x:v>
      </x:c>
      <x:c r="L53" s="20" t="inlineStr">
        <x:is>
          <x:t xml:space="preserve">https://www.fldoe.org/file/18534/SchoolGrades25.xlsx</x:t>
        </x:is>
      </x:c>
      <x:c r="M53" s="20" t="inlineStr">
        <x:is>
          <x:t xml:space="preserve">School type Elementary; growth field currently uses official ELA learning gains in this starter model.</x:t>
        </x:is>
      </x:c>
    </x:row>
    <x:row r="54">
      <x:c r="A54" s="20" t="str">
        <x:f>FDOE_Grades_2025_Raw!A54</x:f>
        <x:v>490040</x:v>
      </x:c>
      <x:c r="B54" s="20" t="str">
        <x:f>FDOE_Grades_2025_Raw!E54</x:f>
        <x:v>NARCOOSSEE MIDDLE SCHOOL</x:v>
      </x:c>
      <x:c r="C54" s="20" t="n">
        <x:v>2025</x:v>
      </x:c>
      <x:c r="D54" s="20" t="str">
        <x:f>FDOE_Grades_2025_Raw!W54</x:f>
        <x:v>A</x:v>
      </x:c>
      <x:c r="E54" s="25">
        <x:f>IF(D54="A",4,IF(D54="B",3,IF(D54="C",2,IF(D54="D",1,IF(D54="F",0,"")))))</x:f>
        <x:v>4</x:v>
      </x:c>
      <x:c r="F54" s="25">
        <x:f>FDOE_Grades_2025_Raw!K54</x:f>
        <x:v>59</x:v>
      </x:c>
      <x:c r="G54" s="25">
        <x:f>FDOE_Grades_2025_Raw!M54</x:f>
        <x:v>67</x:v>
      </x:c>
      <x:c r="H54" s="25">
        <x:f>FDOE_Grades_2025_Raw!L54</x:f>
        <x:v>60</x:v>
      </x:c>
      <x:c r="I54" s="25">
        <x:f>FDOE_Grades_2025_Raw!Q54</x:f>
        <x:v>0</x:v>
      </x:c>
      <x:c r="J54" s="25">
        <x:f>FDOE_Grades_2025_Raw!R54</x:f>
        <x:v>0</x:v>
      </x:c>
      <x:c r="K54" s="25">
        <x:f>IF($A54="","",ROUND((Scoring_Model!$B$9*($E54/4)*100)+(Scoring_Model!$B$10*$F54)+(Scoring_Model!$B$11*$G54)+(Scoring_Model!$B$12*$H54)+(Scoring_Model!$B$13*IF($I54="",0,$I54))+(Scoring_Model!$B$14*IF($J54="",0,$J54)),1))</x:f>
        <x:v>74.5</x:v>
      </x:c>
      <x:c r="L54" s="20" t="inlineStr">
        <x:is>
          <x:t xml:space="preserve">https://www.fldoe.org/file/18534/SchoolGrades25.xlsx</x:t>
        </x:is>
      </x:c>
      <x:c r="M54" s="20" t="inlineStr">
        <x:is>
          <x:t xml:space="preserve">School type Middle/Junior; growth field currently uses official ELA learning gains in this starter model.</x:t>
        </x:is>
      </x:c>
    </x:row>
    <x:row r="55">
      <x:c r="A55" s="20" t="str">
        <x:f>FDOE_Grades_2025_Raw!A55</x:f>
        <x:v>490041</x:v>
      </x:c>
      <x:c r="B55" s="20" t="str">
        <x:f>FDOE_Grades_2025_Raw!E55</x:f>
        <x:v>DISCOVERY INTERMEDIATE SCHOOL</x:v>
      </x:c>
      <x:c r="C55" s="20" t="n">
        <x:v>2025</x:v>
      </x:c>
      <x:c r="D55" s="20" t="str">
        <x:f>FDOE_Grades_2025_Raw!W55</x:f>
        <x:v>C</x:v>
      </x:c>
      <x:c r="E55" s="25">
        <x:f>IF(D55="A",4,IF(D55="B",3,IF(D55="C",2,IF(D55="D",1,IF(D55="F",0,"")))))</x:f>
        <x:v>2</x:v>
      </x:c>
      <x:c r="F55" s="25">
        <x:f>FDOE_Grades_2025_Raw!K55</x:f>
        <x:v>47</x:v>
      </x:c>
      <x:c r="G55" s="25">
        <x:f>FDOE_Grades_2025_Raw!M55</x:f>
        <x:v>37</x:v>
      </x:c>
      <x:c r="H55" s="25">
        <x:f>FDOE_Grades_2025_Raw!L55</x:f>
        <x:v>58</x:v>
      </x:c>
      <x:c r="I55" s="25">
        <x:f>FDOE_Grades_2025_Raw!Q55</x:f>
        <x:v>0</x:v>
      </x:c>
      <x:c r="J55" s="25">
        <x:f>FDOE_Grades_2025_Raw!R55</x:f>
        <x:v>0</x:v>
      </x:c>
      <x:c r="K55" s="25">
        <x:f>IF($A55="","",ROUND((Scoring_Model!$B$9*($E55/4)*100)+(Scoring_Model!$B$10*$F55)+(Scoring_Model!$B$11*$G55)+(Scoring_Model!$B$12*$H55)+(Scoring_Model!$B$13*IF($I55="",0,$I55))+(Scoring_Model!$B$14*IF($J55="",0,$J55)),1))</x:f>
        <x:v>43.9</x:v>
      </x:c>
      <x:c r="L55" s="20" t="inlineStr">
        <x:is>
          <x:t xml:space="preserve">https://www.fldoe.org/file/18534/SchoolGrades25.xlsx</x:t>
        </x:is>
      </x:c>
      <x:c r="M55" s="20" t="inlineStr">
        <x:is>
          <x:t xml:space="preserve">School type Middle/Junior; growth field currently uses official ELA learning gains in this starter model.</x:t>
        </x:is>
      </x:c>
    </x:row>
    <x:row r="56">
      <x:c r="A56" s="20" t="str">
        <x:f>FDOE_Grades_2025_Raw!A56</x:f>
        <x:v>490042</x:v>
      </x:c>
      <x:c r="B56" s="20" t="str">
        <x:f>FDOE_Grades_2025_Raw!E56</x:f>
        <x:v>KISSIMMEE ELEMENTARY SCHOOL</x:v>
      </x:c>
      <x:c r="C56" s="20" t="n">
        <x:v>2025</x:v>
      </x:c>
      <x:c r="D56" s="20" t="str">
        <x:f>FDOE_Grades_2025_Raw!W56</x:f>
        <x:v>C</x:v>
      </x:c>
      <x:c r="E56" s="25">
        <x:f>IF(D56="A",4,IF(D56="B",3,IF(D56="C",2,IF(D56="D",1,IF(D56="F",0,"")))))</x:f>
        <x:v>2</x:v>
      </x:c>
      <x:c r="F56" s="25">
        <x:f>FDOE_Grades_2025_Raw!K56</x:f>
        <x:v>47</x:v>
      </x:c>
      <x:c r="G56" s="25">
        <x:f>FDOE_Grades_2025_Raw!M56</x:f>
        <x:v>38</x:v>
      </x:c>
      <x:c r="H56" s="25">
        <x:f>FDOE_Grades_2025_Raw!L56</x:f>
        <x:v>65</x:v>
      </x:c>
      <x:c r="I56" s="25">
        <x:f>FDOE_Grades_2025_Raw!Q56</x:f>
        <x:v>0</x:v>
      </x:c>
      <x:c r="J56" s="25">
        <x:f>FDOE_Grades_2025_Raw!R56</x:f>
        <x:v>0</x:v>
      </x:c>
      <x:c r="K56" s="25">
        <x:f>IF($A56="","",ROUND((Scoring_Model!$B$9*($E56/4)*100)+(Scoring_Model!$B$10*$F56)+(Scoring_Model!$B$11*$G56)+(Scoring_Model!$B$12*$H56)+(Scoring_Model!$B$13*IF($I56="",0,$I56))+(Scoring_Model!$B$14*IF($J56="",0,$J56)),1))</x:f>
        <x:v>44.7</x:v>
      </x:c>
      <x:c r="L56" s="20" t="inlineStr">
        <x:is>
          <x:t xml:space="preserve">https://www.fldoe.org/file/18534/SchoolGrades25.xlsx</x:t>
        </x:is>
      </x:c>
      <x:c r="M56" s="20" t="inlineStr">
        <x:is>
          <x:t xml:space="preserve">School type Elementary; growth field currently uses official ELA learning gains in this starter model.</x:t>
        </x:is>
      </x:c>
    </x:row>
    <x:row r="57">
      <x:c r="A57" s="20" t="str">
        <x:f>FDOE_Grades_2025_Raw!A57</x:f>
        <x:v>490043</x:v>
      </x:c>
      <x:c r="B57" s="20" t="str">
        <x:f>FDOE_Grades_2025_Raw!E57</x:f>
        <x:v>NARCOOSSEE ELEMENTARY SCHOOL</x:v>
      </x:c>
      <x:c r="C57" s="20" t="n">
        <x:v>2025</x:v>
      </x:c>
      <x:c r="D57" s="20" t="str">
        <x:f>FDOE_Grades_2025_Raw!W57</x:f>
        <x:v>B</x:v>
      </x:c>
      <x:c r="E57" s="25">
        <x:f>IF(D57="A",4,IF(D57="B",3,IF(D57="C",2,IF(D57="D",1,IF(D57="F",0,"")))))</x:f>
        <x:v>3</x:v>
      </x:c>
      <x:c r="F57" s="25">
        <x:f>FDOE_Grades_2025_Raw!K57</x:f>
        <x:v>67</x:v>
      </x:c>
      <x:c r="G57" s="25">
        <x:f>FDOE_Grades_2025_Raw!M57</x:f>
        <x:v>65</x:v>
      </x:c>
      <x:c r="H57" s="25">
        <x:f>FDOE_Grades_2025_Raw!L57</x:f>
        <x:v>60</x:v>
      </x:c>
      <x:c r="I57" s="25">
        <x:f>FDOE_Grades_2025_Raw!Q57</x:f>
        <x:v>0</x:v>
      </x:c>
      <x:c r="J57" s="25">
        <x:f>FDOE_Grades_2025_Raw!R57</x:f>
        <x:v>0</x:v>
      </x:c>
      <x:c r="K57" s="25">
        <x:f>IF($A57="","",ROUND((Scoring_Model!$B$9*($E57/4)*100)+(Scoring_Model!$B$10*$F57)+(Scoring_Model!$B$11*$G57)+(Scoring_Model!$B$12*$H57)+(Scoring_Model!$B$13*IF($I57="",0,$I57))+(Scoring_Model!$B$14*IF($J57="",0,$J57)),1))</x:f>
        <x:v>63.4</x:v>
      </x:c>
      <x:c r="L57" s="20" t="inlineStr">
        <x:is>
          <x:t xml:space="preserve">https://www.fldoe.org/file/18534/SchoolGrades25.xlsx</x:t>
        </x:is>
      </x:c>
      <x:c r="M57" s="20" t="inlineStr">
        <x:is>
          <x:t xml:space="preserve">School type Elementary; growth field currently uses official ELA learning gains in this starter model.</x:t>
        </x:is>
      </x:c>
    </x:row>
    <x:row r="58">
      <x:c r="A58" s="20" t="str">
        <x:f>FDOE_Grades_2025_Raw!A58</x:f>
        <x:v>490061</x:v>
      </x:c>
      <x:c r="B58" s="20" t="str">
        <x:f>FDOE_Grades_2025_Raw!E58</x:f>
        <x:v>CENTRAL AVENUE ELEMENTARY SCHOOL</x:v>
      </x:c>
      <x:c r="C58" s="20" t="n">
        <x:v>2025</x:v>
      </x:c>
      <x:c r="D58" s="20" t="str">
        <x:f>FDOE_Grades_2025_Raw!W58</x:f>
        <x:v>C</x:v>
      </x:c>
      <x:c r="E58" s="25">
        <x:f>IF(D58="A",4,IF(D58="B",3,IF(D58="C",2,IF(D58="D",1,IF(D58="F",0,"")))))</x:f>
        <x:v>2</x:v>
      </x:c>
      <x:c r="F58" s="25">
        <x:f>FDOE_Grades_2025_Raw!K58</x:f>
        <x:v>29</x:v>
      </x:c>
      <x:c r="G58" s="25">
        <x:f>FDOE_Grades_2025_Raw!M58</x:f>
        <x:v>35</x:v>
      </x:c>
      <x:c r="H58" s="25">
        <x:f>FDOE_Grades_2025_Raw!L58</x:f>
        <x:v>54</x:v>
      </x:c>
      <x:c r="I58" s="25">
        <x:f>FDOE_Grades_2025_Raw!Q58</x:f>
        <x:v>0</x:v>
      </x:c>
      <x:c r="J58" s="25">
        <x:f>FDOE_Grades_2025_Raw!R58</x:f>
        <x:v>0</x:v>
      </x:c>
      <x:c r="K58" s="25">
        <x:f>IF($A58="","",ROUND((Scoring_Model!$B$9*($E58/4)*100)+(Scoring_Model!$B$10*$F58)+(Scoring_Model!$B$11*$G58)+(Scoring_Model!$B$12*$H58)+(Scoring_Model!$B$13*IF($I58="",0,$I58))+(Scoring_Model!$B$14*IF($J58="",0,$J58)),1))</x:f>
        <x:v>39.7</x:v>
      </x:c>
      <x:c r="L58" s="20" t="inlineStr">
        <x:is>
          <x:t xml:space="preserve">https://www.fldoe.org/file/18534/SchoolGrades25.xlsx</x:t>
        </x:is>
      </x:c>
      <x:c r="M58" s="20" t="inlineStr">
        <x:is>
          <x:t xml:space="preserve">School type Elementary; growth field currently uses official ELA learning gains in this starter model.</x:t>
        </x:is>
      </x:c>
    </x:row>
    <x:row r="59">
      <x:c r="A59" s="20" t="str">
        <x:f>FDOE_Grades_2025_Raw!A59</x:f>
        <x:v>490071</x:v>
      </x:c>
      <x:c r="B59" s="20" t="str">
        <x:f>FDOE_Grades_2025_Raw!E59</x:f>
        <x:v>HIGHLANDS ELEMENTARY SCHOOL</x:v>
      </x:c>
      <x:c r="C59" s="20" t="n">
        <x:v>2025</x:v>
      </x:c>
      <x:c r="D59" s="20" t="str">
        <x:f>FDOE_Grades_2025_Raw!W59</x:f>
        <x:v>C</x:v>
      </x:c>
      <x:c r="E59" s="25">
        <x:f>IF(D59="A",4,IF(D59="B",3,IF(D59="C",2,IF(D59="D",1,IF(D59="F",0,"")))))</x:f>
        <x:v>2</x:v>
      </x:c>
      <x:c r="F59" s="25">
        <x:f>FDOE_Grades_2025_Raw!K59</x:f>
        <x:v>38</x:v>
      </x:c>
      <x:c r="G59" s="25">
        <x:f>FDOE_Grades_2025_Raw!M59</x:f>
        <x:v>38</x:v>
      </x:c>
      <x:c r="H59" s="25">
        <x:f>FDOE_Grades_2025_Raw!L59</x:f>
        <x:v>45</x:v>
      </x:c>
      <x:c r="I59" s="25">
        <x:f>FDOE_Grades_2025_Raw!Q59</x:f>
        <x:v>0</x:v>
      </x:c>
      <x:c r="J59" s="25">
        <x:f>FDOE_Grades_2025_Raw!R59</x:f>
        <x:v>0</x:v>
      </x:c>
      <x:c r="K59" s="25">
        <x:f>IF($A59="","",ROUND((Scoring_Model!$B$9*($E59/4)*100)+(Scoring_Model!$B$10*$F59)+(Scoring_Model!$B$11*$G59)+(Scoring_Model!$B$12*$H59)+(Scoring_Model!$B$13*IF($I59="",0,$I59))+(Scoring_Model!$B$14*IF($J59="",0,$J59)),1))</x:f>
        <x:v>40.9</x:v>
      </x:c>
      <x:c r="L59" s="20" t="inlineStr">
        <x:is>
          <x:t xml:space="preserve">https://www.fldoe.org/file/18534/SchoolGrades25.xlsx</x:t>
        </x:is>
      </x:c>
      <x:c r="M59" s="20" t="inlineStr">
        <x:is>
          <x:t xml:space="preserve">School type Elementary; growth field currently uses official ELA learning gains in this starter model.</x:t>
        </x:is>
      </x:c>
    </x:row>
    <x:row r="60">
      <x:c r="A60" s="20" t="str">
        <x:f>FDOE_Grades_2025_Raw!A60</x:f>
        <x:v>490081</x:v>
      </x:c>
      <x:c r="B60" s="20" t="str">
        <x:f>FDOE_Grades_2025_Raw!E60</x:f>
        <x:v>OSCEOLA HIGH SCHOOL</x:v>
      </x:c>
      <x:c r="C60" s="20" t="n">
        <x:v>2025</x:v>
      </x:c>
      <x:c r="D60" s="20" t="str">
        <x:f>FDOE_Grades_2025_Raw!W60</x:f>
        <x:v>B</x:v>
      </x:c>
      <x:c r="E60" s="25">
        <x:f>IF(D60="A",4,IF(D60="B",3,IF(D60="C",2,IF(D60="D",1,IF(D60="F",0,"")))))</x:f>
        <x:v>3</x:v>
      </x:c>
      <x:c r="F60" s="25">
        <x:f>FDOE_Grades_2025_Raw!K60</x:f>
        <x:v>46</x:v>
      </x:c>
      <x:c r="G60" s="25">
        <x:f>FDOE_Grades_2025_Raw!M60</x:f>
        <x:v>40</x:v>
      </x:c>
      <x:c r="H60" s="25">
        <x:f>FDOE_Grades_2025_Raw!L60</x:f>
        <x:v>58</x:v>
      </x:c>
      <x:c r="I60" s="25">
        <x:f>FDOE_Grades_2025_Raw!Q60</x:f>
        <x:v>95</x:v>
      </x:c>
      <x:c r="J60" s="25">
        <x:f>FDOE_Grades_2025_Raw!R60</x:f>
        <x:v>49</x:v>
      </x:c>
      <x:c r="K60" s="25">
        <x:f>IF($A60="","",ROUND((Scoring_Model!$B$9*($E60/4)*100)+(Scoring_Model!$B$10*$F60)+(Scoring_Model!$B$11*$G60)+(Scoring_Model!$B$12*$H60)+(Scoring_Model!$B$13*IF($I60="",0,$I60))+(Scoring_Model!$B$14*IF($J60="",0,$J60)),1))</x:f>
        <x:v>63.7</x:v>
      </x:c>
      <x:c r="L60" s="20" t="inlineStr">
        <x:is>
          <x:t xml:space="preserve">https://www.fldoe.org/file/18534/SchoolGrades25.xlsx</x:t>
        </x:is>
      </x:c>
      <x:c r="M60" s="20" t="inlineStr">
        <x:is>
          <x:t xml:space="preserve">School type Senior High; growth field currently uses official ELA learning gains in this starter model.</x:t>
        </x:is>
      </x:c>
    </x:row>
    <x:row r="61">
      <x:c r="A61" s="20" t="str">
        <x:f>FDOE_Grades_2025_Raw!A61</x:f>
        <x:v>490091</x:v>
      </x:c>
      <x:c r="B61" s="20" t="str">
        <x:f>FDOE_Grades_2025_Raw!E61</x:f>
        <x:v>DENN JOHN MIDDLE SCHOOL</x:v>
      </x:c>
      <x:c r="C61" s="20" t="n">
        <x:v>2025</x:v>
      </x:c>
      <x:c r="D61" s="20" t="str">
        <x:f>FDOE_Grades_2025_Raw!W61</x:f>
        <x:v>C</x:v>
      </x:c>
      <x:c r="E61" s="25">
        <x:f>IF(D61="A",4,IF(D61="B",3,IF(D61="C",2,IF(D61="D",1,IF(D61="F",0,"")))))</x:f>
        <x:v>2</x:v>
      </x:c>
      <x:c r="F61" s="25">
        <x:f>FDOE_Grades_2025_Raw!K61</x:f>
        <x:v>34</x:v>
      </x:c>
      <x:c r="G61" s="25">
        <x:f>FDOE_Grades_2025_Raw!M61</x:f>
        <x:v>34</x:v>
      </x:c>
      <x:c r="H61" s="25">
        <x:f>FDOE_Grades_2025_Raw!L61</x:f>
        <x:v>46</x:v>
      </x:c>
      <x:c r="I61" s="25">
        <x:f>FDOE_Grades_2025_Raw!Q61</x:f>
        <x:v>0</x:v>
      </x:c>
      <x:c r="J61" s="25">
        <x:f>FDOE_Grades_2025_Raw!R61</x:f>
        <x:v>0</x:v>
      </x:c>
      <x:c r="K61" s="25">
        <x:f>IF($A61="","",ROUND((Scoring_Model!$B$9*($E61/4)*100)+(Scoring_Model!$B$10*$F61)+(Scoring_Model!$B$11*$G61)+(Scoring_Model!$B$12*$H61)+(Scoring_Model!$B$13*IF($I61="",0,$I61))+(Scoring_Model!$B$14*IF($J61="",0,$J61)),1))</x:f>
        <x:v>39.8</x:v>
      </x:c>
      <x:c r="L61" s="20" t="inlineStr">
        <x:is>
          <x:t xml:space="preserve">https://www.fldoe.org/file/18534/SchoolGrades25.xlsx</x:t>
        </x:is>
      </x:c>
      <x:c r="M61" s="20" t="inlineStr">
        <x:is>
          <x:t xml:space="preserve">School type Middle/Junior; growth field currently uses official ELA learning gains in this starter model.</x:t>
        </x:is>
      </x:c>
    </x:row>
    <x:row r="62">
      <x:c r="A62" s="20" t="str">
        <x:f>FDOE_Grades_2025_Raw!A62</x:f>
        <x:v>490101</x:v>
      </x:c>
      <x:c r="B62" s="20" t="str">
        <x:f>FDOE_Grades_2025_Raw!E62</x:f>
        <x:v>THACKER AVENUE ELEMENTARY FOR INTERNATIONAL STUDIES</x:v>
      </x:c>
      <x:c r="C62" s="20" t="n">
        <x:v>2025</x:v>
      </x:c>
      <x:c r="D62" s="20" t="str">
        <x:f>FDOE_Grades_2025_Raw!W62</x:f>
        <x:v>C</x:v>
      </x:c>
      <x:c r="E62" s="25">
        <x:f>IF(D62="A",4,IF(D62="B",3,IF(D62="C",2,IF(D62="D",1,IF(D62="F",0,"")))))</x:f>
        <x:v>2</x:v>
      </x:c>
      <x:c r="F62" s="25">
        <x:f>FDOE_Grades_2025_Raw!K62</x:f>
        <x:v>38</x:v>
      </x:c>
      <x:c r="G62" s="25">
        <x:f>FDOE_Grades_2025_Raw!M62</x:f>
        <x:v>46</x:v>
      </x:c>
      <x:c r="H62" s="25">
        <x:f>FDOE_Grades_2025_Raw!L62</x:f>
        <x:v>53</x:v>
      </x:c>
      <x:c r="I62" s="25">
        <x:f>FDOE_Grades_2025_Raw!Q62</x:f>
        <x:v>0</x:v>
      </x:c>
      <x:c r="J62" s="25">
        <x:f>FDOE_Grades_2025_Raw!R62</x:f>
        <x:v>0</x:v>
      </x:c>
      <x:c r="K62" s="25">
        <x:f>IF($A62="","",ROUND((Scoring_Model!$B$9*($E62/4)*100)+(Scoring_Model!$B$10*$F62)+(Scoring_Model!$B$11*$G62)+(Scoring_Model!$B$12*$H62)+(Scoring_Model!$B$13*IF($I62="",0,$I62))+(Scoring_Model!$B$14*IF($J62="",0,$J62)),1))</x:f>
        <x:v>42.5</x:v>
      </x:c>
      <x:c r="L62" s="20" t="inlineStr">
        <x:is>
          <x:t xml:space="preserve">https://www.fldoe.org/file/18534/SchoolGrades25.xlsx</x:t>
        </x:is>
      </x:c>
      <x:c r="M62" s="20" t="inlineStr">
        <x:is>
          <x:t xml:space="preserve">School type Elementary; growth field currently uses official ELA learning gains in this starter model.</x:t>
        </x:is>
      </x:c>
    </x:row>
    <x:row r="63">
      <x:c r="A63" s="20" t="str">
        <x:f>FDOE_Grades_2025_Raw!A63</x:f>
        <x:v>490111</x:v>
      </x:c>
      <x:c r="B63" s="20" t="str">
        <x:f>FDOE_Grades_2025_Raw!E63</x:f>
        <x:v>ST. CLOUD ELEMENTARY SCHOOL</x:v>
      </x:c>
      <x:c r="C63" s="20" t="n">
        <x:v>2025</x:v>
      </x:c>
      <x:c r="D63" s="20" t="str">
        <x:f>FDOE_Grades_2025_Raw!W63</x:f>
        <x:v>B</x:v>
      </x:c>
      <x:c r="E63" s="25">
        <x:f>IF(D63="A",4,IF(D63="B",3,IF(D63="C",2,IF(D63="D",1,IF(D63="F",0,"")))))</x:f>
        <x:v>3</x:v>
      </x:c>
      <x:c r="F63" s="25">
        <x:f>FDOE_Grades_2025_Raw!K63</x:f>
        <x:v>65</x:v>
      </x:c>
      <x:c r="G63" s="25">
        <x:f>FDOE_Grades_2025_Raw!M63</x:f>
        <x:v>66</x:v>
      </x:c>
      <x:c r="H63" s="25">
        <x:f>FDOE_Grades_2025_Raw!L63</x:f>
        <x:v>62</x:v>
      </x:c>
      <x:c r="I63" s="25">
        <x:f>FDOE_Grades_2025_Raw!Q63</x:f>
        <x:v>0</x:v>
      </x:c>
      <x:c r="J63" s="25">
        <x:f>FDOE_Grades_2025_Raw!R63</x:f>
        <x:v>0</x:v>
      </x:c>
      <x:c r="K63" s="25">
        <x:f>IF($A63="","",ROUND((Scoring_Model!$B$9*($E63/4)*100)+(Scoring_Model!$B$10*$F63)+(Scoring_Model!$B$11*$G63)+(Scoring_Model!$B$12*$H63)+(Scoring_Model!$B$13*IF($I63="",0,$I63))+(Scoring_Model!$B$14*IF($J63="",0,$J63)),1))</x:f>
        <x:v>63.3</x:v>
      </x:c>
      <x:c r="L63" s="20" t="inlineStr">
        <x:is>
          <x:t xml:space="preserve">https://www.fldoe.org/file/18534/SchoolGrades25.xlsx</x:t>
        </x:is>
      </x:c>
      <x:c r="M63" s="20" t="inlineStr">
        <x:is>
          <x:t xml:space="preserve">School type Elementary; growth field currently uses official ELA learning gains in this starter model.</x:t>
        </x:is>
      </x:c>
    </x:row>
    <x:row r="64">
      <x:c r="A64" s="20" t="str">
        <x:f>FDOE_Grades_2025_Raw!A64</x:f>
        <x:v>490131</x:v>
      </x:c>
      <x:c r="B64" s="20" t="str">
        <x:f>FDOE_Grades_2025_Raw!E64</x:f>
        <x:v>BRIDGEPREP ACADEMY OF ST.CLOUD</x:v>
      </x:c>
      <x:c r="C64" s="20" t="n">
        <x:v>2025</x:v>
      </x:c>
      <x:c r="D64" s="20" t="str">
        <x:f>FDOE_Grades_2025_Raw!W64</x:f>
        <x:v>C</x:v>
      </x:c>
      <x:c r="E64" s="25">
        <x:f>IF(D64="A",4,IF(D64="B",3,IF(D64="C",2,IF(D64="D",1,IF(D64="F",0,"")))))</x:f>
        <x:v>2</x:v>
      </x:c>
      <x:c r="F64" s="25">
        <x:f>FDOE_Grades_2025_Raw!K64</x:f>
        <x:v>57</x:v>
      </x:c>
      <x:c r="G64" s="25">
        <x:f>FDOE_Grades_2025_Raw!M64</x:f>
        <x:v>47</x:v>
      </x:c>
      <x:c r="H64" s="25">
        <x:f>FDOE_Grades_2025_Raw!L64</x:f>
        <x:v>62</x:v>
      </x:c>
      <x:c r="I64" s="25">
        <x:f>FDOE_Grades_2025_Raw!Q64</x:f>
        <x:v>0</x:v>
      </x:c>
      <x:c r="J64" s="25">
        <x:f>FDOE_Grades_2025_Raw!R64</x:f>
        <x:v>0</x:v>
      </x:c>
      <x:c r="K64" s="25">
        <x:f>IF($A64="","",ROUND((Scoring_Model!$B$9*($E64/4)*100)+(Scoring_Model!$B$10*$F64)+(Scoring_Model!$B$11*$G64)+(Scoring_Model!$B$12*$H64)+(Scoring_Model!$B$13*IF($I64="",0,$I64))+(Scoring_Model!$B$14*IF($J64="",0,$J64)),1))</x:f>
        <x:v>47.3</x:v>
      </x:c>
      <x:c r="L64" s="20" t="inlineStr">
        <x:is>
          <x:t xml:space="preserve">https://www.fldoe.org/file/18534/SchoolGrades25.xlsx</x:t>
        </x:is>
      </x:c>
      <x:c r="M64" s="20" t="inlineStr">
        <x:is>
          <x:t xml:space="preserve">School type Combination; growth field currently uses official ELA learning gains in this starter model.</x:t>
        </x:is>
      </x:c>
    </x:row>
    <x:row r="65">
      <x:c r="A65" s="20" t="str">
        <x:f>FDOE_Grades_2025_Raw!A65</x:f>
        <x:v>490149</x:v>
      </x:c>
      <x:c r="B65" s="20" t="str">
        <x:f>FDOE_Grades_2025_Raw!E65</x:f>
        <x:v>RENAISSANCE CHARTER SCHOOL AT POINCIANA</x:v>
      </x:c>
      <x:c r="C65" s="20" t="n">
        <x:v>2025</x:v>
      </x:c>
      <x:c r="D65" s="20" t="str">
        <x:f>FDOE_Grades_2025_Raw!W65</x:f>
        <x:v>C</x:v>
      </x:c>
      <x:c r="E65" s="25">
        <x:f>IF(D65="A",4,IF(D65="B",3,IF(D65="C",2,IF(D65="D",1,IF(D65="F",0,"")))))</x:f>
        <x:v>2</x:v>
      </x:c>
      <x:c r="F65" s="25">
        <x:f>FDOE_Grades_2025_Raw!K65</x:f>
        <x:v>44</x:v>
      </x:c>
      <x:c r="G65" s="25">
        <x:f>FDOE_Grades_2025_Raw!M65</x:f>
        <x:v>50</x:v>
      </x:c>
      <x:c r="H65" s="25">
        <x:f>FDOE_Grades_2025_Raw!L65</x:f>
        <x:v>55</x:v>
      </x:c>
      <x:c r="I65" s="25">
        <x:f>FDOE_Grades_2025_Raw!Q65</x:f>
        <x:v>0</x:v>
      </x:c>
      <x:c r="J65" s="25">
        <x:f>FDOE_Grades_2025_Raw!R65</x:f>
        <x:v>0</x:v>
      </x:c>
      <x:c r="K65" s="25">
        <x:f>IF($A65="","",ROUND((Scoring_Model!$B$9*($E65/4)*100)+(Scoring_Model!$B$10*$F65)+(Scoring_Model!$B$11*$G65)+(Scoring_Model!$B$12*$H65)+(Scoring_Model!$B$13*IF($I65="",0,$I65))+(Scoring_Model!$B$14*IF($J65="",0,$J65)),1))</x:f>
        <x:v>44.3</x:v>
      </x:c>
      <x:c r="L65" s="20" t="inlineStr">
        <x:is>
          <x:t xml:space="preserve">https://www.fldoe.org/file/18534/SchoolGrades25.xlsx</x:t>
        </x:is>
      </x:c>
      <x:c r="M65" s="20" t="inlineStr">
        <x:is>
          <x:t xml:space="preserve">School type Combination; growth field currently uses official ELA learning gains in this starter model.</x:t>
        </x:is>
      </x:c>
    </x:row>
    <x:row r="66">
      <x:c r="A66" s="20" t="str">
        <x:f>FDOE_Grades_2025_Raw!A66</x:f>
        <x:v>490152</x:v>
      </x:c>
      <x:c r="B66" s="20" t="str">
        <x:f>FDOE_Grades_2025_Raw!E66</x:f>
        <x:v>FOUR CORNERS UPPER SCHOOL</x:v>
      </x:c>
      <x:c r="C66" s="20" t="n">
        <x:v>2025</x:v>
      </x:c>
      <x:c r="D66" s="20" t="str">
        <x:f>FDOE_Grades_2025_Raw!W66</x:f>
        <x:v>A</x:v>
      </x:c>
      <x:c r="E66" s="25">
        <x:f>IF(D66="A",4,IF(D66="B",3,IF(D66="C",2,IF(D66="D",1,IF(D66="F",0,"")))))</x:f>
        <x:v>4</x:v>
      </x:c>
      <x:c r="F66" s="25">
        <x:f>FDOE_Grades_2025_Raw!K66</x:f>
        <x:v>54</x:v>
      </x:c>
      <x:c r="G66" s="25">
        <x:f>FDOE_Grades_2025_Raw!M66</x:f>
        <x:v>46</x:v>
      </x:c>
      <x:c r="H66" s="25">
        <x:f>FDOE_Grades_2025_Raw!L66</x:f>
        <x:v>61</x:v>
      </x:c>
      <x:c r="I66" s="25">
        <x:f>FDOE_Grades_2025_Raw!Q66</x:f>
        <x:v>96</x:v>
      </x:c>
      <x:c r="J66" s="25">
        <x:f>FDOE_Grades_2025_Raw!R66</x:f>
        <x:v>76</x:v>
      </x:c>
      <x:c r="K66" s="25">
        <x:f>IF($A66="","",ROUND((Scoring_Model!$B$9*($E66/4)*100)+(Scoring_Model!$B$10*$F66)+(Scoring_Model!$B$11*$G66)+(Scoring_Model!$B$12*$H66)+(Scoring_Model!$B$13*IF($I66="",0,$I66))+(Scoring_Model!$B$14*IF($J66="",0,$J66)),1))</x:f>
        <x:v>80.1</x:v>
      </x:c>
      <x:c r="L66" s="20" t="inlineStr">
        <x:is>
          <x:t xml:space="preserve">https://www.fldoe.org/file/18534/SchoolGrades25.xlsx</x:t>
        </x:is>
      </x:c>
      <x:c r="M66" s="20" t="inlineStr">
        <x:is>
          <x:t xml:space="preserve">School type Combination; growth field currently uses official ELA learning gains in this starter model.</x:t>
        </x:is>
      </x:c>
    </x:row>
    <x:row r="67">
      <x:c r="A67" s="20" t="str">
        <x:f>FDOE_Grades_2025_Raw!A67</x:f>
        <x:v>490153</x:v>
      </x:c>
      <x:c r="B67" s="20" t="str">
        <x:f>FDOE_Grades_2025_Raw!E67</x:f>
        <x:v>FLORIDA CYBER CHARTER ACADEMY AT OSCEOLA</x:v>
      </x:c>
      <x:c r="C67" s="20" t="n">
        <x:v>2025</x:v>
      </x:c>
      <x:c r="D67" s="20" t="str">
        <x:f>FDOE_Grades_2025_Raw!W67</x:f>
        <x:v>D</x:v>
      </x:c>
      <x:c r="E67" s="25">
        <x:f>IF(D67="A",4,IF(D67="B",3,IF(D67="C",2,IF(D67="D",1,IF(D67="F",0,"")))))</x:f>
        <x:v>1</x:v>
      </x:c>
      <x:c r="F67" s="25">
        <x:f>FDOE_Grades_2025_Raw!K67</x:f>
        <x:v>39</x:v>
      </x:c>
      <x:c r="G67" s="25">
        <x:f>FDOE_Grades_2025_Raw!M67</x:f>
        <x:v>20</x:v>
      </x:c>
      <x:c r="H67" s="25">
        <x:f>FDOE_Grades_2025_Raw!L67</x:f>
        <x:v>43</x:v>
      </x:c>
      <x:c r="I67" s="25">
        <x:f>FDOE_Grades_2025_Raw!Q67</x:f>
        <x:v>0</x:v>
      </x:c>
      <x:c r="J67" s="25">
        <x:f>FDOE_Grades_2025_Raw!R67</x:f>
        <x:v>0</x:v>
      </x:c>
      <x:c r="K67" s="25">
        <x:f>IF($A67="","",ROUND((Scoring_Model!$B$9*($E67/4)*100)+(Scoring_Model!$B$10*$F67)+(Scoring_Model!$B$11*$G67)+(Scoring_Model!$B$12*$H67)+(Scoring_Model!$B$13*IF($I67="",0,$I67))+(Scoring_Model!$B$14*IF($J67="",0,$J67)),1))</x:f>
        <x:v>26.6</x:v>
      </x:c>
      <x:c r="L67" s="20" t="inlineStr">
        <x:is>
          <x:t xml:space="preserve">https://www.fldoe.org/file/18534/SchoolGrades25.xlsx</x:t>
        </x:is>
      </x:c>
      <x:c r="M67" s="20" t="inlineStr">
        <x:is>
          <x:t xml:space="preserve">School type Combination; growth field currently uses official ELA learning gains in this starter model.</x:t>
        </x:is>
      </x:c>
    </x:row>
    <x:row r="68">
      <x:c r="A68" s="20" t="str">
        <x:f>FDOE_Grades_2025_Raw!A68</x:f>
        <x:v>490155</x:v>
      </x:c>
      <x:c r="B68" s="20" t="str">
        <x:f>FDOE_Grades_2025_Raw!E68</x:f>
        <x:v>VICTORY CHARTER SCHOOL</x:v>
      </x:c>
      <x:c r="C68" s="20" t="n">
        <x:v>2025</x:v>
      </x:c>
      <x:c r="D68" s="20" t="str">
        <x:f>FDOE_Grades_2025_Raw!W68</x:f>
        <x:v>C</x:v>
      </x:c>
      <x:c r="E68" s="25">
        <x:f>IF(D68="A",4,IF(D68="B",3,IF(D68="C",2,IF(D68="D",1,IF(D68="F",0,"")))))</x:f>
        <x:v>2</x:v>
      </x:c>
      <x:c r="F68" s="25">
        <x:f>FDOE_Grades_2025_Raw!K68</x:f>
        <x:v>39</x:v>
      </x:c>
      <x:c r="G68" s="25">
        <x:f>FDOE_Grades_2025_Raw!M68</x:f>
        <x:v>33</x:v>
      </x:c>
      <x:c r="H68" s="25">
        <x:f>FDOE_Grades_2025_Raw!L68</x:f>
        <x:v>60</x:v>
      </x:c>
      <x:c r="I68" s="25">
        <x:f>FDOE_Grades_2025_Raw!Q68</x:f>
        <x:v>87</x:v>
      </x:c>
      <x:c r="J68" s="25">
        <x:f>FDOE_Grades_2025_Raw!R68</x:f>
        <x:v>41</x:v>
      </x:c>
      <x:c r="K68" s="25">
        <x:f>IF($A68="","",ROUND((Scoring_Model!$B$9*($E68/4)*100)+(Scoring_Model!$B$10*$F68)+(Scoring_Model!$B$11*$G68)+(Scoring_Model!$B$12*$H68)+(Scoring_Model!$B$13*IF($I68="",0,$I68))+(Scoring_Model!$B$14*IF($J68="",0,$J68)),1))</x:f>
        <x:v>48.5</x:v>
      </x:c>
      <x:c r="L68" s="20" t="inlineStr">
        <x:is>
          <x:t xml:space="preserve">https://www.fldoe.org/file/18534/SchoolGrades25.xlsx</x:t>
        </x:is>
      </x:c>
      <x:c r="M68" s="20" t="inlineStr">
        <x:is>
          <x:t xml:space="preserve">School type Combination; growth field currently uses official ELA learning gains in this starter model.</x:t>
        </x:is>
      </x:c>
    </x:row>
    <x:row r="69">
      <x:c r="A69" s="20" t="str">
        <x:f>FDOE_Grades_2025_Raw!A69</x:f>
        <x:v>490163</x:v>
      </x:c>
      <x:c r="B69" s="20" t="str">
        <x:f>FDOE_Grades_2025_Raw!E69</x:f>
        <x:v>MATER BRIGHTON LAKES</x:v>
      </x:c>
      <x:c r="C69" s="20" t="n">
        <x:v>2025</x:v>
      </x:c>
      <x:c r="D69" s="20" t="str">
        <x:f>FDOE_Grades_2025_Raw!W69</x:f>
        <x:v>B</x:v>
      </x:c>
      <x:c r="E69" s="25">
        <x:f>IF(D69="A",4,IF(D69="B",3,IF(D69="C",2,IF(D69="D",1,IF(D69="F",0,"")))))</x:f>
        <x:v>3</x:v>
      </x:c>
      <x:c r="F69" s="25">
        <x:f>FDOE_Grades_2025_Raw!K69</x:f>
        <x:v>51</x:v>
      </x:c>
      <x:c r="G69" s="25">
        <x:f>FDOE_Grades_2025_Raw!M69</x:f>
        <x:v>53</x:v>
      </x:c>
      <x:c r="H69" s="25">
        <x:f>FDOE_Grades_2025_Raw!L69</x:f>
        <x:v>62</x:v>
      </x:c>
      <x:c r="I69" s="25">
        <x:f>FDOE_Grades_2025_Raw!Q69</x:f>
        <x:v>0</x:v>
      </x:c>
      <x:c r="J69" s="25">
        <x:f>FDOE_Grades_2025_Raw!R69</x:f>
        <x:v>0</x:v>
      </x:c>
      <x:c r="K69" s="25">
        <x:f>IF($A69="","",ROUND((Scoring_Model!$B$9*($E69/4)*100)+(Scoring_Model!$B$10*$F69)+(Scoring_Model!$B$11*$G69)+(Scoring_Model!$B$12*$H69)+(Scoring_Model!$B$13*IF($I69="",0,$I69))+(Scoring_Model!$B$14*IF($J69="",0,$J69)),1))</x:f>
        <x:v>59.2</x:v>
      </x:c>
      <x:c r="L69" s="20" t="inlineStr">
        <x:is>
          <x:t xml:space="preserve">https://www.fldoe.org/file/18534/SchoolGrades25.xlsx</x:t>
        </x:is>
      </x:c>
      <x:c r="M69" s="20" t="inlineStr">
        <x:is>
          <x:t xml:space="preserve">School type Combination; growth field currently uses official ELA learning gains in this starter model.</x:t>
        </x:is>
      </x:c>
    </x:row>
    <x:row r="70">
      <x:c r="A70" s="20" t="str">
        <x:f>FDOE_Grades_2025_Raw!A70</x:f>
        <x:v>490171</x:v>
      </x:c>
      <x:c r="B70" s="20" t="str">
        <x:f>FDOE_Grades_2025_Raw!E70</x:f>
        <x:v>RENAISSANCE CHARTER SCHOOL AT TAPESTRY</x:v>
      </x:c>
      <x:c r="C70" s="20" t="n">
        <x:v>2025</x:v>
      </x:c>
      <x:c r="D70" s="20" t="str">
        <x:f>FDOE_Grades_2025_Raw!W70</x:f>
        <x:v>A</x:v>
      </x:c>
      <x:c r="E70" s="25">
        <x:f>IF(D70="A",4,IF(D70="B",3,IF(D70="C",2,IF(D70="D",1,IF(D70="F",0,"")))))</x:f>
        <x:v>4</x:v>
      </x:c>
      <x:c r="F70" s="25">
        <x:f>FDOE_Grades_2025_Raw!K70</x:f>
        <x:v>51</x:v>
      </x:c>
      <x:c r="G70" s="25">
        <x:f>FDOE_Grades_2025_Raw!M70</x:f>
        <x:v>61</x:v>
      </x:c>
      <x:c r="H70" s="25">
        <x:f>FDOE_Grades_2025_Raw!L70</x:f>
        <x:v>64</x:v>
      </x:c>
      <x:c r="I70" s="25">
        <x:f>FDOE_Grades_2025_Raw!Q70</x:f>
        <x:v>0</x:v>
      </x:c>
      <x:c r="J70" s="25">
        <x:f>FDOE_Grades_2025_Raw!R70</x:f>
        <x:v>0</x:v>
      </x:c>
      <x:c r="K70" s="25">
        <x:f>IF($A70="","",ROUND((Scoring_Model!$B$9*($E70/4)*100)+(Scoring_Model!$B$10*$F70)+(Scoring_Model!$B$11*$G70)+(Scoring_Model!$B$12*$H70)+(Scoring_Model!$B$13*IF($I70="",0,$I70))+(Scoring_Model!$B$14*IF($J70="",0,$J70)),1))</x:f>
        <x:v>72.7</x:v>
      </x:c>
      <x:c r="L70" s="20" t="inlineStr">
        <x:is>
          <x:t xml:space="preserve">https://www.fldoe.org/file/18534/SchoolGrades25.xlsx</x:t>
        </x:is>
      </x:c>
      <x:c r="M70" s="20" t="inlineStr">
        <x:is>
          <x:t xml:space="preserve">School type Combination; growth field currently uses official ELA learning gains in this starter model.</x:t>
        </x:is>
      </x:c>
    </x:row>
    <x:row r="71">
      <x:c r="A71" s="20" t="str">
        <x:f>FDOE_Grades_2025_Raw!A71</x:f>
        <x:v>490181</x:v>
      </x:c>
      <x:c r="B71" s="20" t="str">
        <x:f>FDOE_Grades_2025_Raw!E71</x:f>
        <x:v>OSCEOLA SCIENCE CHARTER SCHOOL</x:v>
      </x:c>
      <x:c r="C71" s="20" t="n">
        <x:v>2025</x:v>
      </x:c>
      <x:c r="D71" s="20" t="str">
        <x:f>FDOE_Grades_2025_Raw!W71</x:f>
        <x:v>A</x:v>
      </x:c>
      <x:c r="E71" s="25">
        <x:f>IF(D71="A",4,IF(D71="B",3,IF(D71="C",2,IF(D71="D",1,IF(D71="F",0,"")))))</x:f>
        <x:v>4</x:v>
      </x:c>
      <x:c r="F71" s="25">
        <x:f>FDOE_Grades_2025_Raw!K71</x:f>
        <x:v>65</x:v>
      </x:c>
      <x:c r="G71" s="25">
        <x:f>FDOE_Grades_2025_Raw!M71</x:f>
        <x:v>70</x:v>
      </x:c>
      <x:c r="H71" s="25">
        <x:f>FDOE_Grades_2025_Raw!L71</x:f>
        <x:v>62</x:v>
      </x:c>
      <x:c r="I71" s="25">
        <x:f>FDOE_Grades_2025_Raw!Q71</x:f>
        <x:v>0</x:v>
      </x:c>
      <x:c r="J71" s="25">
        <x:f>FDOE_Grades_2025_Raw!R71</x:f>
        <x:v>0</x:v>
      </x:c>
      <x:c r="K71" s="25">
        <x:f>IF($A71="","",ROUND((Scoring_Model!$B$9*($E71/4)*100)+(Scoring_Model!$B$10*$F71)+(Scoring_Model!$B$11*$G71)+(Scoring_Model!$B$12*$H71)+(Scoring_Model!$B$13*IF($I71="",0,$I71))+(Scoring_Model!$B$14*IF($J71="",0,$J71)),1))</x:f>
        <x:v>76.2</x:v>
      </x:c>
      <x:c r="L71" s="20" t="inlineStr">
        <x:is>
          <x:t xml:space="preserve">https://www.fldoe.org/file/18534/SchoolGrades25.xlsx</x:t>
        </x:is>
      </x:c>
      <x:c r="M71" s="20" t="inlineStr">
        <x:is>
          <x:t xml:space="preserve">School type Combination; growth field currently uses official ELA learning gains in this starter model.</x:t>
        </x:is>
      </x:c>
    </x:row>
    <x:row r="72">
      <x:c r="A72" s="20" t="str">
        <x:f>FDOE_Grades_2025_Raw!A72</x:f>
        <x:v>490182</x:v>
      </x:c>
      <x:c r="B72" s="20" t="str">
        <x:f>FDOE_Grades_2025_Raw!E72</x:f>
        <x:v>LINCOLN-MARTI CHARTER SCHOOLS(OSCEOLA CAMPUS)</x:v>
      </x:c>
      <x:c r="C72" s="20" t="n">
        <x:v>2025</x:v>
      </x:c>
      <x:c r="D72" s="20" t="str">
        <x:f>FDOE_Grades_2025_Raw!W72</x:f>
        <x:v>C</x:v>
      </x:c>
      <x:c r="E72" s="25">
        <x:f>IF(D72="A",4,IF(D72="B",3,IF(D72="C",2,IF(D72="D",1,IF(D72="F",0,"")))))</x:f>
        <x:v>2</x:v>
      </x:c>
      <x:c r="F72" s="25">
        <x:f>FDOE_Grades_2025_Raw!K72</x:f>
        <x:v>55</x:v>
      </x:c>
      <x:c r="G72" s="25">
        <x:f>FDOE_Grades_2025_Raw!M72</x:f>
        <x:v>42</x:v>
      </x:c>
      <x:c r="H72" s="25">
        <x:f>FDOE_Grades_2025_Raw!L72</x:f>
        <x:v>67</x:v>
      </x:c>
      <x:c r="I72" s="25">
        <x:f>FDOE_Grades_2025_Raw!Q72</x:f>
        <x:v>0</x:v>
      </x:c>
      <x:c r="J72" s="25">
        <x:f>FDOE_Grades_2025_Raw!R72</x:f>
        <x:v>0</x:v>
      </x:c>
      <x:c r="K72" s="25">
        <x:f>IF($A72="","",ROUND((Scoring_Model!$B$9*($E72/4)*100)+(Scoring_Model!$B$10*$F72)+(Scoring_Model!$B$11*$G72)+(Scoring_Model!$B$12*$H72)+(Scoring_Model!$B$13*IF($I72="",0,$I72))+(Scoring_Model!$B$14*IF($J72="",0,$J72)),1))</x:f>
        <x:v>46.9</x:v>
      </x:c>
      <x:c r="L72" s="20" t="inlineStr">
        <x:is>
          <x:t xml:space="preserve">https://www.fldoe.org/file/18534/SchoolGrades25.xlsx</x:t>
        </x:is>
      </x:c>
      <x:c r="M72" s="20" t="inlineStr">
        <x:is>
          <x:t xml:space="preserve">School type Elementary; growth field currently uses official ELA learning gains in this starter model.</x:t>
        </x:is>
      </x:c>
    </x:row>
    <x:row r="73">
      <x:c r="A73" s="20" t="str">
        <x:f>FDOE_Grades_2025_Raw!A73</x:f>
        <x:v>490183</x:v>
      </x:c>
      <x:c r="B73" s="20" t="str">
        <x:f>FDOE_Grades_2025_Raw!E73</x:f>
        <x:v>SPORTS LEADERSHIP ARTS MANAGEMENT (SLAM)</x:v>
      </x:c>
      <x:c r="C73" s="20" t="n">
        <x:v>2025</x:v>
      </x:c>
      <x:c r="D73" s="20" t="str">
        <x:f>FDOE_Grades_2025_Raw!W73</x:f>
        <x:v>A</x:v>
      </x:c>
      <x:c r="E73" s="25">
        <x:f>IF(D73="A",4,IF(D73="B",3,IF(D73="C",2,IF(D73="D",1,IF(D73="F",0,"")))))</x:f>
        <x:v>4</x:v>
      </x:c>
      <x:c r="F73" s="25">
        <x:f>FDOE_Grades_2025_Raw!K73</x:f>
        <x:v>79</x:v>
      </x:c>
      <x:c r="G73" s="25">
        <x:f>FDOE_Grades_2025_Raw!M73</x:f>
        <x:v>61</x:v>
      </x:c>
      <x:c r="H73" s="25">
        <x:f>FDOE_Grades_2025_Raw!L73</x:f>
        <x:v>67</x:v>
      </x:c>
      <x:c r="I73" s="25">
        <x:f>FDOE_Grades_2025_Raw!Q73</x:f>
        <x:v>0</x:v>
      </x:c>
      <x:c r="J73" s="25">
        <x:f>FDOE_Grades_2025_Raw!R73</x:f>
        <x:v>0</x:v>
      </x:c>
      <x:c r="K73" s="25">
        <x:f>IF($A73="","",ROUND((Scoring_Model!$B$9*($E73/4)*100)+(Scoring_Model!$B$10*$F73)+(Scoring_Model!$B$11*$G73)+(Scoring_Model!$B$12*$H73)+(Scoring_Model!$B$13*IF($I73="",0,$I73))+(Scoring_Model!$B$14*IF($J73="",0,$J73)),1))</x:f>
        <x:v>78.6</x:v>
      </x:c>
      <x:c r="L73" s="20" t="inlineStr">
        <x:is>
          <x:t xml:space="preserve">https://www.fldoe.org/file/18534/SchoolGrades25.xlsx</x:t>
        </x:is>
      </x:c>
      <x:c r="M73" s="20" t="inlineStr">
        <x:is>
          <x:t xml:space="preserve">School type Middle/Junior; growth field currently uses official ELA learning gains in this starter model.</x:t>
        </x:is>
      </x:c>
    </x:row>
    <x:row r="74">
      <x:c r="A74" s="20" t="str">
        <x:f>FDOE_Grades_2025_Raw!A74</x:f>
        <x:v>490184</x:v>
      </x:c>
      <x:c r="B74" s="20" t="str">
        <x:f>FDOE_Grades_2025_Raw!E74</x:f>
        <x:v>BRIDGEPREP ACADEMY OSCEOLA COUNTY</x:v>
      </x:c>
      <x:c r="C74" s="20" t="n">
        <x:v>2025</x:v>
      </x:c>
      <x:c r="D74" s="20" t="str">
        <x:f>FDOE_Grades_2025_Raw!W74</x:f>
        <x:v>C</x:v>
      </x:c>
      <x:c r="E74" s="25">
        <x:f>IF(D74="A",4,IF(D74="B",3,IF(D74="C",2,IF(D74="D",1,IF(D74="F",0,"")))))</x:f>
        <x:v>2</x:v>
      </x:c>
      <x:c r="F74" s="25">
        <x:f>FDOE_Grades_2025_Raw!K74</x:f>
        <x:v>41</x:v>
      </x:c>
      <x:c r="G74" s="25">
        <x:f>FDOE_Grades_2025_Raw!M74</x:f>
        <x:v>43</x:v>
      </x:c>
      <x:c r="H74" s="25">
        <x:f>FDOE_Grades_2025_Raw!L74</x:f>
        <x:v>52</x:v>
      </x:c>
      <x:c r="I74" s="25">
        <x:f>FDOE_Grades_2025_Raw!Q74</x:f>
        <x:v>0</x:v>
      </x:c>
      <x:c r="J74" s="25">
        <x:f>FDOE_Grades_2025_Raw!R74</x:f>
        <x:v>0</x:v>
      </x:c>
      <x:c r="K74" s="25">
        <x:f>IF($A74="","",ROUND((Scoring_Model!$B$9*($E74/4)*100)+(Scoring_Model!$B$10*$F74)+(Scoring_Model!$B$11*$G74)+(Scoring_Model!$B$12*$H74)+(Scoring_Model!$B$13*IF($I74="",0,$I74))+(Scoring_Model!$B$14*IF($J74="",0,$J74)),1))</x:f>
        <x:v>42.7</x:v>
      </x:c>
      <x:c r="L74" s="20" t="inlineStr">
        <x:is>
          <x:t xml:space="preserve">https://www.fldoe.org/file/18534/SchoolGrades25.xlsx</x:t>
        </x:is>
      </x:c>
      <x:c r="M74" s="20" t="inlineStr">
        <x:is>
          <x:t xml:space="preserve">School type Combination; growth field currently uses official ELA learning gains in this starter model.</x:t>
        </x:is>
      </x:c>
    </x:row>
    <x:row r="75">
      <x:c r="A75" s="20" t="str">
        <x:f>FDOE_Grades_2025_Raw!A75</x:f>
        <x:v>490185</x:v>
      </x:c>
      <x:c r="B75" s="20" t="str">
        <x:f>FDOE_Grades_2025_Raw!E75</x:f>
        <x:v>MATER PALMS ACADEMY</x:v>
      </x:c>
      <x:c r="C75" s="20" t="n">
        <x:v>2025</x:v>
      </x:c>
      <x:c r="D75" s="20" t="str">
        <x:f>FDOE_Grades_2025_Raw!W75</x:f>
        <x:v>B</x:v>
      </x:c>
      <x:c r="E75" s="25">
        <x:f>IF(D75="A",4,IF(D75="B",3,IF(D75="C",2,IF(D75="D",1,IF(D75="F",0,"")))))</x:f>
        <x:v>3</x:v>
      </x:c>
      <x:c r="F75" s="25">
        <x:f>FDOE_Grades_2025_Raw!K75</x:f>
        <x:v>61</x:v>
      </x:c>
      <x:c r="G75" s="25">
        <x:f>FDOE_Grades_2025_Raw!M75</x:f>
        <x:v>62</x:v>
      </x:c>
      <x:c r="H75" s="25">
        <x:f>FDOE_Grades_2025_Raw!L75</x:f>
        <x:v>65</x:v>
      </x:c>
      <x:c r="I75" s="25">
        <x:f>FDOE_Grades_2025_Raw!Q75</x:f>
        <x:v>0</x:v>
      </x:c>
      <x:c r="J75" s="25">
        <x:f>FDOE_Grades_2025_Raw!R75</x:f>
        <x:v>0</x:v>
      </x:c>
      <x:c r="K75" s="25">
        <x:f>IF($A75="","",ROUND((Scoring_Model!$B$9*($E75/4)*100)+(Scoring_Model!$B$10*$F75)+(Scoring_Model!$B$11*$G75)+(Scoring_Model!$B$12*$H75)+(Scoring_Model!$B$13*IF($I75="",0,$I75))+(Scoring_Model!$B$14*IF($J75="",0,$J75)),1))</x:f>
        <x:v>62.4</x:v>
      </x:c>
      <x:c r="L75" s="20" t="inlineStr">
        <x:is>
          <x:t xml:space="preserve">https://www.fldoe.org/file/18534/SchoolGrades25.xlsx</x:t>
        </x:is>
      </x:c>
      <x:c r="M75" s="20" t="inlineStr">
        <x:is>
          <x:t xml:space="preserve">School type Combination; growth field currently uses official ELA learning gains in this starter model.</x:t>
        </x:is>
      </x:c>
    </x:row>
    <x:row r="76">
      <x:c r="A76" s="20" t="str">
        <x:f>FDOE_Grades_2025_Raw!A76</x:f>
        <x:v>490191</x:v>
      </x:c>
      <x:c r="B76" s="20" t="str">
        <x:f>FDOE_Grades_2025_Raw!E76</x:f>
        <x:v>RENAISSANCE ACADEMY OF ARTS AND SCIENCES</x:v>
      </x:c>
      <x:c r="C76" s="20" t="n">
        <x:v>2025</x:v>
      </x:c>
      <x:c r="D76" s="20" t="str">
        <x:f>FDOE_Grades_2025_Raw!W76</x:f>
        <x:v>B</x:v>
      </x:c>
      <x:c r="E76" s="25">
        <x:f>IF(D76="A",4,IF(D76="B",3,IF(D76="C",2,IF(D76="D",1,IF(D76="F",0,"")))))</x:f>
        <x:v>3</x:v>
      </x:c>
      <x:c r="F76" s="25">
        <x:f>FDOE_Grades_2025_Raw!K76</x:f>
        <x:v>51</x:v>
      </x:c>
      <x:c r="G76" s="25">
        <x:f>FDOE_Grades_2025_Raw!M76</x:f>
        <x:v>48</x:v>
      </x:c>
      <x:c r="H76" s="25">
        <x:f>FDOE_Grades_2025_Raw!L76</x:f>
        <x:v>61</x:v>
      </x:c>
      <x:c r="I76" s="25">
        <x:f>FDOE_Grades_2025_Raw!Q76</x:f>
        <x:v>0</x:v>
      </x:c>
      <x:c r="J76" s="25">
        <x:f>FDOE_Grades_2025_Raw!R76</x:f>
        <x:v>0</x:v>
      </x:c>
      <x:c r="K76" s="25">
        <x:f>IF($A76="","",ROUND((Scoring_Model!$B$9*($E76/4)*100)+(Scoring_Model!$B$10*$F76)+(Scoring_Model!$B$11*$G76)+(Scoring_Model!$B$12*$H76)+(Scoring_Model!$B$13*IF($I76="",0,$I76))+(Scoring_Model!$B$14*IF($J76="",0,$J76)),1))</x:f>
        <x:v>58.6</x:v>
      </x:c>
      <x:c r="L76" s="20" t="inlineStr">
        <x:is>
          <x:t xml:space="preserve">https://www.fldoe.org/file/18534/SchoolGrades25.xlsx</x:t>
        </x:is>
      </x:c>
      <x:c r="M76" s="20" t="inlineStr">
        <x:is>
          <x:t xml:space="preserve">School type Combination; growth field currently uses official ELA learning gains in this starter model.</x:t>
        </x:is>
      </x:c>
    </x:row>
    <x:row r="77">
      <x:c r="A77" s="20" t="str">
        <x:f>FDOE_Grades_2025_Raw!A77</x:f>
        <x:v>490192</x:v>
      </x:c>
      <x:c r="B77" s="20" t="str">
        <x:f>FDOE_Grades_2025_Raw!E77</x:f>
        <x:v>CREATIVE INSPIRATION JOURNEY SCHOOL OF ST CLOUD</x:v>
      </x:c>
      <x:c r="C77" s="20" t="n">
        <x:v>2025</x:v>
      </x:c>
      <x:c r="D77" s="20" t="str">
        <x:f>FDOE_Grades_2025_Raw!W77</x:f>
        <x:v>C</x:v>
      </x:c>
      <x:c r="E77" s="25">
        <x:f>IF(D77="A",4,IF(D77="B",3,IF(D77="C",2,IF(D77="D",1,IF(D77="F",0,"")))))</x:f>
        <x:v>2</x:v>
      </x:c>
      <x:c r="F77" s="25">
        <x:f>FDOE_Grades_2025_Raw!K77</x:f>
        <x:v>55</x:v>
      </x:c>
      <x:c r="G77" s="25">
        <x:f>FDOE_Grades_2025_Raw!M77</x:f>
        <x:v>42</x:v>
      </x:c>
      <x:c r="H77" s="25">
        <x:f>FDOE_Grades_2025_Raw!L77</x:f>
        <x:v>51</x:v>
      </x:c>
      <x:c r="I77" s="25">
        <x:f>FDOE_Grades_2025_Raw!Q77</x:f>
        <x:v>0</x:v>
      </x:c>
      <x:c r="J77" s="25">
        <x:f>FDOE_Grades_2025_Raw!R77</x:f>
        <x:v>0</x:v>
      </x:c>
      <x:c r="K77" s="25">
        <x:f>IF($A77="","",ROUND((Scoring_Model!$B$9*($E77/4)*100)+(Scoring_Model!$B$10*$F77)+(Scoring_Model!$B$11*$G77)+(Scoring_Model!$B$12*$H77)+(Scoring_Model!$B$13*IF($I77="",0,$I77))+(Scoring_Model!$B$14*IF($J77="",0,$J77)),1))</x:f>
        <x:v>45.3</x:v>
      </x:c>
      <x:c r="L77" s="20" t="inlineStr">
        <x:is>
          <x:t xml:space="preserve">https://www.fldoe.org/file/18534/SchoolGrades25.xlsx</x:t>
        </x:is>
      </x:c>
      <x:c r="M77" s="20" t="inlineStr">
        <x:is>
          <x:t xml:space="preserve">School type Combination; growth field currently uses official ELA learning gains in this starter model.</x:t>
        </x:is>
      </x:c>
    </x:row>
    <x:row r="78">
      <x:c r="A78" s="20" t="str">
        <x:f>FDOE_Grades_2025_Raw!A78</x:f>
        <x:v>490201</x:v>
      </x:c>
      <x:c r="B78" s="20" t="str">
        <x:f>FDOE_Grades_2025_Raw!E78</x:f>
        <x:v>ST. CLOUD HIGH SCHOOL</x:v>
      </x:c>
      <x:c r="C78" s="20" t="n">
        <x:v>2025</x:v>
      </x:c>
      <x:c r="D78" s="20" t="str">
        <x:f>FDOE_Grades_2025_Raw!W78</x:f>
        <x:v>B</x:v>
      </x:c>
      <x:c r="E78" s="25">
        <x:f>IF(D78="A",4,IF(D78="B",3,IF(D78="C",2,IF(D78="D",1,IF(D78="F",0,"")))))</x:f>
        <x:v>3</x:v>
      </x:c>
      <x:c r="F78" s="25">
        <x:f>FDOE_Grades_2025_Raw!K78</x:f>
        <x:v>50</x:v>
      </x:c>
      <x:c r="G78" s="25">
        <x:f>FDOE_Grades_2025_Raw!M78</x:f>
        <x:v>40</x:v>
      </x:c>
      <x:c r="H78" s="25">
        <x:f>FDOE_Grades_2025_Raw!L78</x:f>
        <x:v>53</x:v>
      </x:c>
      <x:c r="I78" s="25">
        <x:f>FDOE_Grades_2025_Raw!Q78</x:f>
        <x:v>94</x:v>
      </x:c>
      <x:c r="J78" s="25">
        <x:f>FDOE_Grades_2025_Raw!R78</x:f>
        <x:v>65</x:v>
      </x:c>
      <x:c r="K78" s="25">
        <x:f>IF($A78="","",ROUND((Scoring_Model!$B$9*($E78/4)*100)+(Scoring_Model!$B$10*$F78)+(Scoring_Model!$B$11*$G78)+(Scoring_Model!$B$12*$H78)+(Scoring_Model!$B$13*IF($I78="",0,$I78))+(Scoring_Model!$B$14*IF($J78="",0,$J78)),1))</x:f>
        <x:v>64.8</x:v>
      </x:c>
      <x:c r="L78" s="20" t="inlineStr">
        <x:is>
          <x:t xml:space="preserve">https://www.fldoe.org/file/18534/SchoolGrades25.xlsx</x:t>
        </x:is>
      </x:c>
      <x:c r="M78" s="20" t="inlineStr">
        <x:is>
          <x:t xml:space="preserve">School type Senior High; growth field currently uses official ELA learning gains in this starter model.</x:t>
        </x:is>
      </x:c>
    </x:row>
    <x:row r="79">
      <x:c r="A79" s="20" t="str">
        <x:f>FDOE_Grades_2025_Raw!A79</x:f>
        <x:v>490202</x:v>
      </x:c>
      <x:c r="B79" s="20" t="str">
        <x:f>FDOE_Grades_2025_Raw!E79</x:f>
        <x:v>MATER ACADEMY AT ST CLOUD</x:v>
      </x:c>
      <x:c r="C79" s="20" t="n">
        <x:v>2025</x:v>
      </x:c>
      <x:c r="D79" s="20" t="str">
        <x:f>FDOE_Grades_2025_Raw!W79</x:f>
        <x:v>A</x:v>
      </x:c>
      <x:c r="E79" s="25">
        <x:f>IF(D79="A",4,IF(D79="B",3,IF(D79="C",2,IF(D79="D",1,IF(D79="F",0,"")))))</x:f>
        <x:v>4</x:v>
      </x:c>
      <x:c r="F79" s="25">
        <x:f>FDOE_Grades_2025_Raw!K79</x:f>
        <x:v>61</x:v>
      </x:c>
      <x:c r="G79" s="25">
        <x:f>FDOE_Grades_2025_Raw!M79</x:f>
        <x:v>57</x:v>
      </x:c>
      <x:c r="H79" s="25">
        <x:f>FDOE_Grades_2025_Raw!L79</x:f>
        <x:v>66</x:v>
      </x:c>
      <x:c r="I79" s="25">
        <x:f>FDOE_Grades_2025_Raw!Q79</x:f>
        <x:v>0</x:v>
      </x:c>
      <x:c r="J79" s="25">
        <x:f>FDOE_Grades_2025_Raw!R79</x:f>
        <x:v>0</x:v>
      </x:c>
      <x:c r="K79" s="25">
        <x:f>IF($A79="","",ROUND((Scoring_Model!$B$9*($E79/4)*100)+(Scoring_Model!$B$10*$F79)+(Scoring_Model!$B$11*$G79)+(Scoring_Model!$B$12*$H79)+(Scoring_Model!$B$13*IF($I79="",0,$I79))+(Scoring_Model!$B$14*IF($J79="",0,$J79)),1))</x:f>
        <x:v>74.5</x:v>
      </x:c>
      <x:c r="L79" s="20" t="inlineStr">
        <x:is>
          <x:t xml:space="preserve">https://www.fldoe.org/file/18534/SchoolGrades25.xlsx</x:t>
        </x:is>
      </x:c>
      <x:c r="M79" s="20" t="inlineStr">
        <x:is>
          <x:t xml:space="preserve">School type Combination; growth field currently uses official ELA learning gains in this starter model.</x:t>
        </x:is>
      </x:c>
    </x:row>
    <x:row r="80">
      <x:c r="A80" s="20" t="str">
        <x:f>FDOE_Grades_2025_Raw!A80</x:f>
        <x:v>490203</x:v>
      </x:c>
      <x:c r="B80" s="20" t="str">
        <x:f>FDOE_Grades_2025_Raw!E80</x:f>
        <x:v>VICTORY CHARTER SCHOOL K-5</x:v>
      </x:c>
      <x:c r="C80" s="20" t="n">
        <x:v>2025</x:v>
      </x:c>
      <x:c r="D80" s="20" t="str">
        <x:f>FDOE_Grades_2025_Raw!W80</x:f>
        <x:v>C</x:v>
      </x:c>
      <x:c r="E80" s="25">
        <x:f>IF(D80="A",4,IF(D80="B",3,IF(D80="C",2,IF(D80="D",1,IF(D80="F",0,"")))))</x:f>
        <x:v>2</x:v>
      </x:c>
      <x:c r="F80" s="25">
        <x:f>FDOE_Grades_2025_Raw!K80</x:f>
        <x:v>43</x:v>
      </x:c>
      <x:c r="G80" s="25">
        <x:f>FDOE_Grades_2025_Raw!M80</x:f>
        <x:v>38</x:v>
      </x:c>
      <x:c r="H80" s="25">
        <x:f>FDOE_Grades_2025_Raw!L80</x:f>
        <x:v>54</x:v>
      </x:c>
      <x:c r="I80" s="25">
        <x:f>FDOE_Grades_2025_Raw!Q80</x:f>
        <x:v>0</x:v>
      </x:c>
      <x:c r="J80" s="25">
        <x:f>FDOE_Grades_2025_Raw!R80</x:f>
        <x:v>0</x:v>
      </x:c>
      <x:c r="K80" s="25">
        <x:f>IF($A80="","",ROUND((Scoring_Model!$B$9*($E80/4)*100)+(Scoring_Model!$B$10*$F80)+(Scoring_Model!$B$11*$G80)+(Scoring_Model!$B$12*$H80)+(Scoring_Model!$B$13*IF($I80="",0,$I80))+(Scoring_Model!$B$14*IF($J80="",0,$J80)),1))</x:f>
        <x:v>42.8</x:v>
      </x:c>
      <x:c r="L80" s="20" t="inlineStr">
        <x:is>
          <x:t xml:space="preserve">https://www.fldoe.org/file/18534/SchoolGrades25.xlsx</x:t>
        </x:is>
      </x:c>
      <x:c r="M80" s="20" t="inlineStr">
        <x:is>
          <x:t xml:space="preserve">School type Elementary; growth field currently uses official ELA learning gains in this starter model.</x:t>
        </x:is>
      </x:c>
    </x:row>
    <x:row r="81">
      <x:c r="A81" s="20" t="str">
        <x:f>FDOE_Grades_2025_Raw!A81</x:f>
        <x:v>490251</x:v>
      </x:c>
      <x:c r="B81" s="20" t="str">
        <x:f>FDOE_Grades_2025_Raw!E81</x:f>
        <x:v>KISSIMMEE MIDDLE SCHOOL</x:v>
      </x:c>
      <x:c r="C81" s="20" t="n">
        <x:v>2025</x:v>
      </x:c>
      <x:c r="D81" s="20" t="str">
        <x:f>FDOE_Grades_2025_Raw!W81</x:f>
        <x:v>B</x:v>
      </x:c>
      <x:c r="E81" s="25">
        <x:f>IF(D81="A",4,IF(D81="B",3,IF(D81="C",2,IF(D81="D",1,IF(D81="F",0,"")))))</x:f>
        <x:v>3</x:v>
      </x:c>
      <x:c r="F81" s="25">
        <x:f>FDOE_Grades_2025_Raw!K81</x:f>
        <x:v>42</x:v>
      </x:c>
      <x:c r="G81" s="25">
        <x:f>FDOE_Grades_2025_Raw!M81</x:f>
        <x:v>50</x:v>
      </x:c>
      <x:c r="H81" s="25">
        <x:f>FDOE_Grades_2025_Raw!L81</x:f>
        <x:v>58</x:v>
      </x:c>
      <x:c r="I81" s="25">
        <x:f>FDOE_Grades_2025_Raw!Q81</x:f>
        <x:v>0</x:v>
      </x:c>
      <x:c r="J81" s="25">
        <x:f>FDOE_Grades_2025_Raw!R81</x:f>
        <x:v>0</x:v>
      </x:c>
      <x:c r="K81" s="25">
        <x:f>IF($A81="","",ROUND((Scoring_Model!$B$9*($E81/4)*100)+(Scoring_Model!$B$10*$F81)+(Scoring_Model!$B$11*$G81)+(Scoring_Model!$B$12*$H81)+(Scoring_Model!$B$13*IF($I81="",0,$I81))+(Scoring_Model!$B$14*IF($J81="",0,$J81)),1))</x:f>
        <x:v>56.7</x:v>
      </x:c>
      <x:c r="L81" s="20" t="inlineStr">
        <x:is>
          <x:t xml:space="preserve">https://www.fldoe.org/file/18534/SchoolGrades25.xlsx</x:t>
        </x:is>
      </x:c>
      <x:c r="M81" s="20" t="inlineStr">
        <x:is>
          <x:t xml:space="preserve">School type Middle/Junior; growth field currently uses official ELA learning gains in this starter model.</x:t>
        </x:is>
      </x:c>
    </x:row>
    <x:row r="82">
      <x:c r="A82" s="20" t="str">
        <x:f>FDOE_Grades_2025_Raw!A82</x:f>
        <x:v>490252</x:v>
      </x:c>
      <x:c r="B82" s="20" t="str">
        <x:f>FDOE_Grades_2025_Raw!E82</x:f>
        <x:v>HARMONY MIDDLE SCHOOL</x:v>
      </x:c>
      <x:c r="C82" s="20" t="n">
        <x:v>2025</x:v>
      </x:c>
      <x:c r="D82" s="20" t="str">
        <x:f>FDOE_Grades_2025_Raw!W82</x:f>
        <x:v>A</x:v>
      </x:c>
      <x:c r="E82" s="25">
        <x:f>IF(D82="A",4,IF(D82="B",3,IF(D82="C",2,IF(D82="D",1,IF(D82="F",0,"")))))</x:f>
        <x:v>4</x:v>
      </x:c>
      <x:c r="F82" s="25">
        <x:f>FDOE_Grades_2025_Raw!K82</x:f>
        <x:v>60</x:v>
      </x:c>
      <x:c r="G82" s="25">
        <x:f>FDOE_Grades_2025_Raw!M82</x:f>
        <x:v>64</x:v>
      </x:c>
      <x:c r="H82" s="25">
        <x:f>FDOE_Grades_2025_Raw!L82</x:f>
        <x:v>58</x:v>
      </x:c>
      <x:c r="I82" s="25">
        <x:f>FDOE_Grades_2025_Raw!Q82</x:f>
        <x:v>0</x:v>
      </x:c>
      <x:c r="J82" s="25">
        <x:f>FDOE_Grades_2025_Raw!R82</x:f>
        <x:v>0</x:v>
      </x:c>
      <x:c r="K82" s="25">
        <x:f>IF($A82="","",ROUND((Scoring_Model!$B$9*($E82/4)*100)+(Scoring_Model!$B$10*$F82)+(Scoring_Model!$B$11*$G82)+(Scoring_Model!$B$12*$H82)+(Scoring_Model!$B$13*IF($I82="",0,$I82))+(Scoring_Model!$B$14*IF($J82="",0,$J82)),1))</x:f>
        <x:v>74.2</x:v>
      </x:c>
      <x:c r="L82" s="20" t="inlineStr">
        <x:is>
          <x:t xml:space="preserve">https://www.fldoe.org/file/18534/SchoolGrades25.xlsx</x:t>
        </x:is>
      </x:c>
      <x:c r="M82" s="20" t="inlineStr">
        <x:is>
          <x:t xml:space="preserve">School type Middle/Junior; growth field currently uses official ELA learning gains in this starter model.</x:t>
        </x:is>
      </x:c>
    </x:row>
    <x:row r="83">
      <x:c r="A83" s="20" t="str">
        <x:f>FDOE_Grades_2025_Raw!A83</x:f>
        <x:v>490271</x:v>
      </x:c>
      <x:c r="B83" s="20" t="str">
        <x:f>FDOE_Grades_2025_Raw!E83</x:f>
        <x:v>MICHIGAN AVENUE ELEMENTARY SCHOOL</x:v>
      </x:c>
      <x:c r="C83" s="20" t="n">
        <x:v>2025</x:v>
      </x:c>
      <x:c r="D83" s="20" t="str">
        <x:f>FDOE_Grades_2025_Raw!W83</x:f>
        <x:v>B</x:v>
      </x:c>
      <x:c r="E83" s="25">
        <x:f>IF(D83="A",4,IF(D83="B",3,IF(D83="C",2,IF(D83="D",1,IF(D83="F",0,"")))))</x:f>
        <x:v>3</x:v>
      </x:c>
      <x:c r="F83" s="25">
        <x:f>FDOE_Grades_2025_Raw!K83</x:f>
        <x:v>53</x:v>
      </x:c>
      <x:c r="G83" s="25">
        <x:f>FDOE_Grades_2025_Raw!M83</x:f>
        <x:v>59</x:v>
      </x:c>
      <x:c r="H83" s="25">
        <x:f>FDOE_Grades_2025_Raw!L83</x:f>
        <x:v>65</x:v>
      </x:c>
      <x:c r="I83" s="25">
        <x:f>FDOE_Grades_2025_Raw!Q83</x:f>
        <x:v>0</x:v>
      </x:c>
      <x:c r="J83" s="25">
        <x:f>FDOE_Grades_2025_Raw!R83</x:f>
        <x:v>0</x:v>
      </x:c>
      <x:c r="K83" s="25">
        <x:f>IF($A83="","",ROUND((Scoring_Model!$B$9*($E83/4)*100)+(Scoring_Model!$B$10*$F83)+(Scoring_Model!$B$11*$G83)+(Scoring_Model!$B$12*$H83)+(Scoring_Model!$B$13*IF($I83="",0,$I83))+(Scoring_Model!$B$14*IF($J83="",0,$J83)),1))</x:f>
        <x:v>60.5</x:v>
      </x:c>
      <x:c r="L83" s="20" t="inlineStr">
        <x:is>
          <x:t xml:space="preserve">https://www.fldoe.org/file/18534/SchoolGrades25.xlsx</x:t>
        </x:is>
      </x:c>
      <x:c r="M83" s="20" t="inlineStr">
        <x:is>
          <x:t xml:space="preserve">School type Elementary; growth field currently uses official ELA learning gains in this starter model.</x:t>
        </x:is>
      </x:c>
    </x:row>
    <x:row r="84">
      <x:c r="A84" s="20" t="str">
        <x:f>FDOE_Grades_2025_Raw!A84</x:f>
        <x:v>490272</x:v>
      </x:c>
      <x:c r="B84" s="20" t="str">
        <x:f>FDOE_Grades_2025_Raw!E84</x:f>
        <x:v>ST. CLOUD MIDDLE SCHOOL</x:v>
      </x:c>
      <x:c r="C84" s="20" t="n">
        <x:v>2025</x:v>
      </x:c>
      <x:c r="D84" s="20" t="str">
        <x:f>FDOE_Grades_2025_Raw!W84</x:f>
        <x:v>A</x:v>
      </x:c>
      <x:c r="E84" s="25">
        <x:f>IF(D84="A",4,IF(D84="B",3,IF(D84="C",2,IF(D84="D",1,IF(D84="F",0,"")))))</x:f>
        <x:v>4</x:v>
      </x:c>
      <x:c r="F84" s="25">
        <x:f>FDOE_Grades_2025_Raw!K84</x:f>
        <x:v>59</x:v>
      </x:c>
      <x:c r="G84" s="25">
        <x:f>FDOE_Grades_2025_Raw!M84</x:f>
        <x:v>67</x:v>
      </x:c>
      <x:c r="H84" s="25">
        <x:f>FDOE_Grades_2025_Raw!L84</x:f>
        <x:v>61</x:v>
      </x:c>
      <x:c r="I84" s="25">
        <x:f>FDOE_Grades_2025_Raw!Q84</x:f>
        <x:v>0</x:v>
      </x:c>
      <x:c r="J84" s="25">
        <x:f>FDOE_Grades_2025_Raw!R84</x:f>
        <x:v>0</x:v>
      </x:c>
      <x:c r="K84" s="25">
        <x:f>IF($A84="","",ROUND((Scoring_Model!$B$9*($E84/4)*100)+(Scoring_Model!$B$10*$F84)+(Scoring_Model!$B$11*$G84)+(Scoring_Model!$B$12*$H84)+(Scoring_Model!$B$13*IF($I84="",0,$I84))+(Scoring_Model!$B$14*IF($J84="",0,$J84)),1))</x:f>
        <x:v>74.6</x:v>
      </x:c>
      <x:c r="L84" s="20" t="inlineStr">
        <x:is>
          <x:t xml:space="preserve">https://www.fldoe.org/file/18534/SchoolGrades25.xlsx</x:t>
        </x:is>
      </x:c>
      <x:c r="M84" s="20" t="inlineStr">
        <x:is>
          <x:t xml:space="preserve">School type Middle/Junior; growth field currently uses official ELA learning gains in this starter model.</x:t>
        </x:is>
      </x:c>
    </x:row>
    <x:row r="85">
      <x:c r="A85" s="20" t="str">
        <x:f>FDOE_Grades_2025_Raw!A85</x:f>
        <x:v>490300</x:v>
      </x:c>
      <x:c r="B85" s="20" t="str">
        <x:f>FDOE_Grades_2025_Raw!E85</x:f>
        <x:v>KOA ELEMENTARY SCHOOL</x:v>
      </x:c>
      <x:c r="C85" s="20" t="n">
        <x:v>2025</x:v>
      </x:c>
      <x:c r="D85" s="20" t="str">
        <x:f>FDOE_Grades_2025_Raw!W85</x:f>
        <x:v>C</x:v>
      </x:c>
      <x:c r="E85" s="25">
        <x:f>IF(D85="A",4,IF(D85="B",3,IF(D85="C",2,IF(D85="D",1,IF(D85="F",0,"")))))</x:f>
        <x:v>2</x:v>
      </x:c>
      <x:c r="F85" s="25">
        <x:f>FDOE_Grades_2025_Raw!K85</x:f>
        <x:v>40</x:v>
      </x:c>
      <x:c r="G85" s="25">
        <x:f>FDOE_Grades_2025_Raw!M85</x:f>
        <x:v>37</x:v>
      </x:c>
      <x:c r="H85" s="25">
        <x:f>FDOE_Grades_2025_Raw!L85</x:f>
        <x:v>50</x:v>
      </x:c>
      <x:c r="I85" s="25">
        <x:f>FDOE_Grades_2025_Raw!Q85</x:f>
        <x:v>0</x:v>
      </x:c>
      <x:c r="J85" s="25">
        <x:f>FDOE_Grades_2025_Raw!R85</x:f>
        <x:v>0</x:v>
      </x:c>
      <x:c r="K85" s="25">
        <x:f>IF($A85="","",ROUND((Scoring_Model!$B$9*($E85/4)*100)+(Scoring_Model!$B$10*$F85)+(Scoring_Model!$B$11*$G85)+(Scoring_Model!$B$12*$H85)+(Scoring_Model!$B$13*IF($I85="",0,$I85))+(Scoring_Model!$B$14*IF($J85="",0,$J85)),1))</x:f>
        <x:v>41.7</x:v>
      </x:c>
      <x:c r="L85" s="20" t="inlineStr">
        <x:is>
          <x:t xml:space="preserve">https://www.fldoe.org/file/18534/SchoolGrades25.xlsx</x:t>
        </x:is>
      </x:c>
      <x:c r="M85" s="20" t="inlineStr">
        <x:is>
          <x:t xml:space="preserve">School type Elementary; growth field currently uses official ELA learning gains in this starter model.</x:t>
        </x:is>
      </x:c>
    </x:row>
    <x:row r="86">
      <x:c r="A86" s="20" t="str">
        <x:f>FDOE_Grades_2025_Raw!A86</x:f>
        <x:v>490301</x:v>
      </x:c>
      <x:c r="B86" s="20" t="str">
        <x:f>FDOE_Grades_2025_Raw!E86</x:f>
        <x:v>REEDY CREEK ELEMENTARY SCHOOL</x:v>
      </x:c>
      <x:c r="C86" s="20" t="n">
        <x:v>2025</x:v>
      </x:c>
      <x:c r="D86" s="20" t="str">
        <x:f>FDOE_Grades_2025_Raw!W86</x:f>
        <x:v>B</x:v>
      </x:c>
      <x:c r="E86" s="25">
        <x:f>IF(D86="A",4,IF(D86="B",3,IF(D86="C",2,IF(D86="D",1,IF(D86="F",0,"")))))</x:f>
        <x:v>3</x:v>
      </x:c>
      <x:c r="F86" s="25">
        <x:f>FDOE_Grades_2025_Raw!K86</x:f>
        <x:v>62</x:v>
      </x:c>
      <x:c r="G86" s="25">
        <x:f>FDOE_Grades_2025_Raw!M86</x:f>
        <x:v>47</x:v>
      </x:c>
      <x:c r="H86" s="25">
        <x:f>FDOE_Grades_2025_Raw!L86</x:f>
        <x:v>63</x:v>
      </x:c>
      <x:c r="I86" s="25">
        <x:f>FDOE_Grades_2025_Raw!Q86</x:f>
        <x:v>0</x:v>
      </x:c>
      <x:c r="J86" s="25">
        <x:f>FDOE_Grades_2025_Raw!R86</x:f>
        <x:v>0</x:v>
      </x:c>
      <x:c r="K86" s="25">
        <x:f>IF($A86="","",ROUND((Scoring_Model!$B$9*($E86/4)*100)+(Scoring_Model!$B$10*$F86)+(Scoring_Model!$B$11*$G86)+(Scoring_Model!$B$12*$H86)+(Scoring_Model!$B$13*IF($I86="",0,$I86))+(Scoring_Model!$B$14*IF($J86="",0,$J86)),1))</x:f>
        <x:v>60.9</x:v>
      </x:c>
      <x:c r="L86" s="20" t="inlineStr">
        <x:is>
          <x:t xml:space="preserve">https://www.fldoe.org/file/18534/SchoolGrades25.xlsx</x:t>
        </x:is>
      </x:c>
      <x:c r="M86" s="20" t="inlineStr">
        <x:is>
          <x:t xml:space="preserve">School type Elementary; growth field currently uses official ELA learning gains in this starter model.</x:t>
        </x:is>
      </x:c>
    </x:row>
    <x:row r="87">
      <x:c r="A87" s="20" t="str">
        <x:f>FDOE_Grades_2025_Raw!A87</x:f>
        <x:v>490302</x:v>
      </x:c>
      <x:c r="B87" s="20" t="str">
        <x:f>FDOE_Grades_2025_Raw!E87</x:f>
        <x:v>WESTSIDE K-8 SCHOOL</x:v>
      </x:c>
      <x:c r="C87" s="20" t="n">
        <x:v>2025</x:v>
      </x:c>
      <x:c r="D87" s="20" t="str">
        <x:f>FDOE_Grades_2025_Raw!W87</x:f>
        <x:v>B</x:v>
      </x:c>
      <x:c r="E87" s="25">
        <x:f>IF(D87="A",4,IF(D87="B",3,IF(D87="C",2,IF(D87="D",1,IF(D87="F",0,"")))))</x:f>
        <x:v>3</x:v>
      </x:c>
      <x:c r="F87" s="25">
        <x:f>FDOE_Grades_2025_Raw!K87</x:f>
        <x:v>51</x:v>
      </x:c>
      <x:c r="G87" s="25">
        <x:f>FDOE_Grades_2025_Raw!M87</x:f>
        <x:v>50</x:v>
      </x:c>
      <x:c r="H87" s="25">
        <x:f>FDOE_Grades_2025_Raw!L87</x:f>
        <x:v>58</x:v>
      </x:c>
      <x:c r="I87" s="25">
        <x:f>FDOE_Grades_2025_Raw!Q87</x:f>
        <x:v>0</x:v>
      </x:c>
      <x:c r="J87" s="25">
        <x:f>FDOE_Grades_2025_Raw!R87</x:f>
        <x:v>0</x:v>
      </x:c>
      <x:c r="K87" s="25">
        <x:f>IF($A87="","",ROUND((Scoring_Model!$B$9*($E87/4)*100)+(Scoring_Model!$B$10*$F87)+(Scoring_Model!$B$11*$G87)+(Scoring_Model!$B$12*$H87)+(Scoring_Model!$B$13*IF($I87="",0,$I87))+(Scoring_Model!$B$14*IF($J87="",0,$J87)),1))</x:f>
        <x:v>58.5</x:v>
      </x:c>
      <x:c r="L87" s="20" t="inlineStr">
        <x:is>
          <x:t xml:space="preserve">https://www.fldoe.org/file/18534/SchoolGrades25.xlsx</x:t>
        </x:is>
      </x:c>
      <x:c r="M87" s="20" t="inlineStr">
        <x:is>
          <x:t xml:space="preserve">School type Combination; growth field currently uses official ELA learning gains in this starter model.</x:t>
        </x:is>
      </x:c>
    </x:row>
    <x:row r="88">
      <x:c r="A88" s="20" t="str">
        <x:f>FDOE_Grades_2025_Raw!A88</x:f>
        <x:v>490311</x:v>
      </x:c>
      <x:c r="B88" s="20" t="str">
        <x:f>FDOE_Grades_2025_Raw!E88</x:f>
        <x:v>NEPTUNE MIDDLE SCHOOL</x:v>
      </x:c>
      <x:c r="C88" s="20" t="n">
        <x:v>2025</x:v>
      </x:c>
      <x:c r="D88" s="20" t="str">
        <x:f>FDOE_Grades_2025_Raw!W88</x:f>
        <x:v>A</x:v>
      </x:c>
      <x:c r="E88" s="25">
        <x:f>IF(D88="A",4,IF(D88="B",3,IF(D88="C",2,IF(D88="D",1,IF(D88="F",0,"")))))</x:f>
        <x:v>4</x:v>
      </x:c>
      <x:c r="F88" s="25">
        <x:f>FDOE_Grades_2025_Raw!K88</x:f>
        <x:v>56</x:v>
      </x:c>
      <x:c r="G88" s="25">
        <x:f>FDOE_Grades_2025_Raw!M88</x:f>
        <x:v>65</x:v>
      </x:c>
      <x:c r="H88" s="25">
        <x:f>FDOE_Grades_2025_Raw!L88</x:f>
        <x:v>62</x:v>
      </x:c>
      <x:c r="I88" s="25">
        <x:f>FDOE_Grades_2025_Raw!Q88</x:f>
        <x:v>0</x:v>
      </x:c>
      <x:c r="J88" s="25">
        <x:f>FDOE_Grades_2025_Raw!R88</x:f>
        <x:v>0</x:v>
      </x:c>
      <x:c r="K88" s="25">
        <x:f>IF($A88="","",ROUND((Scoring_Model!$B$9*($E88/4)*100)+(Scoring_Model!$B$10*$F88)+(Scoring_Model!$B$11*$G88)+(Scoring_Model!$B$12*$H88)+(Scoring_Model!$B$13*IF($I88="",0,$I88))+(Scoring_Model!$B$14*IF($J88="",0,$J88)),1))</x:f>
        <x:v>73.9</x:v>
      </x:c>
      <x:c r="L88" s="20" t="inlineStr">
        <x:is>
          <x:t xml:space="preserve">https://www.fldoe.org/file/18534/SchoolGrades25.xlsx</x:t>
        </x:is>
      </x:c>
      <x:c r="M88" s="20" t="inlineStr">
        <x:is>
          <x:t xml:space="preserve">School type Middle/Junior; growth field currently uses official ELA learning gains in this starter model.</x:t>
        </x:is>
      </x:c>
    </x:row>
    <x:row r="89">
      <x:c r="A89" s="20" t="str">
        <x:f>FDOE_Grades_2025_Raw!A89</x:f>
        <x:v>490321</x:v>
      </x:c>
      <x:c r="B89" s="20" t="str">
        <x:f>FDOE_Grades_2025_Raw!E89</x:f>
        <x:v>VENTURA ELEMENTARY SCHOOL</x:v>
      </x:c>
      <x:c r="C89" s="20" t="n">
        <x:v>2025</x:v>
      </x:c>
      <x:c r="D89" s="20" t="str">
        <x:f>FDOE_Grades_2025_Raw!W89</x:f>
        <x:v>C</x:v>
      </x:c>
      <x:c r="E89" s="25">
        <x:f>IF(D89="A",4,IF(D89="B",3,IF(D89="C",2,IF(D89="D",1,IF(D89="F",0,"")))))</x:f>
        <x:v>2</x:v>
      </x:c>
      <x:c r="F89" s="25">
        <x:f>FDOE_Grades_2025_Raw!K89</x:f>
        <x:v>48</x:v>
      </x:c>
      <x:c r="G89" s="25">
        <x:f>FDOE_Grades_2025_Raw!M89</x:f>
        <x:v>49</x:v>
      </x:c>
      <x:c r="H89" s="25">
        <x:f>FDOE_Grades_2025_Raw!L89</x:f>
        <x:v>54</x:v>
      </x:c>
      <x:c r="I89" s="25">
        <x:f>FDOE_Grades_2025_Raw!Q89</x:f>
        <x:v>0</x:v>
      </x:c>
      <x:c r="J89" s="25">
        <x:f>FDOE_Grades_2025_Raw!R89</x:f>
        <x:v>0</x:v>
      </x:c>
      <x:c r="K89" s="25">
        <x:f>IF($A89="","",ROUND((Scoring_Model!$B$9*($E89/4)*100)+(Scoring_Model!$B$10*$F89)+(Scoring_Model!$B$11*$G89)+(Scoring_Model!$B$12*$H89)+(Scoring_Model!$B$13*IF($I89="",0,$I89))+(Scoring_Model!$B$14*IF($J89="",0,$J89)),1))</x:f>
        <x:v>44.9</x:v>
      </x:c>
      <x:c r="L89" s="20" t="inlineStr">
        <x:is>
          <x:t xml:space="preserve">https://www.fldoe.org/file/18534/SchoolGrades25.xlsx</x:t>
        </x:is>
      </x:c>
      <x:c r="M89" s="20" t="inlineStr">
        <x:is>
          <x:t xml:space="preserve">School type Elementary; growth field currently uses official ELA learning gains in this starter model.</x:t>
        </x:is>
      </x:c>
    </x:row>
    <x:row r="90">
      <x:c r="A90" s="20" t="str">
        <x:f>FDOE_Grades_2025_Raw!A90</x:f>
        <x:v>490341</x:v>
      </x:c>
      <x:c r="B90" s="20" t="str">
        <x:f>FDOE_Grades_2025_Raw!E90</x:f>
        <x:v>HORIZON MIDDLE SCHOOL</x:v>
      </x:c>
      <x:c r="C90" s="20" t="n">
        <x:v>2025</x:v>
      </x:c>
      <x:c r="D90" s="20" t="str">
        <x:f>FDOE_Grades_2025_Raw!W90</x:f>
        <x:v>B</x:v>
      </x:c>
      <x:c r="E90" s="25">
        <x:f>IF(D90="A",4,IF(D90="B",3,IF(D90="C",2,IF(D90="D",1,IF(D90="F",0,"")))))</x:f>
        <x:v>3</x:v>
      </x:c>
      <x:c r="F90" s="25">
        <x:f>FDOE_Grades_2025_Raw!K90</x:f>
        <x:v>46</x:v>
      </x:c>
      <x:c r="G90" s="25">
        <x:f>FDOE_Grades_2025_Raw!M90</x:f>
        <x:v>56</x:v>
      </x:c>
      <x:c r="H90" s="25">
        <x:f>FDOE_Grades_2025_Raw!L90</x:f>
        <x:v>54</x:v>
      </x:c>
      <x:c r="I90" s="25">
        <x:f>FDOE_Grades_2025_Raw!Q90</x:f>
        <x:v>0</x:v>
      </x:c>
      <x:c r="J90" s="25">
        <x:f>FDOE_Grades_2025_Raw!R90</x:f>
        <x:v>0</x:v>
      </x:c>
      <x:c r="K90" s="25">
        <x:f>IF($A90="","",ROUND((Scoring_Model!$B$9*($E90/4)*100)+(Scoring_Model!$B$10*$F90)+(Scoring_Model!$B$11*$G90)+(Scoring_Model!$B$12*$H90)+(Scoring_Model!$B$13*IF($I90="",0,$I90))+(Scoring_Model!$B$14*IF($J90="",0,$J90)),1))</x:f>
        <x:v>57.7</x:v>
      </x:c>
      <x:c r="L90" s="20" t="inlineStr">
        <x:is>
          <x:t xml:space="preserve">https://www.fldoe.org/file/18534/SchoolGrades25.xlsx</x:t>
        </x:is>
      </x:c>
      <x:c r="M90" s="20" t="inlineStr">
        <x:is>
          <x:t xml:space="preserve">School type Middle/Junior; growth field currently uses official ELA learning gains in this starter model.</x:t>
        </x:is>
      </x:c>
    </x:row>
    <x:row r="91">
      <x:c r="A91" s="20" t="str">
        <x:f>FDOE_Grades_2025_Raw!A91</x:f>
        <x:v>490401</x:v>
      </x:c>
      <x:c r="B91" s="20" t="str">
        <x:f>FDOE_Grades_2025_Raw!E91</x:f>
        <x:v>BOGGY CREEK ELEMENTARY SCHOOL</x:v>
      </x:c>
      <x:c r="C91" s="20" t="n">
        <x:v>2025</x:v>
      </x:c>
      <x:c r="D91" s="20" t="str">
        <x:f>FDOE_Grades_2025_Raw!W91</x:f>
        <x:v>C</x:v>
      </x:c>
      <x:c r="E91" s="25">
        <x:f>IF(D91="A",4,IF(D91="B",3,IF(D91="C",2,IF(D91="D",1,IF(D91="F",0,"")))))</x:f>
        <x:v>2</x:v>
      </x:c>
      <x:c r="F91" s="25">
        <x:f>FDOE_Grades_2025_Raw!K91</x:f>
        <x:v>45</x:v>
      </x:c>
      <x:c r="G91" s="25">
        <x:f>FDOE_Grades_2025_Raw!M91</x:f>
        <x:v>41</x:v>
      </x:c>
      <x:c r="H91" s="25">
        <x:f>FDOE_Grades_2025_Raw!L91</x:f>
        <x:v>61</x:v>
      </x:c>
      <x:c r="I91" s="25">
        <x:f>FDOE_Grades_2025_Raw!Q91</x:f>
        <x:v>0</x:v>
      </x:c>
      <x:c r="J91" s="25">
        <x:f>FDOE_Grades_2025_Raw!R91</x:f>
        <x:v>0</x:v>
      </x:c>
      <x:c r="K91" s="25">
        <x:f>IF($A91="","",ROUND((Scoring_Model!$B$9*($E91/4)*100)+(Scoring_Model!$B$10*$F91)+(Scoring_Model!$B$11*$G91)+(Scoring_Model!$B$12*$H91)+(Scoring_Model!$B$13*IF($I91="",0,$I91))+(Scoring_Model!$B$14*IF($J91="",0,$J91)),1))</x:f>
        <x:v>44.2</x:v>
      </x:c>
      <x:c r="L91" s="20" t="inlineStr">
        <x:is>
          <x:t xml:space="preserve">https://www.fldoe.org/file/18534/SchoolGrades25.xlsx</x:t>
        </x:is>
      </x:c>
      <x:c r="M91" s="20" t="inlineStr">
        <x:is>
          <x:t xml:space="preserve">School type Elementary; growth field currently uses official ELA learning gains in this starter model.</x:t>
        </x:is>
      </x:c>
    </x:row>
    <x:row r="92">
      <x:c r="A92" s="20" t="str">
        <x:f>FDOE_Grades_2025_Raw!A92</x:f>
        <x:v>490501</x:v>
      </x:c>
      <x:c r="B92" s="20" t="str">
        <x:f>FDOE_Grades_2025_Raw!E92</x:f>
        <x:v>HICKORY TREE ELEMENTARY SCHOOL</x:v>
      </x:c>
      <x:c r="C92" s="20" t="n">
        <x:v>2025</x:v>
      </x:c>
      <x:c r="D92" s="20" t="str">
        <x:f>FDOE_Grades_2025_Raw!W92</x:f>
        <x:v>B</x:v>
      </x:c>
      <x:c r="E92" s="25">
        <x:f>IF(D92="A",4,IF(D92="B",3,IF(D92="C",2,IF(D92="D",1,IF(D92="F",0,"")))))</x:f>
        <x:v>3</x:v>
      </x:c>
      <x:c r="F92" s="25">
        <x:f>FDOE_Grades_2025_Raw!K92</x:f>
        <x:v>60</x:v>
      </x:c>
      <x:c r="G92" s="25">
        <x:f>FDOE_Grades_2025_Raw!M92</x:f>
        <x:v>62</x:v>
      </x:c>
      <x:c r="H92" s="25">
        <x:f>FDOE_Grades_2025_Raw!L92</x:f>
        <x:v>57</x:v>
      </x:c>
      <x:c r="I92" s="25">
        <x:f>FDOE_Grades_2025_Raw!Q92</x:f>
        <x:v>0</x:v>
      </x:c>
      <x:c r="J92" s="25">
        <x:f>FDOE_Grades_2025_Raw!R92</x:f>
        <x:v>0</x:v>
      </x:c>
      <x:c r="K92" s="25">
        <x:f>IF($A92="","",ROUND((Scoring_Model!$B$9*($E92/4)*100)+(Scoring_Model!$B$10*$F92)+(Scoring_Model!$B$11*$G92)+(Scoring_Model!$B$12*$H92)+(Scoring_Model!$B$13*IF($I92="",0,$I92))+(Scoring_Model!$B$14*IF($J92="",0,$J92)),1))</x:f>
        <x:v>61.4</x:v>
      </x:c>
      <x:c r="L92" s="20" t="inlineStr">
        <x:is>
          <x:t xml:space="preserve">https://www.fldoe.org/file/18534/SchoolGrades25.xlsx</x:t>
        </x:is>
      </x:c>
      <x:c r="M92" s="20" t="inlineStr">
        <x:is>
          <x:t xml:space="preserve">School type Elementary; growth field currently uses official ELA learning gains in this starter model.</x:t>
        </x:is>
      </x:c>
    </x:row>
    <x:row r="93">
      <x:c r="A93" s="20" t="str">
        <x:f>FDOE_Grades_2025_Raw!A93</x:f>
        <x:v>490601</x:v>
      </x:c>
      <x:c r="B93" s="20" t="str">
        <x:f>FDOE_Grades_2025_Raw!E93</x:f>
        <x:v>GATEWAY HIGH SCHOOL</x:v>
      </x:c>
      <x:c r="C93" s="20" t="n">
        <x:v>2025</x:v>
      </x:c>
      <x:c r="D93" s="20" t="str">
        <x:f>FDOE_Grades_2025_Raw!W93</x:f>
        <x:v>A</x:v>
      </x:c>
      <x:c r="E93" s="25">
        <x:f>IF(D93="A",4,IF(D93="B",3,IF(D93="C",2,IF(D93="D",1,IF(D93="F",0,"")))))</x:f>
        <x:v>4</x:v>
      </x:c>
      <x:c r="F93" s="25">
        <x:f>FDOE_Grades_2025_Raw!K93</x:f>
        <x:v>59</x:v>
      </x:c>
      <x:c r="G93" s="25">
        <x:f>FDOE_Grades_2025_Raw!M93</x:f>
        <x:v>43</x:v>
      </x:c>
      <x:c r="H93" s="25">
        <x:f>FDOE_Grades_2025_Raw!L93</x:f>
        <x:v>64</x:v>
      </x:c>
      <x:c r="I93" s="25">
        <x:f>FDOE_Grades_2025_Raw!Q93</x:f>
        <x:v>94</x:v>
      </x:c>
      <x:c r="J93" s="25">
        <x:f>FDOE_Grades_2025_Raw!R93</x:f>
        <x:v>52</x:v>
      </x:c>
      <x:c r="K93" s="25">
        <x:f>IF($A93="","",ROUND((Scoring_Model!$B$9*($E93/4)*100)+(Scoring_Model!$B$10*$F93)+(Scoring_Model!$B$11*$G93)+(Scoring_Model!$B$12*$H93)+(Scoring_Model!$B$13*IF($I93="",0,$I93))+(Scoring_Model!$B$14*IF($J93="",0,$J93)),1))</x:f>
        <x:v>79.8</x:v>
      </x:c>
      <x:c r="L93" s="20" t="inlineStr">
        <x:is>
          <x:t xml:space="preserve">https://www.fldoe.org/file/18534/SchoolGrades25.xlsx</x:t>
        </x:is>
      </x:c>
      <x:c r="M93" s="20" t="inlineStr">
        <x:is>
          <x:t xml:space="preserve">School type Senior High; growth field currently uses official ELA learning gains in this starter model.</x:t>
        </x:is>
      </x:c>
    </x:row>
    <x:row r="94">
      <x:c r="A94" s="20" t="str">
        <x:f>FDOE_Grades_2025_Raw!A94</x:f>
        <x:v>490701</x:v>
      </x:c>
      <x:c r="B94" s="20" t="str">
        <x:f>FDOE_Grades_2025_Raw!E94</x:f>
        <x:v>MILL CREEK ELEMENTARY SCHOOL</x:v>
      </x:c>
      <x:c r="C94" s="20" t="n">
        <x:v>2025</x:v>
      </x:c>
      <x:c r="D94" s="20" t="str">
        <x:f>FDOE_Grades_2025_Raw!W94</x:f>
        <x:v>C</x:v>
      </x:c>
      <x:c r="E94" s="25">
        <x:f>IF(D94="A",4,IF(D94="B",3,IF(D94="C",2,IF(D94="D",1,IF(D94="F",0,"")))))</x:f>
        <x:v>2</x:v>
      </x:c>
      <x:c r="F94" s="25">
        <x:f>FDOE_Grades_2025_Raw!K94</x:f>
        <x:v>39</x:v>
      </x:c>
      <x:c r="G94" s="25">
        <x:f>FDOE_Grades_2025_Raw!M94</x:f>
        <x:v>39</x:v>
      </x:c>
      <x:c r="H94" s="25">
        <x:f>FDOE_Grades_2025_Raw!L94</x:f>
        <x:v>46</x:v>
      </x:c>
      <x:c r="I94" s="25">
        <x:f>FDOE_Grades_2025_Raw!Q94</x:f>
        <x:v>0</x:v>
      </x:c>
      <x:c r="J94" s="25">
        <x:f>FDOE_Grades_2025_Raw!R94</x:f>
        <x:v>0</x:v>
      </x:c>
      <x:c r="K94" s="25">
        <x:f>IF($A94="","",ROUND((Scoring_Model!$B$9*($E94/4)*100)+(Scoring_Model!$B$10*$F94)+(Scoring_Model!$B$11*$G94)+(Scoring_Model!$B$12*$H94)+(Scoring_Model!$B$13*IF($I94="",0,$I94))+(Scoring_Model!$B$14*IF($J94="",0,$J94)),1))</x:f>
        <x:v>41.3</x:v>
      </x:c>
      <x:c r="L94" s="20" t="inlineStr">
        <x:is>
          <x:t xml:space="preserve">https://www.fldoe.org/file/18534/SchoolGrades25.xlsx</x:t>
        </x:is>
      </x:c>
      <x:c r="M94" s="20" t="inlineStr">
        <x:is>
          <x:t xml:space="preserve">School type Elementary; growth field currently uses official ELA learning gains in this starter model.</x:t>
        </x:is>
      </x:c>
    </x:row>
    <x:row r="95">
      <x:c r="A95" s="20" t="str">
        <x:f>FDOE_Grades_2025_Raw!A95</x:f>
        <x:v>490711</x:v>
      </x:c>
      <x:c r="B95" s="20" t="str">
        <x:f>FDOE_Grades_2025_Raw!E95</x:f>
        <x:v>CELEBRATION K-8</x:v>
      </x:c>
      <x:c r="C95" s="20" t="n">
        <x:v>2025</x:v>
      </x:c>
      <x:c r="D95" s="20" t="str">
        <x:f>FDOE_Grades_2025_Raw!W95</x:f>
        <x:v>A</x:v>
      </x:c>
      <x:c r="E95" s="25">
        <x:f>IF(D95="A",4,IF(D95="B",3,IF(D95="C",2,IF(D95="D",1,IF(D95="F",0,"")))))</x:f>
        <x:v>4</x:v>
      </x:c>
      <x:c r="F95" s="25">
        <x:f>FDOE_Grades_2025_Raw!K95</x:f>
        <x:v>70</x:v>
      </x:c>
      <x:c r="G95" s="25">
        <x:f>FDOE_Grades_2025_Raw!M95</x:f>
        <x:v>76</x:v>
      </x:c>
      <x:c r="H95" s="25">
        <x:f>FDOE_Grades_2025_Raw!L95</x:f>
        <x:v>67</x:v>
      </x:c>
      <x:c r="I95" s="25">
        <x:f>FDOE_Grades_2025_Raw!Q95</x:f>
        <x:v>0</x:v>
      </x:c>
      <x:c r="J95" s="25">
        <x:f>FDOE_Grades_2025_Raw!R95</x:f>
        <x:v>0</x:v>
      </x:c>
      <x:c r="K95" s="25">
        <x:f>IF($A95="","",ROUND((Scoring_Model!$B$9*($E95/4)*100)+(Scoring_Model!$B$10*$F95)+(Scoring_Model!$B$11*$G95)+(Scoring_Model!$B$12*$H95)+(Scoring_Model!$B$13*IF($I95="",0,$I95))+(Scoring_Model!$B$14*IF($J95="",0,$J95)),1))</x:f>
        <x:v>78.3</x:v>
      </x:c>
      <x:c r="L95" s="20" t="inlineStr">
        <x:is>
          <x:t xml:space="preserve">https://www.fldoe.org/file/18534/SchoolGrades25.xlsx</x:t>
        </x:is>
      </x:c>
      <x:c r="M95" s="20" t="inlineStr">
        <x:is>
          <x:t xml:space="preserve">School type Combination; growth field currently uses official ELA learning gains in this starter model.</x:t>
        </x:is>
      </x:c>
    </x:row>
    <x:row r="96">
      <x:c r="A96" s="20" t="str">
        <x:f>FDOE_Grades_2025_Raw!A96</x:f>
        <x:v>490801</x:v>
      </x:c>
      <x:c r="B96" s="20" t="str">
        <x:f>FDOE_Grades_2025_Raw!E96</x:f>
        <x:v>LAKEVIEW ELEMENTARY SCHOOL</x:v>
      </x:c>
      <x:c r="C96" s="20" t="n">
        <x:v>2025</x:v>
      </x:c>
      <x:c r="D96" s="20" t="str">
        <x:f>FDOE_Grades_2025_Raw!W96</x:f>
        <x:v>C</x:v>
      </x:c>
      <x:c r="E96" s="25">
        <x:f>IF(D96="A",4,IF(D96="B",3,IF(D96="C",2,IF(D96="D",1,IF(D96="F",0,"")))))</x:f>
        <x:v>2</x:v>
      </x:c>
      <x:c r="F96" s="25">
        <x:f>FDOE_Grades_2025_Raw!K96</x:f>
        <x:v>53</x:v>
      </x:c>
      <x:c r="G96" s="25">
        <x:f>FDOE_Grades_2025_Raw!M96</x:f>
        <x:v>52</x:v>
      </x:c>
      <x:c r="H96" s="25">
        <x:f>FDOE_Grades_2025_Raw!L96</x:f>
        <x:v>50</x:v>
      </x:c>
      <x:c r="I96" s="25">
        <x:f>FDOE_Grades_2025_Raw!Q96</x:f>
        <x:v>0</x:v>
      </x:c>
      <x:c r="J96" s="25">
        <x:f>FDOE_Grades_2025_Raw!R96</x:f>
        <x:v>0</x:v>
      </x:c>
      <x:c r="K96" s="25">
        <x:f>IF($A96="","",ROUND((Scoring_Model!$B$9*($E96/4)*100)+(Scoring_Model!$B$10*$F96)+(Scoring_Model!$B$11*$G96)+(Scoring_Model!$B$12*$H96)+(Scoring_Model!$B$13*IF($I96="",0,$I96))+(Scoring_Model!$B$14*IF($J96="",0,$J96)),1))</x:f>
        <x:v>45.8</x:v>
      </x:c>
      <x:c r="L96" s="20" t="inlineStr">
        <x:is>
          <x:t xml:space="preserve">https://www.fldoe.org/file/18534/SchoolGrades25.xlsx</x:t>
        </x:is>
      </x:c>
      <x:c r="M96" s="20" t="inlineStr">
        <x:is>
          <x:t xml:space="preserve">School type Elementary; growth field currently uses official ELA learning gains in this starter model.</x:t>
        </x:is>
      </x:c>
    </x:row>
    <x:row r="97">
      <x:c r="A97" s="20" t="str">
        <x:f>FDOE_Grades_2025_Raw!A97</x:f>
        <x:v>490811</x:v>
      </x:c>
      <x:c r="B97" s="20" t="str">
        <x:f>FDOE_Grades_2025_Raw!E97</x:f>
        <x:v>PLEASANT HILL ELEMENTARY SCHOOL</x:v>
      </x:c>
      <x:c r="C97" s="20" t="n">
        <x:v>2025</x:v>
      </x:c>
      <x:c r="D97" s="20" t="str">
        <x:f>FDOE_Grades_2025_Raw!W97</x:f>
        <x:v>C</x:v>
      </x:c>
      <x:c r="E97" s="25">
        <x:f>IF(D97="A",4,IF(D97="B",3,IF(D97="C",2,IF(D97="D",1,IF(D97="F",0,"")))))</x:f>
        <x:v>2</x:v>
      </x:c>
      <x:c r="F97" s="25">
        <x:f>FDOE_Grades_2025_Raw!K97</x:f>
        <x:v>39</x:v>
      </x:c>
      <x:c r="G97" s="25">
        <x:f>FDOE_Grades_2025_Raw!M97</x:f>
        <x:v>45</x:v>
      </x:c>
      <x:c r="H97" s="25">
        <x:f>FDOE_Grades_2025_Raw!L97</x:f>
        <x:v>52</x:v>
      </x:c>
      <x:c r="I97" s="25">
        <x:f>FDOE_Grades_2025_Raw!Q97</x:f>
        <x:v>0</x:v>
      </x:c>
      <x:c r="J97" s="25">
        <x:f>FDOE_Grades_2025_Raw!R97</x:f>
        <x:v>0</x:v>
      </x:c>
      <x:c r="K97" s="25">
        <x:f>IF($A97="","",ROUND((Scoring_Model!$B$9*($E97/4)*100)+(Scoring_Model!$B$10*$F97)+(Scoring_Model!$B$11*$G97)+(Scoring_Model!$B$12*$H97)+(Scoring_Model!$B$13*IF($I97="",0,$I97))+(Scoring_Model!$B$14*IF($J97="",0,$J97)),1))</x:f>
        <x:v>42.5</x:v>
      </x:c>
      <x:c r="L97" s="20" t="inlineStr">
        <x:is>
          <x:t xml:space="preserve">https://www.fldoe.org/file/18534/SchoolGrades25.xlsx</x:t>
        </x:is>
      </x:c>
      <x:c r="M97" s="20" t="inlineStr">
        <x:is>
          <x:t xml:space="preserve">School type Elementary; growth field currently uses official ELA learning gains in this starter model.</x:t>
        </x:is>
      </x:c>
    </x:row>
    <x:row r="98">
      <x:c r="A98" s="20" t="str">
        <x:f>FDOE_Grades_2025_Raw!A98</x:f>
        <x:v>490821</x:v>
      </x:c>
      <x:c r="B98" s="20" t="str">
        <x:f>FDOE_Grades_2025_Raw!E98</x:f>
        <x:v>PARKWAY MIDDLE SCHOOL</x:v>
      </x:c>
      <x:c r="C98" s="20" t="n">
        <x:v>2025</x:v>
      </x:c>
      <x:c r="D98" s="20" t="str">
        <x:f>FDOE_Grades_2025_Raw!W98</x:f>
        <x:v>B</x:v>
      </x:c>
      <x:c r="E98" s="25">
        <x:f>IF(D98="A",4,IF(D98="B",3,IF(D98="C",2,IF(D98="D",1,IF(D98="F",0,"")))))</x:f>
        <x:v>3</x:v>
      </x:c>
      <x:c r="F98" s="25">
        <x:f>FDOE_Grades_2025_Raw!K98</x:f>
        <x:v>39</x:v>
      </x:c>
      <x:c r="G98" s="25">
        <x:f>FDOE_Grades_2025_Raw!M98</x:f>
        <x:v>43</x:v>
      </x:c>
      <x:c r="H98" s="25">
        <x:f>FDOE_Grades_2025_Raw!L98</x:f>
        <x:v>55</x:v>
      </x:c>
      <x:c r="I98" s="25">
        <x:f>FDOE_Grades_2025_Raw!Q98</x:f>
        <x:v>0</x:v>
      </x:c>
      <x:c r="J98" s="25">
        <x:f>FDOE_Grades_2025_Raw!R98</x:f>
        <x:v>0</x:v>
      </x:c>
      <x:c r="K98" s="25">
        <x:f>IF($A98="","",ROUND((Scoring_Model!$B$9*($E98/4)*100)+(Scoring_Model!$B$10*$F98)+(Scoring_Model!$B$11*$G98)+(Scoring_Model!$B$12*$H98)+(Scoring_Model!$B$13*IF($I98="",0,$I98))+(Scoring_Model!$B$14*IF($J98="",0,$J98)),1))</x:f>
        <x:v>55.1</x:v>
      </x:c>
      <x:c r="L98" s="20" t="inlineStr">
        <x:is>
          <x:t xml:space="preserve">https://www.fldoe.org/file/18534/SchoolGrades25.xlsx</x:t>
        </x:is>
      </x:c>
      <x:c r="M98" s="20" t="inlineStr">
        <x:is>
          <x:t xml:space="preserve">School type Middle/Junior; growth field currently uses official ELA learning gains in this starter model.</x:t>
        </x:is>
      </x:c>
    </x:row>
    <x:row r="99">
      <x:c r="A99" s="20" t="str">
        <x:f>FDOE_Grades_2025_Raw!A99</x:f>
        <x:v>490831</x:v>
      </x:c>
      <x:c r="B99" s="20" t="str">
        <x:f>FDOE_Grades_2025_Raw!E99</x:f>
        <x:v>DEERWOOD ELEMENTARY SCHOOL</x:v>
      </x:c>
      <x:c r="C99" s="20" t="n">
        <x:v>2025</x:v>
      </x:c>
      <x:c r="D99" s="20" t="str">
        <x:f>FDOE_Grades_2025_Raw!W99</x:f>
        <x:v>C</x:v>
      </x:c>
      <x:c r="E99" s="25">
        <x:f>IF(D99="A",4,IF(D99="B",3,IF(D99="C",2,IF(D99="D",1,IF(D99="F",0,"")))))</x:f>
        <x:v>2</x:v>
      </x:c>
      <x:c r="F99" s="25">
        <x:f>FDOE_Grades_2025_Raw!K99</x:f>
        <x:v>44</x:v>
      </x:c>
      <x:c r="G99" s="25">
        <x:f>FDOE_Grades_2025_Raw!M99</x:f>
        <x:v>41</x:v>
      </x:c>
      <x:c r="H99" s="25">
        <x:f>FDOE_Grades_2025_Raw!L99</x:f>
        <x:v>63</x:v>
      </x:c>
      <x:c r="I99" s="25">
        <x:f>FDOE_Grades_2025_Raw!Q99</x:f>
        <x:v>0</x:v>
      </x:c>
      <x:c r="J99" s="25">
        <x:f>FDOE_Grades_2025_Raw!R99</x:f>
        <x:v>0</x:v>
      </x:c>
      <x:c r="K99" s="25">
        <x:f>IF($A99="","",ROUND((Scoring_Model!$B$9*($E99/4)*100)+(Scoring_Model!$B$10*$F99)+(Scoring_Model!$B$11*$G99)+(Scoring_Model!$B$12*$H99)+(Scoring_Model!$B$13*IF($I99="",0,$I99))+(Scoring_Model!$B$14*IF($J99="",0,$J99)),1))</x:f>
        <x:v>44.2</x:v>
      </x:c>
      <x:c r="L99" s="20" t="inlineStr">
        <x:is>
          <x:t xml:space="preserve">https://www.fldoe.org/file/18534/SchoolGrades25.xlsx</x:t>
        </x:is>
      </x:c>
      <x:c r="M99" s="20" t="inlineStr">
        <x:is>
          <x:t xml:space="preserve">School type Elementary; growth field currently uses official ELA learning gains in this starter model.</x:t>
        </x:is>
      </x:c>
    </x:row>
    <x:row r="100">
      <x:c r="A100" s="20" t="str">
        <x:f>FDOE_Grades_2025_Raw!A100</x:f>
        <x:v>490841</x:v>
      </x:c>
      <x:c r="B100" s="20" t="str">
        <x:f>FDOE_Grades_2025_Raw!E100</x:f>
        <x:v>POINCIANA HIGH SCHOOL</x:v>
      </x:c>
      <x:c r="C100" s="20" t="n">
        <x:v>2025</x:v>
      </x:c>
      <x:c r="D100" s="20" t="str">
        <x:f>FDOE_Grades_2025_Raw!W100</x:f>
        <x:v>A</x:v>
      </x:c>
      <x:c r="E100" s="25">
        <x:f>IF(D100="A",4,IF(D100="B",3,IF(D100="C",2,IF(D100="D",1,IF(D100="F",0,"")))))</x:f>
        <x:v>4</x:v>
      </x:c>
      <x:c r="F100" s="25">
        <x:f>FDOE_Grades_2025_Raw!K100</x:f>
        <x:v>54</x:v>
      </x:c>
      <x:c r="G100" s="25">
        <x:f>FDOE_Grades_2025_Raw!M100</x:f>
        <x:v>39</x:v>
      </x:c>
      <x:c r="H100" s="25">
        <x:f>FDOE_Grades_2025_Raw!L100</x:f>
        <x:v>62</x:v>
      </x:c>
      <x:c r="I100" s="25">
        <x:f>FDOE_Grades_2025_Raw!Q100</x:f>
        <x:v>97</x:v>
      </x:c>
      <x:c r="J100" s="25">
        <x:f>FDOE_Grades_2025_Raw!R100</x:f>
        <x:v>62</x:v>
      </x:c>
      <x:c r="K100" s="25">
        <x:f>IF($A100="","",ROUND((Scoring_Model!$B$9*($E100/4)*100)+(Scoring_Model!$B$10*$F100)+(Scoring_Model!$B$11*$G100)+(Scoring_Model!$B$12*$H100)+(Scoring_Model!$B$13*IF($I100="",0,$I100))+(Scoring_Model!$B$14*IF($J100="",0,$J100)),1))</x:f>
        <x:v>78.9</x:v>
      </x:c>
      <x:c r="L100" s="20" t="inlineStr">
        <x:is>
          <x:t xml:space="preserve">https://www.fldoe.org/file/18534/SchoolGrades25.xlsx</x:t>
        </x:is>
      </x:c>
      <x:c r="M100" s="20" t="inlineStr">
        <x:is>
          <x:t xml:space="preserve">School type Senior High; growth field currently uses official ELA learning gains in this starter model.</x:t>
        </x:is>
      </x:c>
    </x:row>
    <x:row r="101">
      <x:c r="A101" s="20" t="str">
        <x:f>FDOE_Grades_2025_Raw!A101</x:f>
        <x:v>490842</x:v>
      </x:c>
      <x:c r="B101" s="20" t="str">
        <x:f>FDOE_Grades_2025_Raw!E101</x:f>
        <x:v>LIBERTY HIGH SCHOOL</x:v>
      </x:c>
      <x:c r="C101" s="20" t="n">
        <x:v>2025</x:v>
      </x:c>
      <x:c r="D101" s="20" t="str">
        <x:f>FDOE_Grades_2025_Raw!W101</x:f>
        <x:v>B</x:v>
      </x:c>
      <x:c r="E101" s="25">
        <x:f>IF(D101="A",4,IF(D101="B",3,IF(D101="C",2,IF(D101="D",1,IF(D101="F",0,"")))))</x:f>
        <x:v>3</x:v>
      </x:c>
      <x:c r="F101" s="25">
        <x:f>FDOE_Grades_2025_Raw!K101</x:f>
        <x:v>46</x:v>
      </x:c>
      <x:c r="G101" s="25">
        <x:f>FDOE_Grades_2025_Raw!M101</x:f>
        <x:v>37</x:v>
      </x:c>
      <x:c r="H101" s="25">
        <x:f>FDOE_Grades_2025_Raw!L101</x:f>
        <x:v>57</x:v>
      </x:c>
      <x:c r="I101" s="25">
        <x:f>FDOE_Grades_2025_Raw!Q101</x:f>
        <x:v>88</x:v>
      </x:c>
      <x:c r="J101" s="25">
        <x:f>FDOE_Grades_2025_Raw!R101</x:f>
        <x:v>37</x:v>
      </x:c>
      <x:c r="K101" s="25">
        <x:f>IF($A101="","",ROUND((Scoring_Model!$B$9*($E101/4)*100)+(Scoring_Model!$B$10*$F101)+(Scoring_Model!$B$11*$G101)+(Scoring_Model!$B$12*$H101)+(Scoring_Model!$B$13*IF($I101="",0,$I101))+(Scoring_Model!$B$14*IF($J101="",0,$J101)),1))</x:f>
        <x:v>62.4</x:v>
      </x:c>
      <x:c r="L101" s="20" t="inlineStr">
        <x:is>
          <x:t xml:space="preserve">https://www.fldoe.org/file/18534/SchoolGrades25.xlsx</x:t>
        </x:is>
      </x:c>
      <x:c r="M101" s="20" t="inlineStr">
        <x:is>
          <x:t xml:space="preserve">School type Senior High; growth field currently uses official ELA learning gains in this starter model.</x:t>
        </x:is>
      </x:c>
    </x:row>
    <x:row r="102">
      <x:c r="A102" s="20" t="str">
        <x:f>FDOE_Grades_2025_Raw!A102</x:f>
        <x:v>490851</x:v>
      </x:c>
      <x:c r="B102" s="20" t="str">
        <x:f>FDOE_Grades_2025_Raw!E102</x:f>
        <x:v>CYPRESS ELEMENTARY SCHOOL</x:v>
      </x:c>
      <x:c r="C102" s="20" t="n">
        <x:v>2025</x:v>
      </x:c>
      <x:c r="D102" s="20" t="str">
        <x:f>FDOE_Grades_2025_Raw!W102</x:f>
        <x:v>B</x:v>
      </x:c>
      <x:c r="E102" s="25">
        <x:f>IF(D102="A",4,IF(D102="B",3,IF(D102="C",2,IF(D102="D",1,IF(D102="F",0,"")))))</x:f>
        <x:v>3</x:v>
      </x:c>
      <x:c r="F102" s="25">
        <x:f>FDOE_Grades_2025_Raw!K102</x:f>
        <x:v>48</x:v>
      </x:c>
      <x:c r="G102" s="25">
        <x:f>FDOE_Grades_2025_Raw!M102</x:f>
        <x:v>48</x:v>
      </x:c>
      <x:c r="H102" s="25">
        <x:f>FDOE_Grades_2025_Raw!L102</x:f>
        <x:v>59</x:v>
      </x:c>
      <x:c r="I102" s="25">
        <x:f>FDOE_Grades_2025_Raw!Q102</x:f>
        <x:v>0</x:v>
      </x:c>
      <x:c r="J102" s="25">
        <x:f>FDOE_Grades_2025_Raw!R102</x:f>
        <x:v>0</x:v>
      </x:c>
      <x:c r="K102" s="25">
        <x:f>IF($A102="","",ROUND((Scoring_Model!$B$9*($E102/4)*100)+(Scoring_Model!$B$10*$F102)+(Scoring_Model!$B$11*$G102)+(Scoring_Model!$B$12*$H102)+(Scoring_Model!$B$13*IF($I102="",0,$I102))+(Scoring_Model!$B$14*IF($J102="",0,$J102)),1))</x:f>
        <x:v>57.8</x:v>
      </x:c>
      <x:c r="L102" s="20" t="inlineStr">
        <x:is>
          <x:t xml:space="preserve">https://www.fldoe.org/file/18534/SchoolGrades25.xlsx</x:t>
        </x:is>
      </x:c>
      <x:c r="M102" s="20" t="inlineStr">
        <x:is>
          <x:t xml:space="preserve">School type Elementary; growth field currently uses official ELA learning gains in this starter model.</x:t>
        </x:is>
      </x:c>
    </x:row>
    <x:row r="103">
      <x:c r="A103" s="20" t="str">
        <x:f>FDOE_Grades_2025_Raw!A103</x:f>
        <x:v>490852</x:v>
      </x:c>
      <x:c r="B103" s="20" t="str">
        <x:f>FDOE_Grades_2025_Raw!E103</x:f>
        <x:v>ACADEMIR PREPARATORY OF CHAMPIONSGATE</x:v>
      </x:c>
      <x:c r="C103" s="20" t="n">
        <x:v>2025</x:v>
      </x:c>
      <x:c r="D103" s="20" t="str">
        <x:f>FDOE_Grades_2025_Raw!W103</x:f>
        <x:v>B</x:v>
      </x:c>
      <x:c r="E103" s="25">
        <x:f>IF(D103="A",4,IF(D103="B",3,IF(D103="C",2,IF(D103="D",1,IF(D103="F",0,"")))))</x:f>
        <x:v>3</x:v>
      </x:c>
      <x:c r="F103" s="25">
        <x:f>FDOE_Grades_2025_Raw!K103</x:f>
        <x:v>46</x:v>
      </x:c>
      <x:c r="G103" s="25">
        <x:f>FDOE_Grades_2025_Raw!M103</x:f>
        <x:v>56</x:v>
      </x:c>
      <x:c r="H103" s="25">
        <x:f>FDOE_Grades_2025_Raw!L103</x:f>
        <x:v>52</x:v>
      </x:c>
      <x:c r="I103" s="25">
        <x:f>FDOE_Grades_2025_Raw!Q103</x:f>
        <x:v>0</x:v>
      </x:c>
      <x:c r="J103" s="25">
        <x:f>FDOE_Grades_2025_Raw!R103</x:f>
        <x:v>0</x:v>
      </x:c>
      <x:c r="K103" s="25">
        <x:f>IF($A103="","",ROUND((Scoring_Model!$B$9*($E103/4)*100)+(Scoring_Model!$B$10*$F103)+(Scoring_Model!$B$11*$G103)+(Scoring_Model!$B$12*$H103)+(Scoring_Model!$B$13*IF($I103="",0,$I103))+(Scoring_Model!$B$14*IF($J103="",0,$J103)),1))</x:f>
        <x:v>57.5</x:v>
      </x:c>
      <x:c r="L103" s="20" t="inlineStr">
        <x:is>
          <x:t xml:space="preserve">https://www.fldoe.org/file/18534/SchoolGrades25.xlsx</x:t>
        </x:is>
      </x:c>
      <x:c r="M103" s="20" t="inlineStr">
        <x:is>
          <x:t xml:space="preserve">School type Elementary; growth field currently uses official ELA learning gains in this starter model.</x:t>
        </x:is>
      </x:c>
    </x:row>
    <x:row r="104">
      <x:c r="A104" s="20" t="str">
        <x:f>FDOE_Grades_2025_Raw!A104</x:f>
        <x:v>490853</x:v>
      </x:c>
      <x:c r="B104" s="20" t="str">
        <x:f>FDOE_Grades_2025_Raw!E104</x:f>
        <x:v>NEW DIMENSIONS HIGH SCHOOL</x:v>
      </x:c>
      <x:c r="C104" s="20" t="n">
        <x:v>2025</x:v>
      </x:c>
      <x:c r="D104" s="20" t="str">
        <x:f>FDOE_Grades_2025_Raw!W104</x:f>
        <x:v>A</x:v>
      </x:c>
      <x:c r="E104" s="25">
        <x:f>IF(D104="A",4,IF(D104="B",3,IF(D104="C",2,IF(D104="D",1,IF(D104="F",0,"")))))</x:f>
        <x:v>4</x:v>
      </x:c>
      <x:c r="F104" s="25">
        <x:f>FDOE_Grades_2025_Raw!K104</x:f>
        <x:v>70</x:v>
      </x:c>
      <x:c r="G104" s="25">
        <x:f>FDOE_Grades_2025_Raw!M104</x:f>
        <x:v>61</x:v>
      </x:c>
      <x:c r="H104" s="25">
        <x:f>FDOE_Grades_2025_Raw!L104</x:f>
        <x:v>69</x:v>
      </x:c>
      <x:c r="I104" s="25">
        <x:f>FDOE_Grades_2025_Raw!Q104</x:f>
        <x:v>97</x:v>
      </x:c>
      <x:c r="J104" s="25">
        <x:f>FDOE_Grades_2025_Raw!R104</x:f>
        <x:v>98</x:v>
      </x:c>
      <x:c r="K104" s="25">
        <x:f>IF($A104="","",ROUND((Scoring_Model!$B$9*($E104/4)*100)+(Scoring_Model!$B$10*$F104)+(Scoring_Model!$B$11*$G104)+(Scoring_Model!$B$12*$H104)+(Scoring_Model!$B$13*IF($I104="",0,$I104))+(Scoring_Model!$B$14*IF($J104="",0,$J104)),1))</x:f>
        <x:v>86.8</x:v>
      </x:c>
      <x:c r="L104" s="20" t="inlineStr">
        <x:is>
          <x:t xml:space="preserve">https://www.fldoe.org/file/18534/SchoolGrades25.xlsx</x:t>
        </x:is>
      </x:c>
      <x:c r="M104" s="20" t="inlineStr">
        <x:is>
          <x:t xml:space="preserve">School type Senior High; growth field currently uses official ELA learning gains in this starter model.</x:t>
        </x:is>
      </x:c>
    </x:row>
    <x:row r="105">
      <x:c r="A105" s="20" t="str">
        <x:f>FDOE_Grades_2025_Raw!A105</x:f>
        <x:v>490862</x:v>
      </x:c>
      <x:c r="B105" s="20" t="str">
        <x:f>FDOE_Grades_2025_Raw!E105</x:f>
        <x:v>PROFESSIONAL &amp; TECHNICAL HIGH SCHOOL</x:v>
      </x:c>
      <x:c r="C105" s="20" t="n">
        <x:v>2025</x:v>
      </x:c>
      <x:c r="D105" s="20" t="str">
        <x:f>FDOE_Grades_2025_Raw!W105</x:f>
        <x:v>A</x:v>
      </x:c>
      <x:c r="E105" s="25">
        <x:f>IF(D105="A",4,IF(D105="B",3,IF(D105="C",2,IF(D105="D",1,IF(D105="F",0,"")))))</x:f>
        <x:v>4</x:v>
      </x:c>
      <x:c r="F105" s="25">
        <x:f>FDOE_Grades_2025_Raw!K105</x:f>
        <x:v>92</x:v>
      </x:c>
      <x:c r="G105" s="25">
        <x:f>FDOE_Grades_2025_Raw!M105</x:f>
        <x:v>79</x:v>
      </x:c>
      <x:c r="H105" s="25">
        <x:f>FDOE_Grades_2025_Raw!L105</x:f>
        <x:v>70</x:v>
      </x:c>
      <x:c r="I105" s="25">
        <x:f>FDOE_Grades_2025_Raw!Q105</x:f>
        <x:v>100</x:v>
      </x:c>
      <x:c r="J105" s="25">
        <x:f>FDOE_Grades_2025_Raw!R105</x:f>
        <x:v>100</x:v>
      </x:c>
      <x:c r="K105" s="25">
        <x:f>IF($A105="","",ROUND((Scoring_Model!$B$9*($E105/4)*100)+(Scoring_Model!$B$10*$F105)+(Scoring_Model!$B$11*$G105)+(Scoring_Model!$B$12*$H105)+(Scoring_Model!$B$13*IF($I105="",0,$I105))+(Scoring_Model!$B$14*IF($J105="",0,$J105)),1))</x:f>
        <x:v>93.3</x:v>
      </x:c>
      <x:c r="L105" s="20" t="inlineStr">
        <x:is>
          <x:t xml:space="preserve">https://www.fldoe.org/file/18534/SchoolGrades25.xlsx</x:t>
        </x:is>
      </x:c>
      <x:c r="M105" s="20" t="inlineStr">
        <x:is>
          <x:t xml:space="preserve">School type Senior High; growth field currently uses official ELA learning gains in this starter model.</x:t>
        </x:is>
      </x:c>
    </x:row>
    <x:row r="106">
      <x:c r="A106" s="20" t="str">
        <x:f>FDOE_Grades_2025_Raw!A106</x:f>
        <x:v>490863</x:v>
      </x:c>
      <x:c r="B106" s="20" t="str">
        <x:f>FDOE_Grades_2025_Raw!E106</x:f>
        <x:v>FOUR CORNERS CHARTER SCHOOL</x:v>
      </x:c>
      <x:c r="C106" s="20" t="n">
        <x:v>2025</x:v>
      </x:c>
      <x:c r="D106" s="20" t="str">
        <x:f>FDOE_Grades_2025_Raw!W106</x:f>
        <x:v>A</x:v>
      </x:c>
      <x:c r="E106" s="25">
        <x:f>IF(D106="A",4,IF(D106="B",3,IF(D106="C",2,IF(D106="D",1,IF(D106="F",0,"")))))</x:f>
        <x:v>4</x:v>
      </x:c>
      <x:c r="F106" s="25">
        <x:f>FDOE_Grades_2025_Raw!K106</x:f>
        <x:v>65</x:v>
      </x:c>
      <x:c r="G106" s="25">
        <x:f>FDOE_Grades_2025_Raw!M106</x:f>
        <x:v>66</x:v>
      </x:c>
      <x:c r="H106" s="25">
        <x:f>FDOE_Grades_2025_Raw!L106</x:f>
        <x:v>67</x:v>
      </x:c>
      <x:c r="I106" s="25">
        <x:f>FDOE_Grades_2025_Raw!Q106</x:f>
        <x:v>0</x:v>
      </x:c>
      <x:c r="J106" s="25">
        <x:f>FDOE_Grades_2025_Raw!R106</x:f>
        <x:v>0</x:v>
      </x:c>
      <x:c r="K106" s="25">
        <x:f>IF($A106="","",ROUND((Scoring_Model!$B$9*($E106/4)*100)+(Scoring_Model!$B$10*$F106)+(Scoring_Model!$B$11*$G106)+(Scoring_Model!$B$12*$H106)+(Scoring_Model!$B$13*IF($I106="",0,$I106))+(Scoring_Model!$B$14*IF($J106="",0,$J106)),1))</x:f>
        <x:v>76.3</x:v>
      </x:c>
      <x:c r="L106" s="20" t="inlineStr">
        <x:is>
          <x:t xml:space="preserve">https://www.fldoe.org/file/18534/SchoolGrades25.xlsx</x:t>
        </x:is>
      </x:c>
      <x:c r="M106" s="20" t="inlineStr">
        <x:is>
          <x:t xml:space="preserve">School type Elementary; growth field currently uses official ELA learning gains in this starter model.</x:t>
        </x:is>
      </x:c>
    </x:row>
    <x:row r="107">
      <x:c r="A107" s="20" t="str">
        <x:f>FDOE_Grades_2025_Raw!A107</x:f>
        <x:v>490866</x:v>
      </x:c>
      <x:c r="B107" s="20" t="str">
        <x:f>FDOE_Grades_2025_Raw!E107</x:f>
        <x:v>KISSIMMEE CHARTER ACADEMY</x:v>
      </x:c>
      <x:c r="C107" s="20" t="n">
        <x:v>2025</x:v>
      </x:c>
      <x:c r="D107" s="20" t="str">
        <x:f>FDOE_Grades_2025_Raw!W107</x:f>
        <x:v>C</x:v>
      </x:c>
      <x:c r="E107" s="25">
        <x:f>IF(D107="A",4,IF(D107="B",3,IF(D107="C",2,IF(D107="D",1,IF(D107="F",0,"")))))</x:f>
        <x:v>2</x:v>
      </x:c>
      <x:c r="F107" s="25">
        <x:f>FDOE_Grades_2025_Raw!K107</x:f>
        <x:v>47</x:v>
      </x:c>
      <x:c r="G107" s="25">
        <x:f>FDOE_Grades_2025_Raw!M107</x:f>
        <x:v>39</x:v>
      </x:c>
      <x:c r="H107" s="25">
        <x:f>FDOE_Grades_2025_Raw!L107</x:f>
        <x:v>55</x:v>
      </x:c>
      <x:c r="I107" s="25">
        <x:f>FDOE_Grades_2025_Raw!Q107</x:f>
        <x:v>0</x:v>
      </x:c>
      <x:c r="J107" s="25">
        <x:f>FDOE_Grades_2025_Raw!R107</x:f>
        <x:v>0</x:v>
      </x:c>
      <x:c r="K107" s="25">
        <x:f>IF($A107="","",ROUND((Scoring_Model!$B$9*($E107/4)*100)+(Scoring_Model!$B$10*$F107)+(Scoring_Model!$B$11*$G107)+(Scoring_Model!$B$12*$H107)+(Scoring_Model!$B$13*IF($I107="",0,$I107))+(Scoring_Model!$B$14*IF($J107="",0,$J107)),1))</x:f>
        <x:v>43.8</x:v>
      </x:c>
      <x:c r="L107" s="20" t="inlineStr">
        <x:is>
          <x:t xml:space="preserve">https://www.fldoe.org/file/18534/SchoolGrades25.xlsx</x:t>
        </x:is>
      </x:c>
      <x:c r="M107" s="20" t="inlineStr">
        <x:is>
          <x:t xml:space="preserve">School type Combination; growth field currently uses official ELA learning gains in this starter model.</x:t>
        </x:is>
      </x:c>
    </x:row>
    <x:row r="108">
      <x:c r="A108" s="20" t="str">
        <x:f>FDOE_Grades_2025_Raw!A108</x:f>
        <x:v>490881</x:v>
      </x:c>
      <x:c r="B108" s="20" t="str">
        <x:f>FDOE_Grades_2025_Raw!E108</x:f>
        <x:v>P. M. WELLS CHARTER ACADEMY</x:v>
      </x:c>
      <x:c r="C108" s="20" t="n">
        <x:v>2025</x:v>
      </x:c>
      <x:c r="D108" s="20" t="str">
        <x:f>FDOE_Grades_2025_Raw!W108</x:f>
        <x:v>C</x:v>
      </x:c>
      <x:c r="E108" s="25">
        <x:f>IF(D108="A",4,IF(D108="B",3,IF(D108="C",2,IF(D108="D",1,IF(D108="F",0,"")))))</x:f>
        <x:v>2</x:v>
      </x:c>
      <x:c r="F108" s="25">
        <x:f>FDOE_Grades_2025_Raw!K108</x:f>
        <x:v>50</x:v>
      </x:c>
      <x:c r="G108" s="25">
        <x:f>FDOE_Grades_2025_Raw!M108</x:f>
        <x:v>40</x:v>
      </x:c>
      <x:c r="H108" s="25">
        <x:f>FDOE_Grades_2025_Raw!L108</x:f>
        <x:v>53</x:v>
      </x:c>
      <x:c r="I108" s="25">
        <x:f>FDOE_Grades_2025_Raw!Q108</x:f>
        <x:v>0</x:v>
      </x:c>
      <x:c r="J108" s="25">
        <x:f>FDOE_Grades_2025_Raw!R108</x:f>
        <x:v>0</x:v>
      </x:c>
      <x:c r="K108" s="25">
        <x:f>IF($A108="","",ROUND((Scoring_Model!$B$9*($E108/4)*100)+(Scoring_Model!$B$10*$F108)+(Scoring_Model!$B$11*$G108)+(Scoring_Model!$B$12*$H108)+(Scoring_Model!$B$13*IF($I108="",0,$I108))+(Scoring_Model!$B$14*IF($J108="",0,$J108)),1))</x:f>
        <x:v>44.3</x:v>
      </x:c>
      <x:c r="L108" s="20" t="inlineStr">
        <x:is>
          <x:t xml:space="preserve">https://www.fldoe.org/file/18534/SchoolGrades25.xlsx</x:t>
        </x:is>
      </x:c>
      <x:c r="M108" s="20" t="inlineStr">
        <x:is>
          <x:t xml:space="preserve">School type Combination; growth field currently uses official ELA learning gains in this starter model.</x:t>
        </x:is>
      </x:c>
    </x:row>
    <x:row r="109">
      <x:c r="A109" s="20" t="str">
        <x:f>FDOE_Grades_2025_Raw!A109</x:f>
        <x:v>490901</x:v>
      </x:c>
      <x:c r="B109" s="20" t="str">
        <x:f>FDOE_Grades_2025_Raw!E109</x:f>
        <x:v>POINCIANA ACADEMY OF FINE ARTS</x:v>
      </x:c>
      <x:c r="C109" s="20" t="n">
        <x:v>2025</x:v>
      </x:c>
      <x:c r="D109" s="20" t="str">
        <x:f>FDOE_Grades_2025_Raw!W109</x:f>
        <x:v>C</x:v>
      </x:c>
      <x:c r="E109" s="25">
        <x:f>IF(D109="A",4,IF(D109="B",3,IF(D109="C",2,IF(D109="D",1,IF(D109="F",0,"")))))</x:f>
        <x:v>2</x:v>
      </x:c>
      <x:c r="F109" s="25">
        <x:f>FDOE_Grades_2025_Raw!K109</x:f>
        <x:v>45</x:v>
      </x:c>
      <x:c r="G109" s="25">
        <x:f>FDOE_Grades_2025_Raw!M109</x:f>
        <x:v>35</x:v>
      </x:c>
      <x:c r="H109" s="25">
        <x:f>FDOE_Grades_2025_Raw!L109</x:f>
        <x:v>58</x:v>
      </x:c>
      <x:c r="I109" s="25">
        <x:f>FDOE_Grades_2025_Raw!Q109</x:f>
        <x:v>0</x:v>
      </x:c>
      <x:c r="J109" s="25">
        <x:f>FDOE_Grades_2025_Raw!R109</x:f>
        <x:v>0</x:v>
      </x:c>
      <x:c r="K109" s="25">
        <x:f>IF($A109="","",ROUND((Scoring_Model!$B$9*($E109/4)*100)+(Scoring_Model!$B$10*$F109)+(Scoring_Model!$B$11*$G109)+(Scoring_Model!$B$12*$H109)+(Scoring_Model!$B$13*IF($I109="",0,$I109))+(Scoring_Model!$B$14*IF($J109="",0,$J109)),1))</x:f>
        <x:v>43.3</x:v>
      </x:c>
      <x:c r="L109" s="20" t="inlineStr">
        <x:is>
          <x:t xml:space="preserve">https://www.fldoe.org/file/18534/SchoolGrades25.xlsx</x:t>
        </x:is>
      </x:c>
      <x:c r="M109" s="20" t="inlineStr">
        <x:is>
          <x:t xml:space="preserve">School type Elementary; growth field currently uses official ELA learning gains in this starter model.</x:t>
        </x:is>
      </x:c>
    </x:row>
    <x:row r="110">
      <x:c r="A110" s="20" t="str">
        <x:f>FDOE_Grades_2025_Raw!A110</x:f>
        <x:v>490902</x:v>
      </x:c>
      <x:c r="B110" s="20" t="str">
        <x:f>FDOE_Grades_2025_Raw!E110</x:f>
        <x:v>CELEBRATION HIGH SCHOOL</x:v>
      </x:c>
      <x:c r="C110" s="20" t="n">
        <x:v>2025</x:v>
      </x:c>
      <x:c r="D110" s="20" t="str">
        <x:f>FDOE_Grades_2025_Raw!W110</x:f>
        <x:v>B</x:v>
      </x:c>
      <x:c r="E110" s="25">
        <x:f>IF(D110="A",4,IF(D110="B",3,IF(D110="C",2,IF(D110="D",1,IF(D110="F",0,"")))))</x:f>
        <x:v>3</x:v>
      </x:c>
      <x:c r="F110" s="25">
        <x:f>FDOE_Grades_2025_Raw!K110</x:f>
        <x:v>63</x:v>
      </x:c>
      <x:c r="G110" s="25">
        <x:f>FDOE_Grades_2025_Raw!M110</x:f>
        <x:v>46</x:v>
      </x:c>
      <x:c r="H110" s="25">
        <x:f>FDOE_Grades_2025_Raw!L110</x:f>
        <x:v>59</x:v>
      </x:c>
      <x:c r="I110" s="25">
        <x:f>FDOE_Grades_2025_Raw!Q110</x:f>
        <x:v>91</x:v>
      </x:c>
      <x:c r="J110" s="25">
        <x:f>FDOE_Grades_2025_Raw!R110</x:f>
        <x:v>55</x:v>
      </x:c>
      <x:c r="K110" s="25">
        <x:f>IF($A110="","",ROUND((Scoring_Model!$B$9*($E110/4)*100)+(Scoring_Model!$B$10*$F110)+(Scoring_Model!$B$11*$G110)+(Scoring_Model!$B$12*$H110)+(Scoring_Model!$B$13*IF($I110="",0,$I110))+(Scoring_Model!$B$14*IF($J110="",0,$J110)),1))</x:f>
        <x:v>67.9</x:v>
      </x:c>
      <x:c r="L110" s="20" t="inlineStr">
        <x:is>
          <x:t xml:space="preserve">https://www.fldoe.org/file/18534/SchoolGrades25.xlsx</x:t>
        </x:is>
      </x:c>
      <x:c r="M110" s="20" t="inlineStr">
        <x:is>
          <x:t xml:space="preserve">School type Senior High; growth field currently uses official ELA learning gains in this starter model.</x:t>
        </x:is>
      </x:c>
    </x:row>
    <x:row r="111">
      <x:c r="A111" s="20" t="str">
        <x:f>FDOE_Grades_2025_Raw!A111</x:f>
        <x:v>490903</x:v>
      </x:c>
      <x:c r="B111" s="20" t="str">
        <x:f>FDOE_Grades_2025_Raw!E111</x:f>
        <x:v>ISLAND VILLAGE ELEMENTARY SCHOOL</x:v>
      </x:c>
      <x:c r="C111" s="20" t="n">
        <x:v>2025</x:v>
      </x:c>
      <x:c r="D111" s="20" t="str">
        <x:f>FDOE_Grades_2025_Raw!W111</x:f>
        <x:v>C</x:v>
      </x:c>
      <x:c r="E111" s="25">
        <x:f>IF(D111="A",4,IF(D111="B",3,IF(D111="C",2,IF(D111="D",1,IF(D111="F",0,"")))))</x:f>
        <x:v>2</x:v>
      </x:c>
      <x:c r="F111" s="25">
        <x:f>FDOE_Grades_2025_Raw!K111</x:f>
        <x:v>47</x:v>
      </x:c>
      <x:c r="G111" s="25">
        <x:f>FDOE_Grades_2025_Raw!M111</x:f>
        <x:v>49</x:v>
      </x:c>
      <x:c r="H111" s="25">
        <x:f>FDOE_Grades_2025_Raw!L111</x:f>
        <x:v>53</x:v>
      </x:c>
      <x:c r="I111" s="25">
        <x:f>FDOE_Grades_2025_Raw!Q111</x:f>
        <x:v>0</x:v>
      </x:c>
      <x:c r="J111" s="25">
        <x:f>FDOE_Grades_2025_Raw!R111</x:f>
        <x:v>0</x:v>
      </x:c>
      <x:c r="K111" s="25">
        <x:f>IF($A111="","",ROUND((Scoring_Model!$B$9*($E111/4)*100)+(Scoring_Model!$B$10*$F111)+(Scoring_Model!$B$11*$G111)+(Scoring_Model!$B$12*$H111)+(Scoring_Model!$B$13*IF($I111="",0,$I111))+(Scoring_Model!$B$14*IF($J111="",0,$J111)),1))</x:f>
        <x:v>44.6</x:v>
      </x:c>
      <x:c r="L111" s="20" t="inlineStr">
        <x:is>
          <x:t xml:space="preserve">https://www.fldoe.org/file/18534/SchoolGrades25.xlsx</x:t>
        </x:is>
      </x:c>
      <x:c r="M111" s="20" t="inlineStr">
        <x:is>
          <x:t xml:space="preserve">School type Elementary; growth field currently uses official ELA learning gains in this starter model.</x:t>
        </x:is>
      </x:c>
    </x:row>
    <x:row r="112">
      <x:c r="A112" s="20" t="str">
        <x:f>FDOE_Grades_2025_Raw!A112</x:f>
        <x:v>490904</x:v>
      </x:c>
      <x:c r="B112" s="20" t="str">
        <x:f>FDOE_Grades_2025_Raw!E112</x:f>
        <x:v>PARTIN SETTLEMENT ELEMENTARY SCHOOL</x:v>
      </x:c>
      <x:c r="C112" s="20" t="n">
        <x:v>2025</x:v>
      </x:c>
      <x:c r="D112" s="20" t="str">
        <x:f>FDOE_Grades_2025_Raw!W112</x:f>
        <x:v>C</x:v>
      </x:c>
      <x:c r="E112" s="25">
        <x:f>IF(D112="A",4,IF(D112="B",3,IF(D112="C",2,IF(D112="D",1,IF(D112="F",0,"")))))</x:f>
        <x:v>2</x:v>
      </x:c>
      <x:c r="F112" s="25">
        <x:f>FDOE_Grades_2025_Raw!K112</x:f>
        <x:v>53</x:v>
      </x:c>
      <x:c r="G112" s="25">
        <x:f>FDOE_Grades_2025_Raw!M112</x:f>
        <x:v>49</x:v>
      </x:c>
      <x:c r="H112" s="25">
        <x:f>FDOE_Grades_2025_Raw!L112</x:f>
        <x:v>53</x:v>
      </x:c>
      <x:c r="I112" s="25">
        <x:f>FDOE_Grades_2025_Raw!Q112</x:f>
        <x:v>0</x:v>
      </x:c>
      <x:c r="J112" s="25">
        <x:f>FDOE_Grades_2025_Raw!R112</x:f>
        <x:v>0</x:v>
      </x:c>
      <x:c r="K112" s="25">
        <x:f>IF($A112="","",ROUND((Scoring_Model!$B$9*($E112/4)*100)+(Scoring_Model!$B$10*$F112)+(Scoring_Model!$B$11*$G112)+(Scoring_Model!$B$12*$H112)+(Scoring_Model!$B$13*IF($I112="",0,$I112))+(Scoring_Model!$B$14*IF($J112="",0,$J112)),1))</x:f>
        <x:v>45.8</x:v>
      </x:c>
      <x:c r="L112" s="20" t="inlineStr">
        <x:is>
          <x:t xml:space="preserve">https://www.fldoe.org/file/18534/SchoolGrades25.xlsx</x:t>
        </x:is>
      </x:c>
      <x:c r="M112" s="20" t="inlineStr">
        <x:is>
          <x:t xml:space="preserve">School type Elementary; growth field currently uses official ELA learning gains in this starter model.</x:t>
        </x:is>
      </x:c>
    </x:row>
    <x:row r="113">
      <x:c r="A113" s="20" t="str">
        <x:f>FDOE_Grades_2025_Raw!A113</x:f>
        <x:v>490921</x:v>
      </x:c>
      <x:c r="B113" s="20" t="str">
        <x:f>FDOE_Grades_2025_Raw!E113</x:f>
        <x:v>OSCEOLA COUNTY SCHOOL FOR THE ARTS</x:v>
      </x:c>
      <x:c r="C113" s="20" t="n">
        <x:v>2025</x:v>
      </x:c>
      <x:c r="D113" s="20" t="str">
        <x:f>FDOE_Grades_2025_Raw!W113</x:f>
        <x:v>A</x:v>
      </x:c>
      <x:c r="E113" s="25">
        <x:f>IF(D113="A",4,IF(D113="B",3,IF(D113="C",2,IF(D113="D",1,IF(D113="F",0,"")))))</x:f>
        <x:v>4</x:v>
      </x:c>
      <x:c r="F113" s="25">
        <x:f>FDOE_Grades_2025_Raw!K113</x:f>
        <x:v>88</x:v>
      </x:c>
      <x:c r="G113" s="25">
        <x:f>FDOE_Grades_2025_Raw!M113</x:f>
        <x:v>86</x:v>
      </x:c>
      <x:c r="H113" s="25">
        <x:f>FDOE_Grades_2025_Raw!L113</x:f>
        <x:v>70</x:v>
      </x:c>
      <x:c r="I113" s="25">
        <x:f>FDOE_Grades_2025_Raw!Q113</x:f>
        <x:v>100</x:v>
      </x:c>
      <x:c r="J113" s="25">
        <x:f>FDOE_Grades_2025_Raw!R113</x:f>
        <x:v>80</x:v>
      </x:c>
      <x:c r="K113" s="25">
        <x:f>IF($A113="","",ROUND((Scoring_Model!$B$9*($E113/4)*100)+(Scoring_Model!$B$10*$F113)+(Scoring_Model!$B$11*$G113)+(Scoring_Model!$B$12*$H113)+(Scoring_Model!$B$13*IF($I113="",0,$I113))+(Scoring_Model!$B$14*IF($J113="",0,$J113)),1))</x:f>
        <x:v>92.2</x:v>
      </x:c>
      <x:c r="L113" s="20" t="inlineStr">
        <x:is>
          <x:t xml:space="preserve">https://www.fldoe.org/file/18534/SchoolGrades25.xlsx</x:t>
        </x:is>
      </x:c>
      <x:c r="M113" s="20" t="inlineStr">
        <x:is>
          <x:t xml:space="preserve">School type Combination; growth field currently uses official ELA learning gains in this starter model.</x:t>
        </x:is>
      </x:c>
    </x:row>
    <x:row r="114">
      <x:c r="A114" s="20" t="str">
        <x:f>FDOE_Grades_2025_Raw!A114</x:f>
        <x:v>490922</x:v>
      </x:c>
      <x:c r="B114" s="20" t="str">
        <x:f>FDOE_Grades_2025_Raw!E114</x:f>
        <x:v>HARMONY HIGH SCHOOL</x:v>
      </x:c>
      <x:c r="C114" s="20" t="n">
        <x:v>2025</x:v>
      </x:c>
      <x:c r="D114" s="20" t="str">
        <x:f>FDOE_Grades_2025_Raw!W114</x:f>
        <x:v>A</x:v>
      </x:c>
      <x:c r="E114" s="25">
        <x:f>IF(D114="A",4,IF(D114="B",3,IF(D114="C",2,IF(D114="D",1,IF(D114="F",0,"")))))</x:f>
        <x:v>4</x:v>
      </x:c>
      <x:c r="F114" s="25">
        <x:f>FDOE_Grades_2025_Raw!K114</x:f>
        <x:v>59</x:v>
      </x:c>
      <x:c r="G114" s="25">
        <x:f>FDOE_Grades_2025_Raw!M114</x:f>
        <x:v>51</x:v>
      </x:c>
      <x:c r="H114" s="25">
        <x:f>FDOE_Grades_2025_Raw!L114</x:f>
        <x:v>57</x:v>
      </x:c>
      <x:c r="I114" s="25">
        <x:f>FDOE_Grades_2025_Raw!Q114</x:f>
        <x:v>91</x:v>
      </x:c>
      <x:c r="J114" s="25">
        <x:f>FDOE_Grades_2025_Raw!R114</x:f>
        <x:v>59</x:v>
      </x:c>
      <x:c r="K114" s="25">
        <x:f>IF($A114="","",ROUND((Scoring_Model!$B$9*($E114/4)*100)+(Scoring_Model!$B$10*$F114)+(Scoring_Model!$B$11*$G114)+(Scoring_Model!$B$12*$H114)+(Scoring_Model!$B$13*IF($I114="",0,$I114))+(Scoring_Model!$B$14*IF($J114="",0,$J114)),1))</x:f>
        <x:v>80.1</x:v>
      </x:c>
      <x:c r="L114" s="20" t="inlineStr">
        <x:is>
          <x:t xml:space="preserve">https://www.fldoe.org/file/18534/SchoolGrades25.xlsx</x:t>
        </x:is>
      </x:c>
      <x:c r="M114" s="20" t="inlineStr">
        <x:is>
          <x:t xml:space="preserve">School type Senior High; growth field currently uses official ELA learning gains in this starter model.</x:t>
        </x:is>
      </x:c>
    </x:row>
    <x:row r="115">
      <x:c r="A115" s="20" t="str">
        <x:f>FDOE_Grades_2025_Raw!A115</x:f>
        <x:v>490931</x:v>
      </x:c>
      <x:c r="B115" s="20" t="str">
        <x:f>FDOE_Grades_2025_Raw!E115</x:f>
        <x:v>FLORA RIDGE ELEMENTARY SCHOOL</x:v>
      </x:c>
      <x:c r="C115" s="20" t="n">
        <x:v>2025</x:v>
      </x:c>
      <x:c r="D115" s="20" t="str">
        <x:f>FDOE_Grades_2025_Raw!W115</x:f>
        <x:v>C</x:v>
      </x:c>
      <x:c r="E115" s="25">
        <x:f>IF(D115="A",4,IF(D115="B",3,IF(D115="C",2,IF(D115="D",1,IF(D115="F",0,"")))))</x:f>
        <x:v>2</x:v>
      </x:c>
      <x:c r="F115" s="25">
        <x:f>FDOE_Grades_2025_Raw!K115</x:f>
        <x:v>43</x:v>
      </x:c>
      <x:c r="G115" s="25">
        <x:f>FDOE_Grades_2025_Raw!M115</x:f>
        <x:v>40</x:v>
      </x:c>
      <x:c r="H115" s="25">
        <x:f>FDOE_Grades_2025_Raw!L115</x:f>
        <x:v>61</x:v>
      </x:c>
      <x:c r="I115" s="25">
        <x:f>FDOE_Grades_2025_Raw!Q115</x:f>
        <x:v>0</x:v>
      </x:c>
      <x:c r="J115" s="25">
        <x:f>FDOE_Grades_2025_Raw!R115</x:f>
        <x:v>0</x:v>
      </x:c>
      <x:c r="K115" s="25">
        <x:f>IF($A115="","",ROUND((Scoring_Model!$B$9*($E115/4)*100)+(Scoring_Model!$B$10*$F115)+(Scoring_Model!$B$11*$G115)+(Scoring_Model!$B$12*$H115)+(Scoring_Model!$B$13*IF($I115="",0,$I115))+(Scoring_Model!$B$14*IF($J115="",0,$J115)),1))</x:f>
        <x:v>43.7</x:v>
      </x:c>
      <x:c r="L115" s="20" t="inlineStr">
        <x:is>
          <x:t xml:space="preserve">https://www.fldoe.org/file/18534/SchoolGrades25.xlsx</x:t>
        </x:is>
      </x:c>
      <x:c r="M115" s="20" t="inlineStr">
        <x:is>
          <x:t xml:space="preserve">School type Elementary; growth field currently uses official ELA learning gains in this starter model.</x:t>
        </x:is>
      </x:c>
    </x:row>
    <x:row r="116">
      <x:c r="A116" s="20" t="str">
        <x:f>FDOE_Grades_2025_Raw!A116</x:f>
        <x:v>490932</x:v>
      </x:c>
      <x:c r="B116" s="20" t="str">
        <x:f>FDOE_Grades_2025_Raw!E116</x:f>
        <x:v>BELLALAGO CHARTER ACADEMY</x:v>
      </x:c>
      <x:c r="C116" s="20" t="n">
        <x:v>2025</x:v>
      </x:c>
      <x:c r="D116" s="20" t="str">
        <x:f>FDOE_Grades_2025_Raw!W116</x:f>
        <x:v>B</x:v>
      </x:c>
      <x:c r="E116" s="25">
        <x:f>IF(D116="A",4,IF(D116="B",3,IF(D116="C",2,IF(D116="D",1,IF(D116="F",0,"")))))</x:f>
        <x:v>3</x:v>
      </x:c>
      <x:c r="F116" s="25">
        <x:f>FDOE_Grades_2025_Raw!K116</x:f>
        <x:v>56</x:v>
      </x:c>
      <x:c r="G116" s="25">
        <x:f>FDOE_Grades_2025_Raw!M116</x:f>
        <x:v>55</x:v>
      </x:c>
      <x:c r="H116" s="25">
        <x:f>FDOE_Grades_2025_Raw!L116</x:f>
        <x:v>56</x:v>
      </x:c>
      <x:c r="I116" s="25">
        <x:f>FDOE_Grades_2025_Raw!Q116</x:f>
        <x:v>0</x:v>
      </x:c>
      <x:c r="J116" s="25">
        <x:f>FDOE_Grades_2025_Raw!R116</x:f>
        <x:v>0</x:v>
      </x:c>
      <x:c r="K116" s="25">
        <x:f>IF($A116="","",ROUND((Scoring_Model!$B$9*($E116/4)*100)+(Scoring_Model!$B$10*$F116)+(Scoring_Model!$B$11*$G116)+(Scoring_Model!$B$12*$H116)+(Scoring_Model!$B$13*IF($I116="",0,$I116))+(Scoring_Model!$B$14*IF($J116="",0,$J116)),1))</x:f>
        <x:v>59.8</x:v>
      </x:c>
      <x:c r="L116" s="20" t="inlineStr">
        <x:is>
          <x:t xml:space="preserve">https://www.fldoe.org/file/18534/SchoolGrades25.xlsx</x:t>
        </x:is>
      </x:c>
      <x:c r="M116" s="20" t="inlineStr">
        <x:is>
          <x:t xml:space="preserve">School type Combination; growth field currently uses official ELA learning gains in this starter model.</x:t>
        </x:is>
      </x:c>
    </x:row>
    <x:row r="117">
      <x:c r="A117" s="20" t="str">
        <x:f>FDOE_Grades_2025_Raw!A117</x:f>
        <x:v>490933</x:v>
      </x:c>
      <x:c r="B117" s="20" t="str">
        <x:f>FDOE_Grades_2025_Raw!E117</x:f>
        <x:v>NEPTUNE ELEMENTARY SCHOOL</x:v>
      </x:c>
      <x:c r="C117" s="20" t="n">
        <x:v>2025</x:v>
      </x:c>
      <x:c r="D117" s="20" t="str">
        <x:f>FDOE_Grades_2025_Raw!W117</x:f>
        <x:v>C</x:v>
      </x:c>
      <x:c r="E117" s="25">
        <x:f>IF(D117="A",4,IF(D117="B",3,IF(D117="C",2,IF(D117="D",1,IF(D117="F",0,"")))))</x:f>
        <x:v>2</x:v>
      </x:c>
      <x:c r="F117" s="25">
        <x:f>FDOE_Grades_2025_Raw!K117</x:f>
        <x:v>47</x:v>
      </x:c>
      <x:c r="G117" s="25">
        <x:f>FDOE_Grades_2025_Raw!M117</x:f>
        <x:v>58</x:v>
      </x:c>
      <x:c r="H117" s="25">
        <x:f>FDOE_Grades_2025_Raw!L117</x:f>
        <x:v>51</x:v>
      </x:c>
      <x:c r="I117" s="25">
        <x:f>FDOE_Grades_2025_Raw!Q117</x:f>
        <x:v>0</x:v>
      </x:c>
      <x:c r="J117" s="25">
        <x:f>FDOE_Grades_2025_Raw!R117</x:f>
        <x:v>0</x:v>
      </x:c>
      <x:c r="K117" s="25">
        <x:f>IF($A117="","",ROUND((Scoring_Model!$B$9*($E117/4)*100)+(Scoring_Model!$B$10*$F117)+(Scoring_Model!$B$11*$G117)+(Scoring_Model!$B$12*$H117)+(Scoring_Model!$B$13*IF($I117="",0,$I117))+(Scoring_Model!$B$14*IF($J117="",0,$J117)),1))</x:f>
        <x:v>45.3</x:v>
      </x:c>
      <x:c r="L117" s="20" t="inlineStr">
        <x:is>
          <x:t xml:space="preserve">https://www.fldoe.org/file/18534/SchoolGrades25.xlsx</x:t>
        </x:is>
      </x:c>
      <x:c r="M117" s="20" t="inlineStr">
        <x:is>
          <x:t xml:space="preserve">School type Elementary; growth field currently uses official ELA learning gains in this starter model.</x:t>
        </x:is>
      </x:c>
    </x:row>
    <x:row r="118">
      <x:c r="A118" s="20" t="str">
        <x:f>FDOE_Grades_2025_Raw!A118</x:f>
        <x:v>490957</x:v>
      </x:c>
      <x:c r="B118" s="20" t="str">
        <x:f>FDOE_Grades_2025_Raw!E118</x:f>
        <x:v>CHESTNUT ELEMENTARY SCHOOL FOR SCIENCE AND ENGINEERING</x:v>
      </x:c>
      <x:c r="C118" s="20" t="n">
        <x:v>2025</x:v>
      </x:c>
      <x:c r="D118" s="20" t="str">
        <x:f>FDOE_Grades_2025_Raw!W118</x:f>
        <x:v>C</x:v>
      </x:c>
      <x:c r="E118" s="25">
        <x:f>IF(D118="A",4,IF(D118="B",3,IF(D118="C",2,IF(D118="D",1,IF(D118="F",0,"")))))</x:f>
        <x:v>2</x:v>
      </x:c>
      <x:c r="F118" s="25">
        <x:f>FDOE_Grades_2025_Raw!K118</x:f>
        <x:v>45</x:v>
      </x:c>
      <x:c r="G118" s="25">
        <x:f>FDOE_Grades_2025_Raw!M118</x:f>
        <x:v>51</x:v>
      </x:c>
      <x:c r="H118" s="25">
        <x:f>FDOE_Grades_2025_Raw!L118</x:f>
        <x:v>54</x:v>
      </x:c>
      <x:c r="I118" s="25">
        <x:f>FDOE_Grades_2025_Raw!Q118</x:f>
        <x:v>0</x:v>
      </x:c>
      <x:c r="J118" s="25">
        <x:f>FDOE_Grades_2025_Raw!R118</x:f>
        <x:v>0</x:v>
      </x:c>
      <x:c r="K118" s="25">
        <x:f>IF($A118="","",ROUND((Scoring_Model!$B$9*($E118/4)*100)+(Scoring_Model!$B$10*$F118)+(Scoring_Model!$B$11*$G118)+(Scoring_Model!$B$12*$H118)+(Scoring_Model!$B$13*IF($I118="",0,$I118))+(Scoring_Model!$B$14*IF($J118="",0,$J118)),1))</x:f>
        <x:v>44.5</x:v>
      </x:c>
      <x:c r="L118" s="20" t="inlineStr">
        <x:is>
          <x:t xml:space="preserve">https://www.fldoe.org/file/18534/SchoolGrades25.xlsx</x:t>
        </x:is>
      </x:c>
      <x:c r="M118" s="20" t="inlineStr">
        <x:is>
          <x:t xml:space="preserve">School type Elementary; growth field currently uses official ELA learning gains in this starter model.</x:t>
        </x:is>
      </x:c>
    </x:row>
    <x:row r="119">
      <x:c r="A119" s="20" t="str">
        <x:f>FDOE_Grades_2025_Raw!A119</x:f>
        <x:v>490958</x:v>
      </x:c>
      <x:c r="B119" s="20" t="str">
        <x:f>FDOE_Grades_2025_Raw!E119</x:f>
        <x:v>SUNRISE ELEMENTARY SCHOOL</x:v>
      </x:c>
      <x:c r="C119" s="20" t="n">
        <x:v>2025</x:v>
      </x:c>
      <x:c r="D119" s="20" t="str">
        <x:f>FDOE_Grades_2025_Raw!W119</x:f>
        <x:v>C</x:v>
      </x:c>
      <x:c r="E119" s="25">
        <x:f>IF(D119="A",4,IF(D119="B",3,IF(D119="C",2,IF(D119="D",1,IF(D119="F",0,"")))))</x:f>
        <x:v>2</x:v>
      </x:c>
      <x:c r="F119" s="25">
        <x:f>FDOE_Grades_2025_Raw!K119</x:f>
        <x:v>54</x:v>
      </x:c>
      <x:c r="G119" s="25">
        <x:f>FDOE_Grades_2025_Raw!M119</x:f>
        <x:v>46</x:v>
      </x:c>
      <x:c r="H119" s="25">
        <x:f>FDOE_Grades_2025_Raw!L119</x:f>
        <x:v>60</x:v>
      </x:c>
      <x:c r="I119" s="25">
        <x:f>FDOE_Grades_2025_Raw!Q119</x:f>
        <x:v>0</x:v>
      </x:c>
      <x:c r="J119" s="25">
        <x:f>FDOE_Grades_2025_Raw!R119</x:f>
        <x:v>0</x:v>
      </x:c>
      <x:c r="K119" s="25">
        <x:f>IF($A119="","",ROUND((Scoring_Model!$B$9*($E119/4)*100)+(Scoring_Model!$B$10*$F119)+(Scoring_Model!$B$11*$G119)+(Scoring_Model!$B$12*$H119)+(Scoring_Model!$B$13*IF($I119="",0,$I119))+(Scoring_Model!$B$14*IF($J119="",0,$J119)),1))</x:f>
        <x:v>46.4</x:v>
      </x:c>
      <x:c r="L119" s="20" t="inlineStr">
        <x:is>
          <x:t xml:space="preserve">https://www.fldoe.org/file/18534/SchoolGrades25.xlsx</x:t>
        </x:is>
      </x:c>
      <x:c r="M119" s="20" t="inlineStr">
        <x:is>
          <x:t xml:space="preserve">School type Elementary; growth field currently uses official ELA learning gains in this starter model.</x:t>
        </x:is>
      </x:c>
    </x:row>
    <x:row r="120">
      <x:c r="A120" s="20" t="str">
        <x:f>FDOE_Grades_2025_Raw!A120</x:f>
        <x:v>490961</x:v>
      </x:c>
      <x:c r="B120" s="20" t="str">
        <x:f>FDOE_Grades_2025_Raw!E120</x:f>
        <x:v>EAST LAKE ELEMENTARY SCHOOL</x:v>
      </x:c>
      <x:c r="C120" s="20" t="n">
        <x:v>2025</x:v>
      </x:c>
      <x:c r="D120" s="20" t="str">
        <x:f>FDOE_Grades_2025_Raw!W120</x:f>
        <x:v>C</x:v>
      </x:c>
      <x:c r="E120" s="25">
        <x:f>IF(D120="A",4,IF(D120="B",3,IF(D120="C",2,IF(D120="D",1,IF(D120="F",0,"")))))</x:f>
        <x:v>2</x:v>
      </x:c>
      <x:c r="F120" s="25">
        <x:f>FDOE_Grades_2025_Raw!K120</x:f>
        <x:v>54</x:v>
      </x:c>
      <x:c r="G120" s="25">
        <x:f>FDOE_Grades_2025_Raw!M120</x:f>
        <x:v>57</x:v>
      </x:c>
      <x:c r="H120" s="25">
        <x:f>FDOE_Grades_2025_Raw!L120</x:f>
        <x:v>52</x:v>
      </x:c>
      <x:c r="I120" s="25">
        <x:f>FDOE_Grades_2025_Raw!Q120</x:f>
        <x:v>0</x:v>
      </x:c>
      <x:c r="J120" s="25">
        <x:f>FDOE_Grades_2025_Raw!R120</x:f>
        <x:v>0</x:v>
      </x:c>
      <x:c r="K120" s="25">
        <x:f>IF($A120="","",ROUND((Scoring_Model!$B$9*($E120/4)*100)+(Scoring_Model!$B$10*$F120)+(Scoring_Model!$B$11*$G120)+(Scoring_Model!$B$12*$H120)+(Scoring_Model!$B$13*IF($I120="",0,$I120))+(Scoring_Model!$B$14*IF($J120="",0,$J120)),1))</x:f>
        <x:v>46.7</x:v>
      </x:c>
      <x:c r="L120" s="20" t="inlineStr">
        <x:is>
          <x:t xml:space="preserve">https://www.fldoe.org/file/18534/SchoolGrades25.xlsx</x:t>
        </x:is>
      </x:c>
      <x:c r="M120" s="20" t="inlineStr">
        <x:is>
          <x:t xml:space="preserve">School type Elementary; growth field currently uses official ELA learning gains in this starter model.</x:t>
        </x:is>
      </x:c>
    </x:row>
    <x:row r="121">
      <x:c r="A121" s="20" t="str">
        <x:f>FDOE_Grades_2025_Raw!A121</x:f>
        <x:v>490962</x:v>
      </x:c>
      <x:c r="B121" s="20" t="str">
        <x:f>FDOE_Grades_2025_Raw!E121</x:f>
        <x:v>NEOCITY ACADEMY</x:v>
      </x:c>
      <x:c r="C121" s="20" t="n">
        <x:v>2025</x:v>
      </x:c>
      <x:c r="D121" s="20" t="str">
        <x:f>FDOE_Grades_2025_Raw!W121</x:f>
        <x:v>A</x:v>
      </x:c>
      <x:c r="E121" s="25">
        <x:f>IF(D121="A",4,IF(D121="B",3,IF(D121="C",2,IF(D121="D",1,IF(D121="F",0,"")))))</x:f>
        <x:v>4</x:v>
      </x:c>
      <x:c r="F121" s="25">
        <x:f>FDOE_Grades_2025_Raw!K121</x:f>
        <x:v>96</x:v>
      </x:c>
      <x:c r="G121" s="25">
        <x:f>FDOE_Grades_2025_Raw!M121</x:f>
        <x:v>95</x:v>
      </x:c>
      <x:c r="H121" s="25">
        <x:f>FDOE_Grades_2025_Raw!L121</x:f>
        <x:v>69</x:v>
      </x:c>
      <x:c r="I121" s="25">
        <x:f>FDOE_Grades_2025_Raw!Q121</x:f>
        <x:v>100</x:v>
      </x:c>
      <x:c r="J121" s="25">
        <x:f>FDOE_Grades_2025_Raw!R121</x:f>
        <x:v>99</x:v>
      </x:c>
      <x:c r="K121" s="25">
        <x:f>IF($A121="","",ROUND((Scoring_Model!$B$9*($E121/4)*100)+(Scoring_Model!$B$10*$F121)+(Scoring_Model!$B$11*$G121)+(Scoring_Model!$B$12*$H121)+(Scoring_Model!$B$13*IF($I121="",0,$I121))+(Scoring_Model!$B$14*IF($J121="",0,$J121)),1))</x:f>
        <x:v>95.6</x:v>
      </x:c>
      <x:c r="L121" s="20" t="inlineStr">
        <x:is>
          <x:t xml:space="preserve">https://www.fldoe.org/file/18534/SchoolGrades25.xlsx</x:t>
        </x:is>
      </x:c>
      <x:c r="M121" s="20" t="inlineStr">
        <x:is>
          <x:t xml:space="preserve">School type Senior High; growth field currently uses official ELA learning gains in this starter model.</x:t>
        </x:is>
      </x:c>
    </x:row>
    <x:row r="122">
      <x:c r="A122" s="20" t="str">
        <x:f>FDOE_Grades_2025_Raw!A122</x:f>
        <x:v>490971</x:v>
      </x:c>
      <x:c r="B122" s="20" t="str">
        <x:f>FDOE_Grades_2025_Raw!E122</x:f>
        <x:v>MATER BRIGHTON LAKES ACADEMY PREPARATORY HIGH</x:v>
      </x:c>
      <x:c r="C122" s="20" t="n">
        <x:v>2025</x:v>
      </x:c>
      <x:c r="D122" s="20" t="str">
        <x:f>FDOE_Grades_2025_Raw!W122</x:f>
        <x:v>B</x:v>
      </x:c>
      <x:c r="E122" s="25">
        <x:f>IF(D122="A",4,IF(D122="B",3,IF(D122="C",2,IF(D122="D",1,IF(D122="F",0,"")))))</x:f>
        <x:v>3</x:v>
      </x:c>
      <x:c r="F122" s="25">
        <x:f>FDOE_Grades_2025_Raw!K122</x:f>
        <x:v>49</x:v>
      </x:c>
      <x:c r="G122" s="25">
        <x:f>FDOE_Grades_2025_Raw!M122</x:f>
        <x:v>38</x:v>
      </x:c>
      <x:c r="H122" s="25">
        <x:f>FDOE_Grades_2025_Raw!L122</x:f>
        <x:v>57</x:v>
      </x:c>
      <x:c r="I122" s="25">
        <x:f>FDOE_Grades_2025_Raw!Q122</x:f>
        <x:v>92</x:v>
      </x:c>
      <x:c r="J122" s="25">
        <x:f>FDOE_Grades_2025_Raw!R122</x:f>
        <x:v>72</x:v>
      </x:c>
      <x:c r="K122" s="25">
        <x:f>IF($A122="","",ROUND((Scoring_Model!$B$9*($E122/4)*100)+(Scoring_Model!$B$10*$F122)+(Scoring_Model!$B$11*$G122)+(Scoring_Model!$B$12*$H122)+(Scoring_Model!$B$13*IF($I122="",0,$I122))+(Scoring_Model!$B$14*IF($J122="",0,$J122)),1))</x:f>
        <x:v>65</x:v>
      </x:c>
      <x:c r="L122" s="20" t="inlineStr">
        <x:is>
          <x:t xml:space="preserve">https://www.fldoe.org/file/18534/SchoolGrades25.xlsx</x:t>
        </x:is>
      </x:c>
      <x:c r="M122" s="20" t="inlineStr">
        <x:is>
          <x:t xml:space="preserve">School type Senior High; growth field currently uses official ELA learning gains in this starter model.</x:t>
        </x:is>
      </x:c>
    </x:row>
    <x:row r="123">
      <x:c r="A123" s="20" t="str">
        <x:f>FDOE_Grades_2025_Raw!A123</x:f>
        <x:v>490991</x:v>
      </x:c>
      <x:c r="B123" s="20" t="str">
        <x:f>FDOE_Grades_2025_Raw!E123</x:f>
        <x:v>CANOE CREEK K-8</x:v>
      </x:c>
      <x:c r="C123" s="20" t="n">
        <x:v>2025</x:v>
      </x:c>
      <x:c r="D123" s="20" t="str">
        <x:f>FDOE_Grades_2025_Raw!W123</x:f>
        <x:v>A</x:v>
      </x:c>
      <x:c r="E123" s="25">
        <x:f>IF(D123="A",4,IF(D123="B",3,IF(D123="C",2,IF(D123="D",1,IF(D123="F",0,"")))))</x:f>
        <x:v>4</x:v>
      </x:c>
      <x:c r="F123" s="25">
        <x:f>FDOE_Grades_2025_Raw!K123</x:f>
        <x:v>72</x:v>
      </x:c>
      <x:c r="G123" s="25">
        <x:f>FDOE_Grades_2025_Raw!M123</x:f>
        <x:v>83</x:v>
      </x:c>
      <x:c r="H123" s="25">
        <x:f>FDOE_Grades_2025_Raw!L123</x:f>
        <x:v>64</x:v>
      </x:c>
      <x:c r="I123" s="25">
        <x:f>FDOE_Grades_2025_Raw!Q123</x:f>
        <x:v>0</x:v>
      </x:c>
      <x:c r="J123" s="25">
        <x:f>FDOE_Grades_2025_Raw!R123</x:f>
        <x:v>0</x:v>
      </x:c>
      <x:c r="K123" s="25">
        <x:f>IF($A123="","",ROUND((Scoring_Model!$B$9*($E123/4)*100)+(Scoring_Model!$B$10*$F123)+(Scoring_Model!$B$11*$G123)+(Scoring_Model!$B$12*$H123)+(Scoring_Model!$B$13*IF($I123="",0,$I123))+(Scoring_Model!$B$14*IF($J123="",0,$J123)),1))</x:f>
        <x:v>79.1</x:v>
      </x:c>
      <x:c r="L123" s="20" t="inlineStr">
        <x:is>
          <x:t xml:space="preserve">https://www.fldoe.org/file/18534/SchoolGrades25.xlsx</x:t>
        </x:is>
      </x:c>
      <x:c r="M123" s="20" t="inlineStr">
        <x:is>
          <x:t xml:space="preserve">School type Combination; growth field currently uses official ELA learning gains in this starter model.</x:t>
        </x:is>
      </x:c>
    </x:row>
    <x:row r="124">
      <x:c r="A124" s="20" t="str">
        <x:f>FDOE_Grades_2025_Raw!A124</x:f>
        <x:v>492941</x:v>
      </x:c>
      <x:c r="B124" s="20" t="str">
        <x:f>FDOE_Grades_2025_Raw!E124</x:f>
        <x:v>KNIGHTS POINT K-8</x:v>
      </x:c>
      <x:c r="C124" s="20" t="n">
        <x:v>2025</x:v>
      </x:c>
      <x:c r="D124" s="20" t="str">
        <x:f>FDOE_Grades_2025_Raw!W124</x:f>
        <x:v>D</x:v>
      </x:c>
      <x:c r="E124" s="25">
        <x:f>IF(D124="A",4,IF(D124="B",3,IF(D124="C",2,IF(D124="D",1,IF(D124="F",0,"")))))</x:f>
        <x:v>1</x:v>
      </x:c>
      <x:c r="F124" s="25">
        <x:f>FDOE_Grades_2025_Raw!K124</x:f>
        <x:v>29</x:v>
      </x:c>
      <x:c r="G124" s="25">
        <x:f>FDOE_Grades_2025_Raw!M124</x:f>
        <x:v>27</x:v>
      </x:c>
      <x:c r="H124" s="25">
        <x:f>FDOE_Grades_2025_Raw!L124</x:f>
        <x:v>43</x:v>
      </x:c>
      <x:c r="I124" s="25">
        <x:f>FDOE_Grades_2025_Raw!Q124</x:f>
        <x:v>0</x:v>
      </x:c>
      <x:c r="J124" s="25">
        <x:f>FDOE_Grades_2025_Raw!R124</x:f>
        <x:v>0</x:v>
      </x:c>
      <x:c r="K124" s="25">
        <x:f>IF($A124="","",ROUND((Scoring_Model!$B$9*($E124/4)*100)+(Scoring_Model!$B$10*$F124)+(Scoring_Model!$B$11*$G124)+(Scoring_Model!$B$12*$H124)+(Scoring_Model!$B$13*IF($I124="",0,$I124))+(Scoring_Model!$B$14*IF($J124="",0,$J124)),1))</x:f>
        <x:v>25.3</x:v>
      </x:c>
      <x:c r="L124" s="20" t="inlineStr">
        <x:is>
          <x:t xml:space="preserve">https://www.fldoe.org/file/18534/SchoolGrades25.xlsx</x:t>
        </x:is>
      </x:c>
      <x:c r="M124" s="20" t="inlineStr">
        <x:is>
          <x:t xml:space="preserve">School type Combination; growth field currently uses official ELA learning gains in this starter model.</x:t>
        </x:is>
      </x:c>
    </x:row>
    <x:row r="125">
      <x:c r="A125" s="20" t="str">
        <x:f>FDOE_Grades_2025_Raw!A125</x:f>
        <x:v>492942</x:v>
      </x:c>
      <x:c r="B125" s="20" t="str">
        <x:f>FDOE_Grades_2025_Raw!E125</x:f>
        <x:v>VOYAGER K-8</x:v>
      </x:c>
      <x:c r="C125" s="20" t="n">
        <x:v>2025</x:v>
      </x:c>
      <x:c r="D125" s="20" t="str">
        <x:f>FDOE_Grades_2025_Raw!W125</x:f>
        <x:v>A</x:v>
      </x:c>
      <x:c r="E125" s="25">
        <x:f>IF(D125="A",4,IF(D125="B",3,IF(D125="C",2,IF(D125="D",1,IF(D125="F",0,"")))))</x:f>
        <x:v>4</x:v>
      </x:c>
      <x:c r="F125" s="25">
        <x:f>FDOE_Grades_2025_Raw!K125</x:f>
        <x:v>71</x:v>
      </x:c>
      <x:c r="G125" s="25">
        <x:f>FDOE_Grades_2025_Raw!M125</x:f>
        <x:v>81</x:v>
      </x:c>
      <x:c r="H125" s="25">
        <x:f>FDOE_Grades_2025_Raw!L125</x:f>
        <x:v>68</x:v>
      </x:c>
      <x:c r="I125" s="25">
        <x:f>FDOE_Grades_2025_Raw!Q125</x:f>
        <x:v>0</x:v>
      </x:c>
      <x:c r="J125" s="25">
        <x:f>FDOE_Grades_2025_Raw!R125</x:f>
        <x:v>0</x:v>
      </x:c>
      <x:c r="K125" s="25">
        <x:f>IF($A125="","",ROUND((Scoring_Model!$B$9*($E125/4)*100)+(Scoring_Model!$B$10*$F125)+(Scoring_Model!$B$11*$G125)+(Scoring_Model!$B$12*$H125)+(Scoring_Model!$B$13*IF($I125="",0,$I125))+(Scoring_Model!$B$14*IF($J125="",0,$J125)),1))</x:f>
        <x:v>79.1</x:v>
      </x:c>
      <x:c r="L125" s="20" t="inlineStr">
        <x:is>
          <x:t xml:space="preserve">https://www.fldoe.org/file/18534/SchoolGrades25.xlsx</x:t>
        </x:is>
      </x:c>
      <x:c r="M125" s="20" t="inlineStr">
        <x:is>
          <x:t xml:space="preserve">School type Combination; growth field currently uses official ELA learning gains in this starter model.</x:t>
        </x:is>
      </x:c>
    </x:row>
    <x:row r="126">
      <x:c r="A126" s="20" t="str">
        <x:f>FDOE_Grades_2025_Raw!A126</x:f>
        <x:v>497004</x:v>
      </x:c>
      <x:c r="B126" s="20" t="str">
        <x:f>FDOE_Grades_2025_Raw!E126</x:f>
        <x:v>OSCEOLA VIRTUAL FRANCHISE (SECONDARY)</x:v>
      </x:c>
      <x:c r="C126" s="20" t="n">
        <x:v>2025</x:v>
      </x:c>
      <x:c r="D126" s="20" t="str">
        <x:f>FDOE_Grades_2025_Raw!W126</x:f>
        <x:v>A</x:v>
      </x:c>
      <x:c r="E126" s="25">
        <x:f>IF(D126="A",4,IF(D126="B",3,IF(D126="C",2,IF(D126="D",1,IF(D126="F",0,"")))))</x:f>
        <x:v>4</x:v>
      </x:c>
      <x:c r="F126" s="25">
        <x:f>FDOE_Grades_2025_Raw!K126</x:f>
        <x:v>84</x:v>
      </x:c>
      <x:c r="G126" s="25">
        <x:f>FDOE_Grades_2025_Raw!M126</x:f>
        <x:v>64</x:v>
      </x:c>
      <x:c r="H126" s="25">
        <x:f>FDOE_Grades_2025_Raw!L126</x:f>
        <x:v>61</x:v>
      </x:c>
      <x:c r="I126" s="25">
        <x:f>FDOE_Grades_2025_Raw!Q126</x:f>
        <x:v>95</x:v>
      </x:c>
      <x:c r="J126" s="25">
        <x:f>FDOE_Grades_2025_Raw!R126</x:f>
        <x:v>49</x:v>
      </x:c>
      <x:c r="K126" s="25">
        <x:f>IF($A126="","",ROUND((Scoring_Model!$B$9*($E126/4)*100)+(Scoring_Model!$B$10*$F126)+(Scoring_Model!$B$11*$G126)+(Scoring_Model!$B$12*$H126)+(Scoring_Model!$B$13*IF($I126="",0,$I126))+(Scoring_Model!$B$14*IF($J126="",0,$J126)),1))</x:f>
        <x:v>86.5</x:v>
      </x:c>
      <x:c r="L126" s="20" t="inlineStr">
        <x:is>
          <x:t xml:space="preserve">https://www.fldoe.org/file/18534/SchoolGrades25.xlsx</x:t>
        </x:is>
      </x:c>
      <x:c r="M126" s="20" t="inlineStr">
        <x:is>
          <x:t xml:space="preserve">School type Combination; growth field currently uses official ELA learning gains in this starter model.</x:t>
        </x:is>
      </x:c>
    </x:row>
    <x:row r="127">
      <x:c r="A127" s="20" t="str">
        <x:f>FDOE_Grades_2025_Raw!A127</x:f>
        <x:v>497030</x:v>
      </x:c>
      <x:c r="B127" s="20" t="str">
        <x:f>FDOE_Grades_2025_Raw!E127</x:f>
        <x:v>VIRTUAL PREPARATORY ACADEMY OF FLORIDA</x:v>
      </x:c>
      <x:c r="C127" s="20" t="n">
        <x:v>2025</x:v>
      </x:c>
      <x:c r="D127" s="20" t="str">
        <x:f>FDOE_Grades_2025_Raw!W127</x:f>
        <x:v>F</x:v>
      </x:c>
      <x:c r="E127" s="25">
        <x:f>IF(D127="A",4,IF(D127="B",3,IF(D127="C",2,IF(D127="D",1,IF(D127="F",0,"")))))</x:f>
        <x:v>0</x:v>
      </x:c>
      <x:c r="F127" s="25">
        <x:f>FDOE_Grades_2025_Raw!K127</x:f>
        <x:v>36</x:v>
      </x:c>
      <x:c r="G127" s="25">
        <x:f>FDOE_Grades_2025_Raw!M127</x:f>
        <x:v>14</x:v>
      </x:c>
      <x:c r="H127" s="25">
        <x:f>FDOE_Grades_2025_Raw!L127</x:f>
        <x:v>44</x:v>
      </x:c>
      <x:c r="I127" s="25">
        <x:f>FDOE_Grades_2025_Raw!Q127</x:f>
        <x:v>0</x:v>
      </x:c>
      <x:c r="J127" s="25">
        <x:f>FDOE_Grades_2025_Raw!R127</x:f>
        <x:v>0</x:v>
      </x:c>
      <x:c r="K127" s="25">
        <x:f>IF($A127="","",ROUND((Scoring_Model!$B$9*($E127/4)*100)+(Scoring_Model!$B$10*$F127)+(Scoring_Model!$B$11*$G127)+(Scoring_Model!$B$12*$H127)+(Scoring_Model!$B$13*IF($I127="",0,$I127))+(Scoring_Model!$B$14*IF($J127="",0,$J127)),1))</x:f>
        <x:v>13</x:v>
      </x:c>
      <x:c r="L127" s="20" t="inlineStr">
        <x:is>
          <x:t xml:space="preserve">https://www.fldoe.org/file/18534/SchoolGrades25.xlsx</x:t>
        </x:is>
      </x:c>
      <x:c r="M127" s="20" t="inlineStr">
        <x:is>
          <x:t xml:space="preserve">School type Combination; growth field currently uses official ELA learning gains in this starter model.</x:t>
        </x:is>
      </x:c>
    </x:row>
    <x:row r="128">
      <x:c r="A128" s="20" t="str">
        <x:f>FDOE_Grades_2025_Raw!A128</x:f>
        <x:v>530031</x:v>
      </x:c>
      <x:c r="B128" s="20" t="str">
        <x:f>FDOE_Grades_2025_Raw!E128</x:f>
        <x:v>LAKELAND SENIOR HIGH SCHOOL</x:v>
      </x:c>
      <x:c r="C128" s="20" t="n">
        <x:v>2025</x:v>
      </x:c>
      <x:c r="D128" s="20" t="str">
        <x:f>FDOE_Grades_2025_Raw!W128</x:f>
        <x:v>B</x:v>
      </x:c>
      <x:c r="E128" s="25">
        <x:f>IF(D128="A",4,IF(D128="B",3,IF(D128="C",2,IF(D128="D",1,IF(D128="F",0,"")))))</x:f>
        <x:v>3</x:v>
      </x:c>
      <x:c r="F128" s="25">
        <x:f>FDOE_Grades_2025_Raw!K128</x:f>
        <x:v>61</x:v>
      </x:c>
      <x:c r="G128" s="25">
        <x:f>FDOE_Grades_2025_Raw!M128</x:f>
        <x:v>28</x:v>
      </x:c>
      <x:c r="H128" s="25">
        <x:f>FDOE_Grades_2025_Raw!L128</x:f>
        <x:v>59</x:v>
      </x:c>
      <x:c r="I128" s="25">
        <x:f>FDOE_Grades_2025_Raw!Q128</x:f>
        <x:v>91</x:v>
      </x:c>
      <x:c r="J128" s="25">
        <x:f>FDOE_Grades_2025_Raw!R128</x:f>
        <x:v>70</x:v>
      </x:c>
      <x:c r="K128" s="25">
        <x:f>IF($A128="","",ROUND((Scoring_Model!$B$9*($E128/4)*100)+(Scoring_Model!$B$10*$F128)+(Scoring_Model!$B$11*$G128)+(Scoring_Model!$B$12*$H128)+(Scoring_Model!$B$13*IF($I128="",0,$I128))+(Scoring_Model!$B$14*IF($J128="",0,$J128)),1))</x:f>
        <x:v>66.4</x:v>
      </x:c>
      <x:c r="L128" s="20" t="inlineStr">
        <x:is>
          <x:t xml:space="preserve">https://www.fldoe.org/file/18534/SchoolGrades25.xlsx</x:t>
        </x:is>
      </x:c>
      <x:c r="M128" s="20" t="inlineStr">
        <x:is>
          <x:t xml:space="preserve">School type Senior High; growth field currently uses official ELA learning gains in this starter model.</x:t>
        </x:is>
      </x:c>
    </x:row>
    <x:row r="129">
      <x:c r="A129" s="20" t="str">
        <x:f>FDOE_Grades_2025_Raw!A129</x:f>
        <x:v>530043</x:v>
      </x:c>
      <x:c r="B129" s="20" t="str">
        <x:f>FDOE_Grades_2025_Raw!E129</x:f>
        <x:v>LAWTON CHILES MIDDLE ACADEMY</x:v>
      </x:c>
      <x:c r="C129" s="20" t="n">
        <x:v>2025</x:v>
      </x:c>
      <x:c r="D129" s="20" t="str">
        <x:f>FDOE_Grades_2025_Raw!W129</x:f>
        <x:v>A</x:v>
      </x:c>
      <x:c r="E129" s="25">
        <x:f>IF(D129="A",4,IF(D129="B",3,IF(D129="C",2,IF(D129="D",1,IF(D129="F",0,"")))))</x:f>
        <x:v>4</x:v>
      </x:c>
      <x:c r="F129" s="25">
        <x:f>FDOE_Grades_2025_Raw!K129</x:f>
        <x:v>74</x:v>
      </x:c>
      <x:c r="G129" s="25">
        <x:f>FDOE_Grades_2025_Raw!M129</x:f>
        <x:v>67</x:v>
      </x:c>
      <x:c r="H129" s="25">
        <x:f>FDOE_Grades_2025_Raw!L129</x:f>
        <x:v>60</x:v>
      </x:c>
      <x:c r="I129" s="25">
        <x:f>FDOE_Grades_2025_Raw!Q129</x:f>
        <x:v>0</x:v>
      </x:c>
      <x:c r="J129" s="25">
        <x:f>FDOE_Grades_2025_Raw!R129</x:f>
        <x:v>0</x:v>
      </x:c>
      <x:c r="K129" s="25">
        <x:f>IF($A129="","",ROUND((Scoring_Model!$B$9*($E129/4)*100)+(Scoring_Model!$B$10*$F129)+(Scoring_Model!$B$11*$G129)+(Scoring_Model!$B$12*$H129)+(Scoring_Model!$B$13*IF($I129="",0,$I129))+(Scoring_Model!$B$14*IF($J129="",0,$J129)),1))</x:f>
        <x:v>77.5</x:v>
      </x:c>
      <x:c r="L129" s="20" t="inlineStr">
        <x:is>
          <x:t xml:space="preserve">https://www.fldoe.org/file/18534/SchoolGrades25.xlsx</x:t>
        </x:is>
      </x:c>
      <x:c r="M129" s="20" t="inlineStr">
        <x:is>
          <x:t xml:space="preserve">School type Middle/Junior; growth field currently uses official ELA learning gains in this starter model.</x:t>
        </x:is>
      </x:c>
    </x:row>
    <x:row r="130">
      <x:c r="A130" s="20" t="str">
        <x:f>FDOE_Grades_2025_Raw!A130</x:f>
        <x:v>530051</x:v>
      </x:c>
      <x:c r="B130" s="20" t="str">
        <x:f>FDOE_Grades_2025_Raw!E130</x:f>
        <x:v>SOUTHWEST MIDDLE SCHOOL</x:v>
      </x:c>
      <x:c r="C130" s="20" t="n">
        <x:v>2025</x:v>
      </x:c>
      <x:c r="D130" s="20" t="str">
        <x:f>FDOE_Grades_2025_Raw!W130</x:f>
        <x:v>C</x:v>
      </x:c>
      <x:c r="E130" s="25">
        <x:f>IF(D130="A",4,IF(D130="B",3,IF(D130="C",2,IF(D130="D",1,IF(D130="F",0,"")))))</x:f>
        <x:v>2</x:v>
      </x:c>
      <x:c r="F130" s="25">
        <x:f>FDOE_Grades_2025_Raw!K130</x:f>
        <x:v>47</x:v>
      </x:c>
      <x:c r="G130" s="25">
        <x:f>FDOE_Grades_2025_Raw!M130</x:f>
        <x:v>37</x:v>
      </x:c>
      <x:c r="H130" s="25">
        <x:f>FDOE_Grades_2025_Raw!L130</x:f>
        <x:v>59</x:v>
      </x:c>
      <x:c r="I130" s="25">
        <x:f>FDOE_Grades_2025_Raw!Q130</x:f>
        <x:v>0</x:v>
      </x:c>
      <x:c r="J130" s="25">
        <x:f>FDOE_Grades_2025_Raw!R130</x:f>
        <x:v>0</x:v>
      </x:c>
      <x:c r="K130" s="25">
        <x:f>IF($A130="","",ROUND((Scoring_Model!$B$9*($E130/4)*100)+(Scoring_Model!$B$10*$F130)+(Scoring_Model!$B$11*$G130)+(Scoring_Model!$B$12*$H130)+(Scoring_Model!$B$13*IF($I130="",0,$I130))+(Scoring_Model!$B$14*IF($J130="",0,$J130)),1))</x:f>
        <x:v>44</x:v>
      </x:c>
      <x:c r="L130" s="20" t="inlineStr">
        <x:is>
          <x:t xml:space="preserve">https://www.fldoe.org/file/18534/SchoolGrades25.xlsx</x:t>
        </x:is>
      </x:c>
      <x:c r="M130" s="20" t="inlineStr">
        <x:is>
          <x:t xml:space="preserve">School type Middle/Junior; growth field currently uses official ELA learning gains in this starter model.</x:t>
        </x:is>
      </x:c>
    </x:row>
    <x:row r="131">
      <x:c r="A131" s="20" t="str">
        <x:f>FDOE_Grades_2025_Raw!A131</x:f>
        <x:v>530061</x:v>
      </x:c>
      <x:c r="B131" s="20" t="str">
        <x:f>FDOE_Grades_2025_Raw!E131</x:f>
        <x:v>CARLTON PALMORE ELEMENTARY SCHOOL</x:v>
      </x:c>
      <x:c r="C131" s="20" t="n">
        <x:v>2025</x:v>
      </x:c>
      <x:c r="D131" s="20" t="str">
        <x:f>FDOE_Grades_2025_Raw!W131</x:f>
        <x:v>B</x:v>
      </x:c>
      <x:c r="E131" s="25">
        <x:f>IF(D131="A",4,IF(D131="B",3,IF(D131="C",2,IF(D131="D",1,IF(D131="F",0,"")))))</x:f>
        <x:v>3</x:v>
      </x:c>
      <x:c r="F131" s="25">
        <x:f>FDOE_Grades_2025_Raw!K131</x:f>
        <x:v>53</x:v>
      </x:c>
      <x:c r="G131" s="25">
        <x:f>FDOE_Grades_2025_Raw!M131</x:f>
        <x:v>47</x:v>
      </x:c>
      <x:c r="H131" s="25">
        <x:f>FDOE_Grades_2025_Raw!L131</x:f>
        <x:v>73</x:v>
      </x:c>
      <x:c r="I131" s="25">
        <x:f>FDOE_Grades_2025_Raw!Q131</x:f>
        <x:v>0</x:v>
      </x:c>
      <x:c r="J131" s="25">
        <x:f>FDOE_Grades_2025_Raw!R131</x:f>
        <x:v>0</x:v>
      </x:c>
      <x:c r="K131" s="25">
        <x:f>IF($A131="","",ROUND((Scoring_Model!$B$9*($E131/4)*100)+(Scoring_Model!$B$10*$F131)+(Scoring_Model!$B$11*$G131)+(Scoring_Model!$B$12*$H131)+(Scoring_Model!$B$13*IF($I131="",0,$I131))+(Scoring_Model!$B$14*IF($J131="",0,$J131)),1))</x:f>
        <x:v>60.1</x:v>
      </x:c>
      <x:c r="L131" s="20" t="inlineStr">
        <x:is>
          <x:t xml:space="preserve">https://www.fldoe.org/file/18534/SchoolGrades25.xlsx</x:t>
        </x:is>
      </x:c>
      <x:c r="M131" s="20" t="inlineStr">
        <x:is>
          <x:t xml:space="preserve">School type Elementary; growth field currently uses official ELA learning gains in this starter model.</x:t>
        </x:is>
      </x:c>
    </x:row>
    <x:row r="132">
      <x:c r="A132" s="20" t="str">
        <x:f>FDOE_Grades_2025_Raw!A132</x:f>
        <x:v>530081</x:v>
      </x:c>
      <x:c r="B132" s="20" t="str">
        <x:f>FDOE_Grades_2025_Raw!E132</x:f>
        <x:v>CLEVELAND COURT ELEMENTARY SCHOOL</x:v>
      </x:c>
      <x:c r="C132" s="20" t="n">
        <x:v>2025</x:v>
      </x:c>
      <x:c r="D132" s="20" t="str">
        <x:f>FDOE_Grades_2025_Raw!W132</x:f>
        <x:v>A</x:v>
      </x:c>
      <x:c r="E132" s="25">
        <x:f>IF(D132="A",4,IF(D132="B",3,IF(D132="C",2,IF(D132="D",1,IF(D132="F",0,"")))))</x:f>
        <x:v>4</x:v>
      </x:c>
      <x:c r="F132" s="25">
        <x:f>FDOE_Grades_2025_Raw!K132</x:f>
        <x:v>75</x:v>
      </x:c>
      <x:c r="G132" s="25">
        <x:f>FDOE_Grades_2025_Raw!M132</x:f>
        <x:v>80</x:v>
      </x:c>
      <x:c r="H132" s="25">
        <x:f>FDOE_Grades_2025_Raw!L132</x:f>
        <x:v>67</x:v>
      </x:c>
      <x:c r="I132" s="25">
        <x:f>FDOE_Grades_2025_Raw!Q132</x:f>
        <x:v>0</x:v>
      </x:c>
      <x:c r="J132" s="25">
        <x:f>FDOE_Grades_2025_Raw!R132</x:f>
        <x:v>0</x:v>
      </x:c>
      <x:c r="K132" s="25">
        <x:f>IF($A132="","",ROUND((Scoring_Model!$B$9*($E132/4)*100)+(Scoring_Model!$B$10*$F132)+(Scoring_Model!$B$11*$G132)+(Scoring_Model!$B$12*$H132)+(Scoring_Model!$B$13*IF($I132="",0,$I132))+(Scoring_Model!$B$14*IF($J132="",0,$J132)),1))</x:f>
        <x:v>79.7</x:v>
      </x:c>
      <x:c r="L132" s="20" t="inlineStr">
        <x:is>
          <x:t xml:space="preserve">https://www.fldoe.org/file/18534/SchoolGrades25.xlsx</x:t>
        </x:is>
      </x:c>
      <x:c r="M132" s="20" t="inlineStr">
        <x:is>
          <x:t xml:space="preserve">School type Elementary; growth field currently uses official ELA learning gains in this starter model.</x:t>
        </x:is>
      </x:c>
    </x:row>
    <x:row r="133">
      <x:c r="A133" s="20" t="str">
        <x:f>FDOE_Grades_2025_Raw!A133</x:f>
        <x:v>530091</x:v>
      </x:c>
      <x:c r="B133" s="20" t="str">
        <x:f>FDOE_Grades_2025_Raw!E133</x:f>
        <x:v>COMBEE ACADEMY OF DESIGN AND ENGINEERING</x:v>
      </x:c>
      <x:c r="C133" s="20" t="n">
        <x:v>2025</x:v>
      </x:c>
      <x:c r="D133" s="20" t="str">
        <x:f>FDOE_Grades_2025_Raw!W133</x:f>
        <x:v>B</x:v>
      </x:c>
      <x:c r="E133" s="25">
        <x:f>IF(D133="A",4,IF(D133="B",3,IF(D133="C",2,IF(D133="D",1,IF(D133="F",0,"")))))</x:f>
        <x:v>3</x:v>
      </x:c>
      <x:c r="F133" s="25">
        <x:f>FDOE_Grades_2025_Raw!K133</x:f>
        <x:v>63</x:v>
      </x:c>
      <x:c r="G133" s="25">
        <x:f>FDOE_Grades_2025_Raw!M133</x:f>
        <x:v>57</x:v>
      </x:c>
      <x:c r="H133" s="25">
        <x:f>FDOE_Grades_2025_Raw!L133</x:f>
        <x:v>63</x:v>
      </x:c>
      <x:c r="I133" s="25">
        <x:f>FDOE_Grades_2025_Raw!Q133</x:f>
        <x:v>0</x:v>
      </x:c>
      <x:c r="J133" s="25">
        <x:f>FDOE_Grades_2025_Raw!R133</x:f>
        <x:v>0</x:v>
      </x:c>
      <x:c r="K133" s="25">
        <x:f>IF($A133="","",ROUND((Scoring_Model!$B$9*($E133/4)*100)+(Scoring_Model!$B$10*$F133)+(Scoring_Model!$B$11*$G133)+(Scoring_Model!$B$12*$H133)+(Scoring_Model!$B$13*IF($I133="",0,$I133))+(Scoring_Model!$B$14*IF($J133="",0,$J133)),1))</x:f>
        <x:v>62.1</x:v>
      </x:c>
      <x:c r="L133" s="20" t="inlineStr">
        <x:is>
          <x:t xml:space="preserve">https://www.fldoe.org/file/18534/SchoolGrades25.xlsx</x:t>
        </x:is>
      </x:c>
      <x:c r="M133" s="20" t="inlineStr">
        <x:is>
          <x:t xml:space="preserve">School type Elementary; growth field currently uses official ELA learning gains in this starter model.</x:t>
        </x:is>
      </x:c>
    </x:row>
    <x:row r="134">
      <x:c r="A134" s="20" t="str">
        <x:f>FDOE_Grades_2025_Raw!A134</x:f>
        <x:v>530101</x:v>
      </x:c>
      <x:c r="B134" s="20" t="str">
        <x:f>FDOE_Grades_2025_Raw!E134</x:f>
        <x:v>CRYSTAL LAKE ELEMENTARY SCHOOL</x:v>
      </x:c>
      <x:c r="C134" s="20" t="n">
        <x:v>2025</x:v>
      </x:c>
      <x:c r="D134" s="20" t="str">
        <x:f>FDOE_Grades_2025_Raw!W134</x:f>
        <x:v>C</x:v>
      </x:c>
      <x:c r="E134" s="25">
        <x:f>IF(D134="A",4,IF(D134="B",3,IF(D134="C",2,IF(D134="D",1,IF(D134="F",0,"")))))</x:f>
        <x:v>2</x:v>
      </x:c>
      <x:c r="F134" s="25">
        <x:f>FDOE_Grades_2025_Raw!K134</x:f>
        <x:v>34</x:v>
      </x:c>
      <x:c r="G134" s="25">
        <x:f>FDOE_Grades_2025_Raw!M134</x:f>
        <x:v>39</x:v>
      </x:c>
      <x:c r="H134" s="25">
        <x:f>FDOE_Grades_2025_Raw!L134</x:f>
        <x:v>51</x:v>
      </x:c>
      <x:c r="I134" s="25">
        <x:f>FDOE_Grades_2025_Raw!Q134</x:f>
        <x:v>0</x:v>
      </x:c>
      <x:c r="J134" s="25">
        <x:f>FDOE_Grades_2025_Raw!R134</x:f>
        <x:v>0</x:v>
      </x:c>
      <x:c r="K134" s="25">
        <x:f>IF($A134="","",ROUND((Scoring_Model!$B$9*($E134/4)*100)+(Scoring_Model!$B$10*$F134)+(Scoring_Model!$B$11*$G134)+(Scoring_Model!$B$12*$H134)+(Scoring_Model!$B$13*IF($I134="",0,$I134))+(Scoring_Model!$B$14*IF($J134="",0,$J134)),1))</x:f>
        <x:v>40.8</x:v>
      </x:c>
      <x:c r="L134" s="20" t="inlineStr">
        <x:is>
          <x:t xml:space="preserve">https://www.fldoe.org/file/18534/SchoolGrades25.xlsx</x:t>
        </x:is>
      </x:c>
      <x:c r="M134" s="20" t="inlineStr">
        <x:is>
          <x:t xml:space="preserve">School type Elementary; growth field currently uses official ELA learning gains in this starter model.</x:t>
        </x:is>
      </x:c>
    </x:row>
    <x:row r="135">
      <x:c r="A135" s="20" t="str">
        <x:f>FDOE_Grades_2025_Raw!A135</x:f>
        <x:v>530131</x:v>
      </x:c>
      <x:c r="B135" s="20" t="str">
        <x:f>FDOE_Grades_2025_Raw!E135</x:f>
        <x:v>DIXIELAND ELEMENTARY SCHOOL</x:v>
      </x:c>
      <x:c r="C135" s="20" t="n">
        <x:v>2025</x:v>
      </x:c>
      <x:c r="D135" s="20" t="str">
        <x:f>FDOE_Grades_2025_Raw!W135</x:f>
        <x:v>D</x:v>
      </x:c>
      <x:c r="E135" s="25">
        <x:f>IF(D135="A",4,IF(D135="B",3,IF(D135="C",2,IF(D135="D",1,IF(D135="F",0,"")))))</x:f>
        <x:v>1</x:v>
      </x:c>
      <x:c r="F135" s="25">
        <x:f>FDOE_Grades_2025_Raw!K135</x:f>
        <x:v>39</x:v>
      </x:c>
      <x:c r="G135" s="25">
        <x:f>FDOE_Grades_2025_Raw!M135</x:f>
        <x:v>42</x:v>
      </x:c>
      <x:c r="H135" s="25">
        <x:f>FDOE_Grades_2025_Raw!L135</x:f>
        <x:v>49</x:v>
      </x:c>
      <x:c r="I135" s="25">
        <x:f>FDOE_Grades_2025_Raw!Q135</x:f>
        <x:v>0</x:v>
      </x:c>
      <x:c r="J135" s="25">
        <x:f>FDOE_Grades_2025_Raw!R135</x:f>
        <x:v>0</x:v>
      </x:c>
      <x:c r="K135" s="25">
        <x:f>IF($A135="","",ROUND((Scoring_Model!$B$9*($E135/4)*100)+(Scoring_Model!$B$10*$F135)+(Scoring_Model!$B$11*$G135)+(Scoring_Model!$B$12*$H135)+(Scoring_Model!$B$13*IF($I135="",0,$I135))+(Scoring_Model!$B$14*IF($J135="",0,$J135)),1))</x:f>
        <x:v>29.4</x:v>
      </x:c>
      <x:c r="L135" s="20" t="inlineStr">
        <x:is>
          <x:t xml:space="preserve">https://www.fldoe.org/file/18534/SchoolGrades25.xlsx</x:t>
        </x:is>
      </x:c>
      <x:c r="M135" s="20" t="inlineStr">
        <x:is>
          <x:t xml:space="preserve">School type Elementary; growth field currently uses official ELA learning gains in this starter model.</x:t>
        </x:is>
      </x:c>
    </x:row>
    <x:row r="136">
      <x:c r="A136" s="20" t="str">
        <x:f>FDOE_Grades_2025_Raw!A136</x:f>
        <x:v>530141</x:v>
      </x:c>
      <x:c r="B136" s="20" t="str">
        <x:f>FDOE_Grades_2025_Raw!E136</x:f>
        <x:v>SOUTH POINTE ELEMENTARY</x:v>
      </x:c>
      <x:c r="C136" s="20" t="n">
        <x:v>2025</x:v>
      </x:c>
      <x:c r="D136" s="20" t="str">
        <x:f>FDOE_Grades_2025_Raw!W136</x:f>
        <x:v>C</x:v>
      </x:c>
      <x:c r="E136" s="25">
        <x:f>IF(D136="A",4,IF(D136="B",3,IF(D136="C",2,IF(D136="D",1,IF(D136="F",0,"")))))</x:f>
        <x:v>2</x:v>
      </x:c>
      <x:c r="F136" s="25">
        <x:f>FDOE_Grades_2025_Raw!K136</x:f>
        <x:v>51</x:v>
      </x:c>
      <x:c r="G136" s="25">
        <x:f>FDOE_Grades_2025_Raw!M136</x:f>
        <x:v>54</x:v>
      </x:c>
      <x:c r="H136" s="25">
        <x:f>FDOE_Grades_2025_Raw!L136</x:f>
        <x:v>48</x:v>
      </x:c>
      <x:c r="I136" s="25">
        <x:f>FDOE_Grades_2025_Raw!Q136</x:f>
        <x:v>0</x:v>
      </x:c>
      <x:c r="J136" s="25">
        <x:f>FDOE_Grades_2025_Raw!R136</x:f>
        <x:v>0</x:v>
      </x:c>
      <x:c r="K136" s="25">
        <x:f>IF($A136="","",ROUND((Scoring_Model!$B$9*($E136/4)*100)+(Scoring_Model!$B$10*$F136)+(Scoring_Model!$B$11*$G136)+(Scoring_Model!$B$12*$H136)+(Scoring_Model!$B$13*IF($I136="",0,$I136))+(Scoring_Model!$B$14*IF($J136="",0,$J136)),1))</x:f>
        <x:v>45.4</x:v>
      </x:c>
      <x:c r="L136" s="20" t="inlineStr">
        <x:is>
          <x:t xml:space="preserve">https://www.fldoe.org/file/18534/SchoolGrades25.xlsx</x:t>
        </x:is>
      </x:c>
      <x:c r="M136" s="20" t="inlineStr">
        <x:is>
          <x:t xml:space="preserve">School type Elementary; growth field currently uses official ELA learning gains in this starter model.</x:t>
        </x:is>
      </x:c>
    </x:row>
    <x:row r="137">
      <x:c r="A137" s="20" t="str">
        <x:f>FDOE_Grades_2025_Raw!A137</x:f>
        <x:v>530151</x:v>
      </x:c>
      <x:c r="B137" s="20" t="str">
        <x:f>FDOE_Grades_2025_Raw!E137</x:f>
        <x:v>PHILIP O'BRIEN ELEMENTARY SCHOOL</x:v>
      </x:c>
      <x:c r="C137" s="20" t="n">
        <x:v>2025</x:v>
      </x:c>
      <x:c r="D137" s="20" t="str">
        <x:f>FDOE_Grades_2025_Raw!W137</x:f>
        <x:v>C</x:v>
      </x:c>
      <x:c r="E137" s="25">
        <x:f>IF(D137="A",4,IF(D137="B",3,IF(D137="C",2,IF(D137="D",1,IF(D137="F",0,"")))))</x:f>
        <x:v>2</x:v>
      </x:c>
      <x:c r="F137" s="25">
        <x:f>FDOE_Grades_2025_Raw!K137</x:f>
        <x:v>35</x:v>
      </x:c>
      <x:c r="G137" s="25">
        <x:f>FDOE_Grades_2025_Raw!M137</x:f>
        <x:v>32</x:v>
      </x:c>
      <x:c r="H137" s="25">
        <x:f>FDOE_Grades_2025_Raw!L137</x:f>
        <x:v>50</x:v>
      </x:c>
      <x:c r="I137" s="25">
        <x:f>FDOE_Grades_2025_Raw!Q137</x:f>
        <x:v>0</x:v>
      </x:c>
      <x:c r="J137" s="25">
        <x:f>FDOE_Grades_2025_Raw!R137</x:f>
        <x:v>0</x:v>
      </x:c>
      <x:c r="K137" s="25">
        <x:f>IF($A137="","",ROUND((Scoring_Model!$B$9*($E137/4)*100)+(Scoring_Model!$B$10*$F137)+(Scoring_Model!$B$11*$G137)+(Scoring_Model!$B$12*$H137)+(Scoring_Model!$B$13*IF($I137="",0,$I137))+(Scoring_Model!$B$14*IF($J137="",0,$J137)),1))</x:f>
        <x:v>40.2</x:v>
      </x:c>
      <x:c r="L137" s="20" t="inlineStr">
        <x:is>
          <x:t xml:space="preserve">https://www.fldoe.org/file/18534/SchoolGrades25.xlsx</x:t>
        </x:is>
      </x:c>
      <x:c r="M137" s="20" t="inlineStr">
        <x:is>
          <x:t xml:space="preserve">School type Elementary; growth field currently uses official ELA learning gains in this starter model.</x:t>
        </x:is>
      </x:c>
    </x:row>
    <x:row r="138">
      <x:c r="A138" s="20" t="str">
        <x:f>FDOE_Grades_2025_Raw!A138</x:f>
        <x:v>530181</x:v>
      </x:c>
      <x:c r="B138" s="20" t="str">
        <x:f>FDOE_Grades_2025_Raw!E138</x:f>
        <x:v>MEDULLA ELEMENTARY SCHOOL</x:v>
      </x:c>
      <x:c r="C138" s="20" t="n">
        <x:v>2025</x:v>
      </x:c>
      <x:c r="D138" s="20" t="str">
        <x:f>FDOE_Grades_2025_Raw!W138</x:f>
        <x:v>C</x:v>
      </x:c>
      <x:c r="E138" s="25">
        <x:f>IF(D138="A",4,IF(D138="B",3,IF(D138="C",2,IF(D138="D",1,IF(D138="F",0,"")))))</x:f>
        <x:v>2</x:v>
      </x:c>
      <x:c r="F138" s="25">
        <x:f>FDOE_Grades_2025_Raw!K138</x:f>
        <x:v>44</x:v>
      </x:c>
      <x:c r="G138" s="25">
        <x:f>FDOE_Grades_2025_Raw!M138</x:f>
        <x:v>42</x:v>
      </x:c>
      <x:c r="H138" s="25">
        <x:f>FDOE_Grades_2025_Raw!L138</x:f>
        <x:v>36</x:v>
      </x:c>
      <x:c r="I138" s="25">
        <x:f>FDOE_Grades_2025_Raw!Q138</x:f>
        <x:v>0</x:v>
      </x:c>
      <x:c r="J138" s="25">
        <x:f>FDOE_Grades_2025_Raw!R138</x:f>
        <x:v>0</x:v>
      </x:c>
      <x:c r="K138" s="25">
        <x:f>IF($A138="","",ROUND((Scoring_Model!$B$9*($E138/4)*100)+(Scoring_Model!$B$10*$F138)+(Scoring_Model!$B$11*$G138)+(Scoring_Model!$B$12*$H138)+(Scoring_Model!$B$13*IF($I138="",0,$I138))+(Scoring_Model!$B$14*IF($J138="",0,$J138)),1))</x:f>
        <x:v>41.6</x:v>
      </x:c>
      <x:c r="L138" s="20" t="inlineStr">
        <x:is>
          <x:t xml:space="preserve">https://www.fldoe.org/file/18534/SchoolGrades25.xlsx</x:t>
        </x:is>
      </x:c>
      <x:c r="M138" s="20" t="inlineStr">
        <x:is>
          <x:t xml:space="preserve">School type Elementary; growth field currently uses official ELA learning gains in this starter model.</x:t>
        </x:is>
      </x:c>
    </x:row>
    <x:row r="139">
      <x:c r="A139" s="20" t="str">
        <x:f>FDOE_Grades_2025_Raw!A139</x:f>
        <x:v>530191</x:v>
      </x:c>
      <x:c r="B139" s="20" t="str">
        <x:f>FDOE_Grades_2025_Raw!E139</x:f>
        <x:v>R. BRUCE WAGNER ELEMENTARY SCHOOL</x:v>
      </x:c>
      <x:c r="C139" s="20" t="n">
        <x:v>2025</x:v>
      </x:c>
      <x:c r="D139" s="20" t="str">
        <x:f>FDOE_Grades_2025_Raw!W139</x:f>
        <x:v>B</x:v>
      </x:c>
      <x:c r="E139" s="25">
        <x:f>IF(D139="A",4,IF(D139="B",3,IF(D139="C",2,IF(D139="D",1,IF(D139="F",0,"")))))</x:f>
        <x:v>3</x:v>
      </x:c>
      <x:c r="F139" s="25">
        <x:f>FDOE_Grades_2025_Raw!K139</x:f>
        <x:v>60</x:v>
      </x:c>
      <x:c r="G139" s="25">
        <x:f>FDOE_Grades_2025_Raw!M139</x:f>
        <x:v>64</x:v>
      </x:c>
      <x:c r="H139" s="25">
        <x:f>FDOE_Grades_2025_Raw!L139</x:f>
        <x:v>56</x:v>
      </x:c>
      <x:c r="I139" s="25">
        <x:f>FDOE_Grades_2025_Raw!Q139</x:f>
        <x:v>0</x:v>
      </x:c>
      <x:c r="J139" s="25">
        <x:f>FDOE_Grades_2025_Raw!R139</x:f>
        <x:v>0</x:v>
      </x:c>
      <x:c r="K139" s="25">
        <x:f>IF($A139="","",ROUND((Scoring_Model!$B$9*($E139/4)*100)+(Scoring_Model!$B$10*$F139)+(Scoring_Model!$B$11*$G139)+(Scoring_Model!$B$12*$H139)+(Scoring_Model!$B$13*IF($I139="",0,$I139))+(Scoring_Model!$B$14*IF($J139="",0,$J139)),1))</x:f>
        <x:v>61.5</x:v>
      </x:c>
      <x:c r="L139" s="20" t="inlineStr">
        <x:is>
          <x:t xml:space="preserve">https://www.fldoe.org/file/18534/SchoolGrades25.xlsx</x:t>
        </x:is>
      </x:c>
      <x:c r="M139" s="20" t="inlineStr">
        <x:is>
          <x:t xml:space="preserve">School type Elementary; growth field currently uses official ELA learning gains in this starter model.</x:t>
        </x:is>
      </x:c>
    </x:row>
    <x:row r="140">
      <x:c r="A140" s="20" t="str">
        <x:f>FDOE_Grades_2025_Raw!A140</x:f>
        <x:v>530201</x:v>
      </x:c>
      <x:c r="B140" s="20" t="str">
        <x:f>FDOE_Grades_2025_Raw!E140</x:f>
        <x:v>NORTH LAKELAND ELEMENTARY SCHOOL OF CHOICE</x:v>
      </x:c>
      <x:c r="C140" s="20" t="n">
        <x:v>2025</x:v>
      </x:c>
      <x:c r="D140" s="20" t="str">
        <x:f>FDOE_Grades_2025_Raw!W140</x:f>
        <x:v>D</x:v>
      </x:c>
      <x:c r="E140" s="25">
        <x:f>IF(D140="A",4,IF(D140="B",3,IF(D140="C",2,IF(D140="D",1,IF(D140="F",0,"")))))</x:f>
        <x:v>1</x:v>
      </x:c>
      <x:c r="F140" s="25">
        <x:f>FDOE_Grades_2025_Raw!K140</x:f>
        <x:v>28</x:v>
      </x:c>
      <x:c r="G140" s="25">
        <x:f>FDOE_Grades_2025_Raw!M140</x:f>
        <x:v>32</x:v>
      </x:c>
      <x:c r="H140" s="25">
        <x:f>FDOE_Grades_2025_Raw!L140</x:f>
        <x:v>39</x:v>
      </x:c>
      <x:c r="I140" s="25">
        <x:f>FDOE_Grades_2025_Raw!Q140</x:f>
        <x:v>0</x:v>
      </x:c>
      <x:c r="J140" s="25">
        <x:f>FDOE_Grades_2025_Raw!R140</x:f>
        <x:v>0</x:v>
      </x:c>
      <x:c r="K140" s="25">
        <x:f>IF($A140="","",ROUND((Scoring_Model!$B$9*($E140/4)*100)+(Scoring_Model!$B$10*$F140)+(Scoring_Model!$B$11*$G140)+(Scoring_Model!$B$12*$H140)+(Scoring_Model!$B$13*IF($I140="",0,$I140))+(Scoring_Model!$B$14*IF($J140="",0,$J140)),1))</x:f>
        <x:v>25.2</x:v>
      </x:c>
      <x:c r="L140" s="20" t="inlineStr">
        <x:is>
          <x:t xml:space="preserve">https://www.fldoe.org/file/18534/SchoolGrades25.xlsx</x:t>
        </x:is>
      </x:c>
      <x:c r="M140" s="20" t="inlineStr">
        <x:is>
          <x:t xml:space="preserve">School type Elementary; growth field currently uses official ELA learning gains in this starter model.</x:t>
        </x:is>
      </x:c>
    </x:row>
    <x:row r="141">
      <x:c r="A141" s="20" t="str">
        <x:f>FDOE_Grades_2025_Raw!A141</x:f>
        <x:v>530231</x:v>
      </x:c>
      <x:c r="B141" s="20" t="str">
        <x:f>FDOE_Grades_2025_Raw!E141</x:f>
        <x:v>SOUTHWEST ELEMENTARY SCHOOL</x:v>
      </x:c>
      <x:c r="C141" s="20" t="n">
        <x:v>2025</x:v>
      </x:c>
      <x:c r="D141" s="20" t="str">
        <x:f>FDOE_Grades_2025_Raw!W141</x:f>
        <x:v>B</x:v>
      </x:c>
      <x:c r="E141" s="25">
        <x:f>IF(D141="A",4,IF(D141="B",3,IF(D141="C",2,IF(D141="D",1,IF(D141="F",0,"")))))</x:f>
        <x:v>3</x:v>
      </x:c>
      <x:c r="F141" s="25">
        <x:f>FDOE_Grades_2025_Raw!K141</x:f>
        <x:v>55</x:v>
      </x:c>
      <x:c r="G141" s="25">
        <x:f>FDOE_Grades_2025_Raw!M141</x:f>
        <x:v>55</x:v>
      </x:c>
      <x:c r="H141" s="25">
        <x:f>FDOE_Grades_2025_Raw!L141</x:f>
        <x:v>53</x:v>
      </x:c>
      <x:c r="I141" s="25">
        <x:f>FDOE_Grades_2025_Raw!Q141</x:f>
        <x:v>0</x:v>
      </x:c>
      <x:c r="J141" s="25">
        <x:f>FDOE_Grades_2025_Raw!R141</x:f>
        <x:v>0</x:v>
      </x:c>
      <x:c r="K141" s="25">
        <x:f>IF($A141="","",ROUND((Scoring_Model!$B$9*($E141/4)*100)+(Scoring_Model!$B$10*$F141)+(Scoring_Model!$B$11*$G141)+(Scoring_Model!$B$12*$H141)+(Scoring_Model!$B$13*IF($I141="",0,$I141))+(Scoring_Model!$B$14*IF($J141="",0,$J141)),1))</x:f>
        <x:v>59.3</x:v>
      </x:c>
      <x:c r="L141" s="20" t="inlineStr">
        <x:is>
          <x:t xml:space="preserve">https://www.fldoe.org/file/18534/SchoolGrades25.xlsx</x:t>
        </x:is>
      </x:c>
      <x:c r="M141" s="20" t="inlineStr">
        <x:is>
          <x:t xml:space="preserve">School type Elementary; growth field currently uses official ELA learning gains in this starter model.</x:t>
        </x:is>
      </x:c>
    </x:row>
    <x:row r="142">
      <x:c r="A142" s="20" t="str">
        <x:f>FDOE_Grades_2025_Raw!A142</x:f>
        <x:v>530251</x:v>
      </x:c>
      <x:c r="B142" s="20" t="str">
        <x:f>FDOE_Grades_2025_Raw!E142</x:f>
        <x:v>LINCOLN AVENUE ACADEMY</x:v>
      </x:c>
      <x:c r="C142" s="20" t="n">
        <x:v>2025</x:v>
      </x:c>
      <x:c r="D142" s="20" t="str">
        <x:f>FDOE_Grades_2025_Raw!W142</x:f>
        <x:v>A</x:v>
      </x:c>
      <x:c r="E142" s="25">
        <x:f>IF(D142="A",4,IF(D142="B",3,IF(D142="C",2,IF(D142="D",1,IF(D142="F",0,"")))))</x:f>
        <x:v>4</x:v>
      </x:c>
      <x:c r="F142" s="25">
        <x:f>FDOE_Grades_2025_Raw!K142</x:f>
        <x:v>83</x:v>
      </x:c>
      <x:c r="G142" s="25">
        <x:f>FDOE_Grades_2025_Raw!M142</x:f>
        <x:v>85</x:v>
      </x:c>
      <x:c r="H142" s="25">
        <x:f>FDOE_Grades_2025_Raw!L142</x:f>
        <x:v>67</x:v>
      </x:c>
      <x:c r="I142" s="25">
        <x:f>FDOE_Grades_2025_Raw!Q142</x:f>
        <x:v>0</x:v>
      </x:c>
      <x:c r="J142" s="25">
        <x:f>FDOE_Grades_2025_Raw!R142</x:f>
        <x:v>0</x:v>
      </x:c>
      <x:c r="K142" s="25">
        <x:f>IF($A142="","",ROUND((Scoring_Model!$B$9*($E142/4)*100)+(Scoring_Model!$B$10*$F142)+(Scoring_Model!$B$11*$G142)+(Scoring_Model!$B$12*$H142)+(Scoring_Model!$B$13*IF($I142="",0,$I142))+(Scoring_Model!$B$14*IF($J142="",0,$J142)),1))</x:f>
        <x:v>81.8</x:v>
      </x:c>
      <x:c r="L142" s="20" t="inlineStr">
        <x:is>
          <x:t xml:space="preserve">https://www.fldoe.org/file/18534/SchoolGrades25.xlsx</x:t>
        </x:is>
      </x:c>
      <x:c r="M142" s="20" t="inlineStr">
        <x:is>
          <x:t xml:space="preserve">School type Elementary; growth field currently uses official ELA learning gains in this starter model.</x:t>
        </x:is>
      </x:c>
    </x:row>
    <x:row r="143">
      <x:c r="A143" s="20" t="str">
        <x:f>FDOE_Grades_2025_Raw!A143</x:f>
        <x:v>530261</x:v>
      </x:c>
      <x:c r="B143" s="20" t="str">
        <x:f>FDOE_Grades_2025_Raw!E143</x:f>
        <x:v>ROCHELLE SCHOOL OF THE ARTS</x:v>
      </x:c>
      <x:c r="C143" s="20" t="n">
        <x:v>2025</x:v>
      </x:c>
      <x:c r="D143" s="20" t="str">
        <x:f>FDOE_Grades_2025_Raw!W143</x:f>
        <x:v>A</x:v>
      </x:c>
      <x:c r="E143" s="25">
        <x:f>IF(D143="A",4,IF(D143="B",3,IF(D143="C",2,IF(D143="D",1,IF(D143="F",0,"")))))</x:f>
        <x:v>4</x:v>
      </x:c>
      <x:c r="F143" s="25">
        <x:f>FDOE_Grades_2025_Raw!K143</x:f>
        <x:v>64</x:v>
      </x:c>
      <x:c r="G143" s="25">
        <x:f>FDOE_Grades_2025_Raw!M143</x:f>
        <x:v>63</x:v>
      </x:c>
      <x:c r="H143" s="25">
        <x:f>FDOE_Grades_2025_Raw!L143</x:f>
        <x:v>58</x:v>
      </x:c>
      <x:c r="I143" s="25">
        <x:f>FDOE_Grades_2025_Raw!Q143</x:f>
        <x:v>0</x:v>
      </x:c>
      <x:c r="J143" s="25">
        <x:f>FDOE_Grades_2025_Raw!R143</x:f>
        <x:v>0</x:v>
      </x:c>
      <x:c r="K143" s="25">
        <x:f>IF($A143="","",ROUND((Scoring_Model!$B$9*($E143/4)*100)+(Scoring_Model!$B$10*$F143)+(Scoring_Model!$B$11*$G143)+(Scoring_Model!$B$12*$H143)+(Scoring_Model!$B$13*IF($I143="",0,$I143))+(Scoring_Model!$B$14*IF($J143="",0,$J143)),1))</x:f>
        <x:v>74.9</x:v>
      </x:c>
      <x:c r="L143" s="20" t="inlineStr">
        <x:is>
          <x:t xml:space="preserve">https://www.fldoe.org/file/18534/SchoolGrades25.xlsx</x:t>
        </x:is>
      </x:c>
      <x:c r="M143" s="20" t="inlineStr">
        <x:is>
          <x:t xml:space="preserve">School type Combination; growth field currently uses official ELA learning gains in this starter model.</x:t>
        </x:is>
      </x:c>
    </x:row>
    <x:row r="144">
      <x:c r="A144" s="20" t="str">
        <x:f>FDOE_Grades_2025_Raw!A144</x:f>
        <x:v>530311</x:v>
      </x:c>
      <x:c r="B144" s="20" t="str">
        <x:f>FDOE_Grades_2025_Raw!E144</x:f>
        <x:v>DANIEL JENKINS ACADEMY OF TECHNOLOGY MIDDLE SCHOOL</x:v>
      </x:c>
      <x:c r="C144" s="20" t="n">
        <x:v>2025</x:v>
      </x:c>
      <x:c r="D144" s="20" t="str">
        <x:f>FDOE_Grades_2025_Raw!W144</x:f>
        <x:v>B</x:v>
      </x:c>
      <x:c r="E144" s="25">
        <x:f>IF(D144="A",4,IF(D144="B",3,IF(D144="C",2,IF(D144="D",1,IF(D144="F",0,"")))))</x:f>
        <x:v>3</x:v>
      </x:c>
      <x:c r="F144" s="25">
        <x:f>FDOE_Grades_2025_Raw!K144</x:f>
        <x:v>57</x:v>
      </x:c>
      <x:c r="G144" s="25">
        <x:f>FDOE_Grades_2025_Raw!M144</x:f>
        <x:v>60</x:v>
      </x:c>
      <x:c r="H144" s="25">
        <x:f>FDOE_Grades_2025_Raw!L144</x:f>
        <x:v>56</x:v>
      </x:c>
      <x:c r="I144" s="25">
        <x:f>FDOE_Grades_2025_Raw!Q144</x:f>
        <x:v>0</x:v>
      </x:c>
      <x:c r="J144" s="25">
        <x:f>FDOE_Grades_2025_Raw!R144</x:f>
        <x:v>0</x:v>
      </x:c>
      <x:c r="K144" s="25">
        <x:f>IF($A144="","",ROUND((Scoring_Model!$B$9*($E144/4)*100)+(Scoring_Model!$B$10*$F144)+(Scoring_Model!$B$11*$G144)+(Scoring_Model!$B$12*$H144)+(Scoring_Model!$B$13*IF($I144="",0,$I144))+(Scoring_Model!$B$14*IF($J144="",0,$J144)),1))</x:f>
        <x:v>60.5</x:v>
      </x:c>
      <x:c r="L144" s="20" t="inlineStr">
        <x:is>
          <x:t xml:space="preserve">https://www.fldoe.org/file/18534/SchoolGrades25.xlsx</x:t>
        </x:is>
      </x:c>
      <x:c r="M144" s="20" t="inlineStr">
        <x:is>
          <x:t xml:space="preserve">School type Middle/Junior; growth field currently uses official ELA learning gains in this starter model.</x:t>
        </x:is>
      </x:c>
    </x:row>
    <x:row r="145">
      <x:c r="A145" s="20" t="str">
        <x:f>FDOE_Grades_2025_Raw!A145</x:f>
        <x:v>530321</x:v>
      </x:c>
      <x:c r="B145" s="20" t="str">
        <x:f>FDOE_Grades_2025_Raw!E145</x:f>
        <x:v>SHELLEY S. BOONE MIDDLE SCHOOL</x:v>
      </x:c>
      <x:c r="C145" s="20" t="n">
        <x:v>2025</x:v>
      </x:c>
      <x:c r="D145" s="20" t="str">
        <x:f>FDOE_Grades_2025_Raw!W145</x:f>
        <x:v>C</x:v>
      </x:c>
      <x:c r="E145" s="25">
        <x:f>IF(D145="A",4,IF(D145="B",3,IF(D145="C",2,IF(D145="D",1,IF(D145="F",0,"")))))</x:f>
        <x:v>2</x:v>
      </x:c>
      <x:c r="F145" s="25">
        <x:f>FDOE_Grades_2025_Raw!K145</x:f>
        <x:v>33</x:v>
      </x:c>
      <x:c r="G145" s="25">
        <x:f>FDOE_Grades_2025_Raw!M145</x:f>
        <x:v>38</x:v>
      </x:c>
      <x:c r="H145" s="25">
        <x:f>FDOE_Grades_2025_Raw!L145</x:f>
        <x:v>50</x:v>
      </x:c>
      <x:c r="I145" s="25">
        <x:f>FDOE_Grades_2025_Raw!Q145</x:f>
        <x:v>0</x:v>
      </x:c>
      <x:c r="J145" s="25">
        <x:f>FDOE_Grades_2025_Raw!R145</x:f>
        <x:v>0</x:v>
      </x:c>
      <x:c r="K145" s="25">
        <x:f>IF($A145="","",ROUND((Scoring_Model!$B$9*($E145/4)*100)+(Scoring_Model!$B$10*$F145)+(Scoring_Model!$B$11*$G145)+(Scoring_Model!$B$12*$H145)+(Scoring_Model!$B$13*IF($I145="",0,$I145))+(Scoring_Model!$B$14*IF($J145="",0,$J145)),1))</x:f>
        <x:v>40.4</x:v>
      </x:c>
      <x:c r="L145" s="20" t="inlineStr">
        <x:is>
          <x:t xml:space="preserve">https://www.fldoe.org/file/18534/SchoolGrades25.xlsx</x:t>
        </x:is>
      </x:c>
      <x:c r="M145" s="20" t="inlineStr">
        <x:is>
          <x:t xml:space="preserve">School type Middle/Junior; growth field currently uses official ELA learning gains in this starter model.</x:t>
        </x:is>
      </x:c>
    </x:row>
    <x:row r="146">
      <x:c r="A146" s="20" t="str">
        <x:f>FDOE_Grades_2025_Raw!A146</x:f>
        <x:v>530331</x:v>
      </x:c>
      <x:c r="B146" s="20" t="str">
        <x:f>FDOE_Grades_2025_Raw!E146</x:f>
        <x:v>ALTA VISTA ELEMENTARY SCHOOL</x:v>
      </x:c>
      <x:c r="C146" s="20" t="n">
        <x:v>2025</x:v>
      </x:c>
      <x:c r="D146" s="20" t="str">
        <x:f>FDOE_Grades_2025_Raw!W146</x:f>
        <x:v>C</x:v>
      </x:c>
      <x:c r="E146" s="25">
        <x:f>IF(D146="A",4,IF(D146="B",3,IF(D146="C",2,IF(D146="D",1,IF(D146="F",0,"")))))</x:f>
        <x:v>2</x:v>
      </x:c>
      <x:c r="F146" s="25">
        <x:f>FDOE_Grades_2025_Raw!K146</x:f>
        <x:v>36</x:v>
      </x:c>
      <x:c r="G146" s="25">
        <x:f>FDOE_Grades_2025_Raw!M146</x:f>
        <x:v>39</x:v>
      </x:c>
      <x:c r="H146" s="25">
        <x:f>FDOE_Grades_2025_Raw!L146</x:f>
        <x:v>50</x:v>
      </x:c>
      <x:c r="I146" s="25">
        <x:f>FDOE_Grades_2025_Raw!Q146</x:f>
        <x:v>0</x:v>
      </x:c>
      <x:c r="J146" s="25">
        <x:f>FDOE_Grades_2025_Raw!R146</x:f>
        <x:v>0</x:v>
      </x:c>
      <x:c r="K146" s="25">
        <x:f>IF($A146="","",ROUND((Scoring_Model!$B$9*($E146/4)*100)+(Scoring_Model!$B$10*$F146)+(Scoring_Model!$B$11*$G146)+(Scoring_Model!$B$12*$H146)+(Scoring_Model!$B$13*IF($I146="",0,$I146))+(Scoring_Model!$B$14*IF($J146="",0,$J146)),1))</x:f>
        <x:v>41.1</x:v>
      </x:c>
      <x:c r="L146" s="20" t="inlineStr">
        <x:is>
          <x:t xml:space="preserve">https://www.fldoe.org/file/18534/SchoolGrades25.xlsx</x:t>
        </x:is>
      </x:c>
      <x:c r="M146" s="20" t="inlineStr">
        <x:is>
          <x:t xml:space="preserve">School type Elementary; growth field currently uses official ELA learning gains in this starter model.</x:t>
        </x:is>
      </x:c>
    </x:row>
    <x:row r="147">
      <x:c r="A147" s="20" t="str">
        <x:f>FDOE_Grades_2025_Raw!A147</x:f>
        <x:v>530341</x:v>
      </x:c>
      <x:c r="B147" s="20" t="str">
        <x:f>FDOE_Grades_2025_Raw!E147</x:f>
        <x:v>SANDHILL ELEMENTARY SCHOOL</x:v>
      </x:c>
      <x:c r="C147" s="20" t="n">
        <x:v>2025</x:v>
      </x:c>
      <x:c r="D147" s="20" t="str">
        <x:f>FDOE_Grades_2025_Raw!W147</x:f>
        <x:v>C</x:v>
      </x:c>
      <x:c r="E147" s="25">
        <x:f>IF(D147="A",4,IF(D147="B",3,IF(D147="C",2,IF(D147="D",1,IF(D147="F",0,"")))))</x:f>
        <x:v>2</x:v>
      </x:c>
      <x:c r="F147" s="25">
        <x:f>FDOE_Grades_2025_Raw!K147</x:f>
        <x:v>43</x:v>
      </x:c>
      <x:c r="G147" s="25">
        <x:f>FDOE_Grades_2025_Raw!M147</x:f>
        <x:v>35</x:v>
      </x:c>
      <x:c r="H147" s="25">
        <x:f>FDOE_Grades_2025_Raw!L147</x:f>
        <x:v>52</x:v>
      </x:c>
      <x:c r="I147" s="25">
        <x:f>FDOE_Grades_2025_Raw!Q147</x:f>
        <x:v>0</x:v>
      </x:c>
      <x:c r="J147" s="25">
        <x:f>FDOE_Grades_2025_Raw!R147</x:f>
        <x:v>0</x:v>
      </x:c>
      <x:c r="K147" s="25">
        <x:f>IF($A147="","",ROUND((Scoring_Model!$B$9*($E147/4)*100)+(Scoring_Model!$B$10*$F147)+(Scoring_Model!$B$11*$G147)+(Scoring_Model!$B$12*$H147)+(Scoring_Model!$B$13*IF($I147="",0,$I147))+(Scoring_Model!$B$14*IF($J147="",0,$J147)),1))</x:f>
        <x:v>42.3</x:v>
      </x:c>
      <x:c r="L147" s="20" t="inlineStr">
        <x:is>
          <x:t xml:space="preserve">https://www.fldoe.org/file/18534/SchoolGrades25.xlsx</x:t>
        </x:is>
      </x:c>
      <x:c r="M147" s="20" t="inlineStr">
        <x:is>
          <x:t xml:space="preserve">School type Elementary; growth field currently uses official ELA learning gains in this starter model.</x:t>
        </x:is>
      </x:c>
    </x:row>
    <x:row r="148">
      <x:c r="A148" s="20" t="str">
        <x:f>FDOE_Grades_2025_Raw!A148</x:f>
        <x:v>530361</x:v>
      </x:c>
      <x:c r="B148" s="20" t="str">
        <x:f>FDOE_Grades_2025_Raw!E148</x:f>
        <x:v>EASTSIDE ELEMENTARY SCHOOL</x:v>
      </x:c>
      <x:c r="C148" s="20" t="n">
        <x:v>2025</x:v>
      </x:c>
      <x:c r="D148" s="20" t="str">
        <x:f>FDOE_Grades_2025_Raw!W148</x:f>
        <x:v>C</x:v>
      </x:c>
      <x:c r="E148" s="25">
        <x:f>IF(D148="A",4,IF(D148="B",3,IF(D148="C",2,IF(D148="D",1,IF(D148="F",0,"")))))</x:f>
        <x:v>2</x:v>
      </x:c>
      <x:c r="F148" s="25">
        <x:f>FDOE_Grades_2025_Raw!K148</x:f>
        <x:v>32</x:v>
      </x:c>
      <x:c r="G148" s="25">
        <x:f>FDOE_Grades_2025_Raw!M148</x:f>
        <x:v>46</x:v>
      </x:c>
      <x:c r="H148" s="25">
        <x:f>FDOE_Grades_2025_Raw!L148</x:f>
        <x:v>45</x:v>
      </x:c>
      <x:c r="I148" s="25">
        <x:f>FDOE_Grades_2025_Raw!Q148</x:f>
        <x:v>0</x:v>
      </x:c>
      <x:c r="J148" s="25">
        <x:f>FDOE_Grades_2025_Raw!R148</x:f>
        <x:v>0</x:v>
      </x:c>
      <x:c r="K148" s="25">
        <x:f>IF($A148="","",ROUND((Scoring_Model!$B$9*($E148/4)*100)+(Scoring_Model!$B$10*$F148)+(Scoring_Model!$B$11*$G148)+(Scoring_Model!$B$12*$H148)+(Scoring_Model!$B$13*IF($I148="",0,$I148))+(Scoring_Model!$B$14*IF($J148="",0,$J148)),1))</x:f>
        <x:v>40.5</x:v>
      </x:c>
      <x:c r="L148" s="20" t="inlineStr">
        <x:is>
          <x:t xml:space="preserve">https://www.fldoe.org/file/18534/SchoolGrades25.xlsx</x:t>
        </x:is>
      </x:c>
      <x:c r="M148" s="20" t="inlineStr">
        <x:is>
          <x:t xml:space="preserve">School type Elementary; growth field currently uses official ELA learning gains in this starter model.</x:t>
        </x:is>
      </x:c>
    </x:row>
    <x:row r="149">
      <x:c r="A149" s="20" t="str">
        <x:f>FDOE_Grades_2025_Raw!A149</x:f>
        <x:v>530391</x:v>
      </x:c>
      <x:c r="B149" s="20" t="str">
        <x:f>FDOE_Grades_2025_Raw!E149</x:f>
        <x:v>BETHUNE ACADEMY</x:v>
      </x:c>
      <x:c r="C149" s="20" t="n">
        <x:v>2025</x:v>
      </x:c>
      <x:c r="D149" s="20" t="str">
        <x:f>FDOE_Grades_2025_Raw!W149</x:f>
        <x:v>B</x:v>
      </x:c>
      <x:c r="E149" s="25">
        <x:f>IF(D149="A",4,IF(D149="B",3,IF(D149="C",2,IF(D149="D",1,IF(D149="F",0,"")))))</x:f>
        <x:v>3</x:v>
      </x:c>
      <x:c r="F149" s="25">
        <x:f>FDOE_Grades_2025_Raw!K149</x:f>
        <x:v>57</x:v>
      </x:c>
      <x:c r="G149" s="25">
        <x:f>FDOE_Grades_2025_Raw!M149</x:f>
        <x:v>62</x:v>
      </x:c>
      <x:c r="H149" s="25">
        <x:f>FDOE_Grades_2025_Raw!L149</x:f>
        <x:v>53</x:v>
      </x:c>
      <x:c r="I149" s="25">
        <x:f>FDOE_Grades_2025_Raw!Q149</x:f>
        <x:v>0</x:v>
      </x:c>
      <x:c r="J149" s="25">
        <x:f>FDOE_Grades_2025_Raw!R149</x:f>
        <x:v>0</x:v>
      </x:c>
      <x:c r="K149" s="25">
        <x:f>IF($A149="","",ROUND((Scoring_Model!$B$9*($E149/4)*100)+(Scoring_Model!$B$10*$F149)+(Scoring_Model!$B$11*$G149)+(Scoring_Model!$B$12*$H149)+(Scoring_Model!$B$13*IF($I149="",0,$I149))+(Scoring_Model!$B$14*IF($J149="",0,$J149)),1))</x:f>
        <x:v>60.4</x:v>
      </x:c>
      <x:c r="L149" s="20" t="inlineStr">
        <x:is>
          <x:t xml:space="preserve">https://www.fldoe.org/file/18534/SchoolGrades25.xlsx</x:t>
        </x:is>
      </x:c>
      <x:c r="M149" s="20" t="inlineStr">
        <x:is>
          <x:t xml:space="preserve">School type Elementary; growth field currently uses official ELA learning gains in this starter model.</x:t>
        </x:is>
      </x:c>
    </x:row>
    <x:row r="150">
      <x:c r="A150" s="20" t="str">
        <x:f>FDOE_Grades_2025_Raw!A150</x:f>
        <x:v>530401</x:v>
      </x:c>
      <x:c r="B150" s="20" t="str">
        <x:f>FDOE_Grades_2025_Raw!E150</x:f>
        <x:v>DAVENPORT SCHOOL OF THE ARTS</x:v>
      </x:c>
      <x:c r="C150" s="20" t="n">
        <x:v>2025</x:v>
      </x:c>
      <x:c r="D150" s="20" t="str">
        <x:f>FDOE_Grades_2025_Raw!W150</x:f>
        <x:v>A</x:v>
      </x:c>
      <x:c r="E150" s="25">
        <x:f>IF(D150="A",4,IF(D150="B",3,IF(D150="C",2,IF(D150="D",1,IF(D150="F",0,"")))))</x:f>
        <x:v>4</x:v>
      </x:c>
      <x:c r="F150" s="25">
        <x:f>FDOE_Grades_2025_Raw!K150</x:f>
        <x:v>71</x:v>
      </x:c>
      <x:c r="G150" s="25">
        <x:f>FDOE_Grades_2025_Raw!M150</x:f>
        <x:v>75</x:v>
      </x:c>
      <x:c r="H150" s="25">
        <x:f>FDOE_Grades_2025_Raw!L150</x:f>
        <x:v>62</x:v>
      </x:c>
      <x:c r="I150" s="25">
        <x:f>FDOE_Grades_2025_Raw!Q150</x:f>
        <x:v>0</x:v>
      </x:c>
      <x:c r="J150" s="25">
        <x:f>FDOE_Grades_2025_Raw!R150</x:f>
        <x:v>0</x:v>
      </x:c>
      <x:c r="K150" s="25">
        <x:f>IF($A150="","",ROUND((Scoring_Model!$B$9*($E150/4)*100)+(Scoring_Model!$B$10*$F150)+(Scoring_Model!$B$11*$G150)+(Scoring_Model!$B$12*$H150)+(Scoring_Model!$B$13*IF($I150="",0,$I150))+(Scoring_Model!$B$14*IF($J150="",0,$J150)),1))</x:f>
        <x:v>77.9</x:v>
      </x:c>
      <x:c r="L150" s="20" t="inlineStr">
        <x:is>
          <x:t xml:space="preserve">https://www.fldoe.org/file/18534/SchoolGrades25.xlsx</x:t>
        </x:is>
      </x:c>
      <x:c r="M150" s="20" t="inlineStr">
        <x:is>
          <x:t xml:space="preserve">School type Combination; growth field currently uses official ELA learning gains in this starter model.</x:t>
        </x:is>
      </x:c>
    </x:row>
    <x:row r="151">
      <x:c r="A151" s="20" t="str">
        <x:f>FDOE_Grades_2025_Raw!A151</x:f>
        <x:v>530441</x:v>
      </x:c>
      <x:c r="B151" s="20" t="str">
        <x:f>FDOE_Grades_2025_Raw!E151</x:f>
        <x:v>RIDGEVIEW GLOBAL STUDIES ACADEMY</x:v>
      </x:c>
      <x:c r="C151" s="20" t="n">
        <x:v>2025</x:v>
      </x:c>
      <x:c r="D151" s="20" t="str">
        <x:f>FDOE_Grades_2025_Raw!W151</x:f>
        <x:v>A</x:v>
      </x:c>
      <x:c r="E151" s="25">
        <x:f>IF(D151="A",4,IF(D151="B",3,IF(D151="C",2,IF(D151="D",1,IF(D151="F",0,"")))))</x:f>
        <x:v>4</x:v>
      </x:c>
      <x:c r="F151" s="25">
        <x:f>FDOE_Grades_2025_Raw!K151</x:f>
        <x:v>74</x:v>
      </x:c>
      <x:c r="G151" s="25">
        <x:f>FDOE_Grades_2025_Raw!M151</x:f>
        <x:v>73</x:v>
      </x:c>
      <x:c r="H151" s="25">
        <x:f>FDOE_Grades_2025_Raw!L151</x:f>
        <x:v>68</x:v>
      </x:c>
      <x:c r="I151" s="25">
        <x:f>FDOE_Grades_2025_Raw!Q151</x:f>
        <x:v>96</x:v>
      </x:c>
      <x:c r="J151" s="25">
        <x:f>FDOE_Grades_2025_Raw!R151</x:f>
        <x:v>54</x:v>
      </x:c>
      <x:c r="K151" s="25">
        <x:f>IF($A151="","",ROUND((Scoring_Model!$B$9*($E151/4)*100)+(Scoring_Model!$B$10*$F151)+(Scoring_Model!$B$11*$G151)+(Scoring_Model!$B$12*$H151)+(Scoring_Model!$B$13*IF($I151="",0,$I151))+(Scoring_Model!$B$14*IF($J151="",0,$J151)),1))</x:f>
        <x:v>86.4</x:v>
      </x:c>
      <x:c r="L151" s="20" t="inlineStr">
        <x:is>
          <x:t xml:space="preserve">https://www.fldoe.org/file/18534/SchoolGrades25.xlsx</x:t>
        </x:is>
      </x:c>
      <x:c r="M151" s="20" t="inlineStr">
        <x:is>
          <x:t xml:space="preserve">School type Combination; growth field currently uses official ELA learning gains in this starter model.</x:t>
        </x:is>
      </x:c>
    </x:row>
    <x:row r="152">
      <x:c r="A152" s="20" t="str">
        <x:f>FDOE_Grades_2025_Raw!A152</x:f>
        <x:v>530481</x:v>
      </x:c>
      <x:c r="B152" s="20" t="str">
        <x:f>FDOE_Grades_2025_Raw!E152</x:f>
        <x:v>WINTER HAVEN SENIOR HIGH SCHOOL</x:v>
      </x:c>
      <x:c r="C152" s="20" t="n">
        <x:v>2025</x:v>
      </x:c>
      <x:c r="D152" s="20" t="str">
        <x:f>FDOE_Grades_2025_Raw!W152</x:f>
        <x:v>B</x:v>
      </x:c>
      <x:c r="E152" s="25">
        <x:f>IF(D152="A",4,IF(D152="B",3,IF(D152="C",2,IF(D152="D",1,IF(D152="F",0,"")))))</x:f>
        <x:v>3</x:v>
      </x:c>
      <x:c r="F152" s="25">
        <x:f>FDOE_Grades_2025_Raw!K152</x:f>
        <x:v>56</x:v>
      </x:c>
      <x:c r="G152" s="25">
        <x:f>FDOE_Grades_2025_Raw!M152</x:f>
        <x:v>34</x:v>
      </x:c>
      <x:c r="H152" s="25">
        <x:f>FDOE_Grades_2025_Raw!L152</x:f>
        <x:v>56</x:v>
      </x:c>
      <x:c r="I152" s="25">
        <x:f>FDOE_Grades_2025_Raw!Q152</x:f>
        <x:v>87</x:v>
      </x:c>
      <x:c r="J152" s="25">
        <x:f>FDOE_Grades_2025_Raw!R152</x:f>
        <x:v>53</x:v>
      </x:c>
      <x:c r="K152" s="25">
        <x:f>IF($A152="","",ROUND((Scoring_Model!$B$9*($E152/4)*100)+(Scoring_Model!$B$10*$F152)+(Scoring_Model!$B$11*$G152)+(Scoring_Model!$B$12*$H152)+(Scoring_Model!$B$13*IF($I152="",0,$I152))+(Scoring_Model!$B$14*IF($J152="",0,$J152)),1))</x:f>
        <x:v>64.7</x:v>
      </x:c>
      <x:c r="L152" s="20" t="inlineStr">
        <x:is>
          <x:t xml:space="preserve">https://www.fldoe.org/file/18534/SchoolGrades25.xlsx</x:t>
        </x:is>
      </x:c>
      <x:c r="M152" s="20" t="inlineStr">
        <x:is>
          <x:t xml:space="preserve">School type Senior High; growth field currently uses official ELA learning gains in this starter model.</x:t>
        </x:is>
      </x:c>
    </x:row>
    <x:row r="153">
      <x:c r="A153" s="20" t="str">
        <x:f>FDOE_Grades_2025_Raw!A153</x:f>
        <x:v>530491</x:v>
      </x:c>
      <x:c r="B153" s="20" t="str">
        <x:f>FDOE_Grades_2025_Raw!E153</x:f>
        <x:v>DENISON MIDDLE SCHOOL</x:v>
      </x:c>
      <x:c r="C153" s="20" t="n">
        <x:v>2025</x:v>
      </x:c>
      <x:c r="D153" s="20" t="str">
        <x:f>FDOE_Grades_2025_Raw!W153</x:f>
        <x:v>C</x:v>
      </x:c>
      <x:c r="E153" s="25">
        <x:f>IF(D153="A",4,IF(D153="B",3,IF(D153="C",2,IF(D153="D",1,IF(D153="F",0,"")))))</x:f>
        <x:v>2</x:v>
      </x:c>
      <x:c r="F153" s="25">
        <x:f>FDOE_Grades_2025_Raw!K153</x:f>
        <x:v>36</x:v>
      </x:c>
      <x:c r="G153" s="25">
        <x:f>FDOE_Grades_2025_Raw!M153</x:f>
        <x:v>38</x:v>
      </x:c>
      <x:c r="H153" s="25">
        <x:f>FDOE_Grades_2025_Raw!L153</x:f>
        <x:v>51</x:v>
      </x:c>
      <x:c r="I153" s="25">
        <x:f>FDOE_Grades_2025_Raw!Q153</x:f>
        <x:v>0</x:v>
      </x:c>
      <x:c r="J153" s="25">
        <x:f>FDOE_Grades_2025_Raw!R153</x:f>
        <x:v>0</x:v>
      </x:c>
      <x:c r="K153" s="25">
        <x:f>IF($A153="","",ROUND((Scoring_Model!$B$9*($E153/4)*100)+(Scoring_Model!$B$10*$F153)+(Scoring_Model!$B$11*$G153)+(Scoring_Model!$B$12*$H153)+(Scoring_Model!$B$13*IF($I153="",0,$I153))+(Scoring_Model!$B$14*IF($J153="",0,$J153)),1))</x:f>
        <x:v>41.1</x:v>
      </x:c>
      <x:c r="L153" s="20" t="inlineStr">
        <x:is>
          <x:t xml:space="preserve">https://www.fldoe.org/file/18534/SchoolGrades25.xlsx</x:t>
        </x:is>
      </x:c>
      <x:c r="M153" s="20" t="inlineStr">
        <x:is>
          <x:t xml:space="preserve">School type Middle/Junior; growth field currently uses official ELA learning gains in this starter model.</x:t>
        </x:is>
      </x:c>
    </x:row>
    <x:row r="154">
      <x:c r="A154" s="20" t="str">
        <x:f>FDOE_Grades_2025_Raw!A154</x:f>
        <x:v>530531</x:v>
      </x:c>
      <x:c r="B154" s="20" t="str">
        <x:f>FDOE_Grades_2025_Raw!E154</x:f>
        <x:v>FRANK E. BRIGHAM ACADEMY</x:v>
      </x:c>
      <x:c r="C154" s="20" t="n">
        <x:v>2025</x:v>
      </x:c>
      <x:c r="D154" s="20" t="str">
        <x:f>FDOE_Grades_2025_Raw!W154</x:f>
        <x:v>A</x:v>
      </x:c>
      <x:c r="E154" s="25">
        <x:f>IF(D154="A",4,IF(D154="B",3,IF(D154="C",2,IF(D154="D",1,IF(D154="F",0,"")))))</x:f>
        <x:v>4</x:v>
      </x:c>
      <x:c r="F154" s="25">
        <x:f>FDOE_Grades_2025_Raw!K154</x:f>
        <x:v>77</x:v>
      </x:c>
      <x:c r="G154" s="25">
        <x:f>FDOE_Grades_2025_Raw!M154</x:f>
        <x:v>81</x:v>
      </x:c>
      <x:c r="H154" s="25">
        <x:f>FDOE_Grades_2025_Raw!L154</x:f>
        <x:v>62</x:v>
      </x:c>
      <x:c r="I154" s="25">
        <x:f>FDOE_Grades_2025_Raw!Q154</x:f>
        <x:v>0</x:v>
      </x:c>
      <x:c r="J154" s="25">
        <x:f>FDOE_Grades_2025_Raw!R154</x:f>
        <x:v>0</x:v>
      </x:c>
      <x:c r="K154" s="25">
        <x:f>IF($A154="","",ROUND((Scoring_Model!$B$9*($E154/4)*100)+(Scoring_Model!$B$10*$F154)+(Scoring_Model!$B$11*$G154)+(Scoring_Model!$B$12*$H154)+(Scoring_Model!$B$13*IF($I154="",0,$I154))+(Scoring_Model!$B$14*IF($J154="",0,$J154)),1))</x:f>
        <x:v>79.7</x:v>
      </x:c>
      <x:c r="L154" s="20" t="inlineStr">
        <x:is>
          <x:t xml:space="preserve">https://www.fldoe.org/file/18534/SchoolGrades25.xlsx</x:t>
        </x:is>
      </x:c>
      <x:c r="M154" s="20" t="inlineStr">
        <x:is>
          <x:t xml:space="preserve">School type Elementary; growth field currently uses official ELA learning gains in this starter model.</x:t>
        </x:is>
      </x:c>
    </x:row>
    <x:row r="155">
      <x:c r="A155" s="20" t="str">
        <x:f>FDOE_Grades_2025_Raw!A155</x:f>
        <x:v>530571</x:v>
      </x:c>
      <x:c r="B155" s="20" t="str">
        <x:f>FDOE_Grades_2025_Raw!E155</x:f>
        <x:v>WESTWOOD MIDDLE SCHOOL</x:v>
      </x:c>
      <x:c r="C155" s="20" t="n">
        <x:v>2025</x:v>
      </x:c>
      <x:c r="D155" s="20" t="str">
        <x:f>FDOE_Grades_2025_Raw!W155</x:f>
        <x:v>C</x:v>
      </x:c>
      <x:c r="E155" s="25">
        <x:f>IF(D155="A",4,IF(D155="B",3,IF(D155="C",2,IF(D155="D",1,IF(D155="F",0,"")))))</x:f>
        <x:v>2</x:v>
      </x:c>
      <x:c r="F155" s="25">
        <x:f>FDOE_Grades_2025_Raw!K155</x:f>
        <x:v>40</x:v>
      </x:c>
      <x:c r="G155" s="25">
        <x:f>FDOE_Grades_2025_Raw!M155</x:f>
        <x:v>41</x:v>
      </x:c>
      <x:c r="H155" s="25">
        <x:f>FDOE_Grades_2025_Raw!L155</x:f>
        <x:v>58</x:v>
      </x:c>
      <x:c r="I155" s="25">
        <x:f>FDOE_Grades_2025_Raw!Q155</x:f>
        <x:v>0</x:v>
      </x:c>
      <x:c r="J155" s="25">
        <x:f>FDOE_Grades_2025_Raw!R155</x:f>
        <x:v>0</x:v>
      </x:c>
      <x:c r="K155" s="25">
        <x:f>IF($A155="","",ROUND((Scoring_Model!$B$9*($E155/4)*100)+(Scoring_Model!$B$10*$F155)+(Scoring_Model!$B$11*$G155)+(Scoring_Model!$B$12*$H155)+(Scoring_Model!$B$13*IF($I155="",0,$I155))+(Scoring_Model!$B$14*IF($J155="",0,$J155)),1))</x:f>
        <x:v>42.9</x:v>
      </x:c>
      <x:c r="L155" s="20" t="inlineStr">
        <x:is>
          <x:t xml:space="preserve">https://www.fldoe.org/file/18534/SchoolGrades25.xlsx</x:t>
        </x:is>
      </x:c>
      <x:c r="M155" s="20" t="inlineStr">
        <x:is>
          <x:t xml:space="preserve">School type Middle/Junior; growth field currently uses official ELA learning gains in this starter model.</x:t>
        </x:is>
      </x:c>
    </x:row>
    <x:row r="156">
      <x:c r="A156" s="20" t="str">
        <x:f>FDOE_Grades_2025_Raw!A156</x:f>
        <x:v>530591</x:v>
      </x:c>
      <x:c r="B156" s="20" t="str">
        <x:f>FDOE_Grades_2025_Raw!E156</x:f>
        <x:v>ELBERT ELEMENTARY SCHOOL</x:v>
      </x:c>
      <x:c r="C156" s="20" t="n">
        <x:v>2025</x:v>
      </x:c>
      <x:c r="D156" s="20" t="str">
        <x:f>FDOE_Grades_2025_Raw!W156</x:f>
        <x:v>C</x:v>
      </x:c>
      <x:c r="E156" s="25">
        <x:f>IF(D156="A",4,IF(D156="B",3,IF(D156="C",2,IF(D156="D",1,IF(D156="F",0,"")))))</x:f>
        <x:v>2</x:v>
      </x:c>
      <x:c r="F156" s="25">
        <x:f>FDOE_Grades_2025_Raw!K156</x:f>
        <x:v>41</x:v>
      </x:c>
      <x:c r="G156" s="25">
        <x:f>FDOE_Grades_2025_Raw!M156</x:f>
        <x:v>40</x:v>
      </x:c>
      <x:c r="H156" s="25">
        <x:f>FDOE_Grades_2025_Raw!L156</x:f>
        <x:v>46</x:v>
      </x:c>
      <x:c r="I156" s="25">
        <x:f>FDOE_Grades_2025_Raw!Q156</x:f>
        <x:v>0</x:v>
      </x:c>
      <x:c r="J156" s="25">
        <x:f>FDOE_Grades_2025_Raw!R156</x:f>
        <x:v>0</x:v>
      </x:c>
      <x:c r="K156" s="25">
        <x:f>IF($A156="","",ROUND((Scoring_Model!$B$9*($E156/4)*100)+(Scoring_Model!$B$10*$F156)+(Scoring_Model!$B$11*$G156)+(Scoring_Model!$B$12*$H156)+(Scoring_Model!$B$13*IF($I156="",0,$I156))+(Scoring_Model!$B$14*IF($J156="",0,$J156)),1))</x:f>
        <x:v>41.8</x:v>
      </x:c>
      <x:c r="L156" s="20" t="inlineStr">
        <x:is>
          <x:t xml:space="preserve">https://www.fldoe.org/file/18534/SchoolGrades25.xlsx</x:t>
        </x:is>
      </x:c>
      <x:c r="M156" s="20" t="inlineStr">
        <x:is>
          <x:t xml:space="preserve">School type Elementary; growth field currently uses official ELA learning gains in this starter model.</x:t>
        </x:is>
      </x:c>
    </x:row>
    <x:row r="157">
      <x:c r="A157" s="20" t="str">
        <x:f>FDOE_Grades_2025_Raw!A157</x:f>
        <x:v>530601</x:v>
      </x:c>
      <x:c r="B157" s="20" t="str">
        <x:f>FDOE_Grades_2025_Raw!E157</x:f>
        <x:v>FRED G. GARNER ACADEMY</x:v>
      </x:c>
      <x:c r="C157" s="20" t="n">
        <x:v>2025</x:v>
      </x:c>
      <x:c r="D157" s="20" t="str">
        <x:f>FDOE_Grades_2025_Raw!W157</x:f>
        <x:v>C</x:v>
      </x:c>
      <x:c r="E157" s="25">
        <x:f>IF(D157="A",4,IF(D157="B",3,IF(D157="C",2,IF(D157="D",1,IF(D157="F",0,"")))))</x:f>
        <x:v>2</x:v>
      </x:c>
      <x:c r="F157" s="25">
        <x:f>FDOE_Grades_2025_Raw!K157</x:f>
        <x:v>44</x:v>
      </x:c>
      <x:c r="G157" s="25">
        <x:f>FDOE_Grades_2025_Raw!M157</x:f>
        <x:v>50</x:v>
      </x:c>
      <x:c r="H157" s="25">
        <x:f>FDOE_Grades_2025_Raw!L157</x:f>
        <x:v>49</x:v>
      </x:c>
      <x:c r="I157" s="25">
        <x:f>FDOE_Grades_2025_Raw!Q157</x:f>
        <x:v>0</x:v>
      </x:c>
      <x:c r="J157" s="25">
        <x:f>FDOE_Grades_2025_Raw!R157</x:f>
        <x:v>0</x:v>
      </x:c>
      <x:c r="K157" s="25">
        <x:f>IF($A157="","",ROUND((Scoring_Model!$B$9*($E157/4)*100)+(Scoring_Model!$B$10*$F157)+(Scoring_Model!$B$11*$G157)+(Scoring_Model!$B$12*$H157)+(Scoring_Model!$B$13*IF($I157="",0,$I157))+(Scoring_Model!$B$14*IF($J157="",0,$J157)),1))</x:f>
        <x:v>43.7</x:v>
      </x:c>
      <x:c r="L157" s="20" t="inlineStr">
        <x:is>
          <x:t xml:space="preserve">https://www.fldoe.org/file/18534/SchoolGrades25.xlsx</x:t>
        </x:is>
      </x:c>
      <x:c r="M157" s="20" t="inlineStr">
        <x:is>
          <x:t xml:space="preserve">School type Elementary; growth field currently uses official ELA learning gains in this starter model.</x:t>
        </x:is>
      </x:c>
    </x:row>
    <x:row r="158">
      <x:c r="A158" s="20" t="str">
        <x:f>FDOE_Grades_2025_Raw!A158</x:f>
        <x:v>530611</x:v>
      </x:c>
      <x:c r="B158" s="20" t="str">
        <x:f>FDOE_Grades_2025_Raw!E158</x:f>
        <x:v>INWOOD ELEMENTARY SCHOOL</x:v>
      </x:c>
      <x:c r="C158" s="20" t="n">
        <x:v>2025</x:v>
      </x:c>
      <x:c r="D158" s="20" t="str">
        <x:f>FDOE_Grades_2025_Raw!W158</x:f>
        <x:v>C</x:v>
      </x:c>
      <x:c r="E158" s="25">
        <x:f>IF(D158="A",4,IF(D158="B",3,IF(D158="C",2,IF(D158="D",1,IF(D158="F",0,"")))))</x:f>
        <x:v>2</x:v>
      </x:c>
      <x:c r="F158" s="25">
        <x:f>FDOE_Grades_2025_Raw!K158</x:f>
        <x:v>40</x:v>
      </x:c>
      <x:c r="G158" s="25">
        <x:f>FDOE_Grades_2025_Raw!M158</x:f>
        <x:v>50</x:v>
      </x:c>
      <x:c r="H158" s="25">
        <x:f>FDOE_Grades_2025_Raw!L158</x:f>
        <x:v>51</x:v>
      </x:c>
      <x:c r="I158" s="25">
        <x:f>FDOE_Grades_2025_Raw!Q158</x:f>
        <x:v>0</x:v>
      </x:c>
      <x:c r="J158" s="25">
        <x:f>FDOE_Grades_2025_Raw!R158</x:f>
        <x:v>0</x:v>
      </x:c>
      <x:c r="K158" s="25">
        <x:f>IF($A158="","",ROUND((Scoring_Model!$B$9*($E158/4)*100)+(Scoring_Model!$B$10*$F158)+(Scoring_Model!$B$11*$G158)+(Scoring_Model!$B$12*$H158)+(Scoring_Model!$B$13*IF($I158="",0,$I158))+(Scoring_Model!$B$14*IF($J158="",0,$J158)),1))</x:f>
        <x:v>43.1</x:v>
      </x:c>
      <x:c r="L158" s="20" t="inlineStr">
        <x:is>
          <x:t xml:space="preserve">https://www.fldoe.org/file/18534/SchoolGrades25.xlsx</x:t>
        </x:is>
      </x:c>
      <x:c r="M158" s="20" t="inlineStr">
        <x:is>
          <x:t xml:space="preserve">School type Elementary; growth field currently uses official ELA learning gains in this starter model.</x:t>
        </x:is>
      </x:c>
    </x:row>
    <x:row r="159">
      <x:c r="A159" s="20" t="str">
        <x:f>FDOE_Grades_2025_Raw!A159</x:f>
        <x:v>530621</x:v>
      </x:c>
      <x:c r="B159" s="20" t="str">
        <x:f>FDOE_Grades_2025_Raw!E159</x:f>
        <x:v>LAKE SHIPP ELEMENTARY SCHOOL</x:v>
      </x:c>
      <x:c r="C159" s="20" t="n">
        <x:v>2025</x:v>
      </x:c>
      <x:c r="D159" s="20" t="str">
        <x:f>FDOE_Grades_2025_Raw!W159</x:f>
        <x:v>C</x:v>
      </x:c>
      <x:c r="E159" s="25">
        <x:f>IF(D159="A",4,IF(D159="B",3,IF(D159="C",2,IF(D159="D",1,IF(D159="F",0,"")))))</x:f>
        <x:v>2</x:v>
      </x:c>
      <x:c r="F159" s="25">
        <x:f>FDOE_Grades_2025_Raw!K159</x:f>
        <x:v>34</x:v>
      </x:c>
      <x:c r="G159" s="25">
        <x:f>FDOE_Grades_2025_Raw!M159</x:f>
        <x:v>43</x:v>
      </x:c>
      <x:c r="H159" s="25">
        <x:f>FDOE_Grades_2025_Raw!L159</x:f>
        <x:v>43</x:v>
      </x:c>
      <x:c r="I159" s="25">
        <x:f>FDOE_Grades_2025_Raw!Q159</x:f>
        <x:v>0</x:v>
      </x:c>
      <x:c r="J159" s="25">
        <x:f>FDOE_Grades_2025_Raw!R159</x:f>
        <x:v>0</x:v>
      </x:c>
      <x:c r="K159" s="25">
        <x:f>IF($A159="","",ROUND((Scoring_Model!$B$9*($E159/4)*100)+(Scoring_Model!$B$10*$F159)+(Scoring_Model!$B$11*$G159)+(Scoring_Model!$B$12*$H159)+(Scoring_Model!$B$13*IF($I159="",0,$I159))+(Scoring_Model!$B$14*IF($J159="",0,$J159)),1))</x:f>
        <x:v>40.4</x:v>
      </x:c>
      <x:c r="L159" s="20" t="inlineStr">
        <x:is>
          <x:t xml:space="preserve">https://www.fldoe.org/file/18534/SchoolGrades25.xlsx</x:t>
        </x:is>
      </x:c>
      <x:c r="M159" s="20" t="inlineStr">
        <x:is>
          <x:t xml:space="preserve">School type Elementary; growth field currently uses official ELA learning gains in this starter model.</x:t>
        </x:is>
      </x:c>
    </x:row>
    <x:row r="160">
      <x:c r="A160" s="20" t="str">
        <x:f>FDOE_Grades_2025_Raw!A160</x:f>
        <x:v>530631</x:v>
      </x:c>
      <x:c r="B160" s="20" t="str">
        <x:f>FDOE_Grades_2025_Raw!E160</x:f>
        <x:v>JOHN SNIVELY ELEMENTARY</x:v>
      </x:c>
      <x:c r="C160" s="20" t="n">
        <x:v>2025</x:v>
      </x:c>
      <x:c r="D160" s="20" t="str">
        <x:f>FDOE_Grades_2025_Raw!W160</x:f>
        <x:v>B</x:v>
      </x:c>
      <x:c r="E160" s="25">
        <x:f>IF(D160="A",4,IF(D160="B",3,IF(D160="C",2,IF(D160="D",1,IF(D160="F",0,"")))))</x:f>
        <x:v>3</x:v>
      </x:c>
      <x:c r="F160" s="25">
        <x:f>FDOE_Grades_2025_Raw!K160</x:f>
        <x:v>54</x:v>
      </x:c>
      <x:c r="G160" s="25">
        <x:f>FDOE_Grades_2025_Raw!M160</x:f>
        <x:v>50</x:v>
      </x:c>
      <x:c r="H160" s="25">
        <x:f>FDOE_Grades_2025_Raw!L160</x:f>
        <x:v>61</x:v>
      </x:c>
      <x:c r="I160" s="25">
        <x:f>FDOE_Grades_2025_Raw!Q160</x:f>
        <x:v>0</x:v>
      </x:c>
      <x:c r="J160" s="25">
        <x:f>FDOE_Grades_2025_Raw!R160</x:f>
        <x:v>0</x:v>
      </x:c>
      <x:c r="K160" s="25">
        <x:f>IF($A160="","",ROUND((Scoring_Model!$B$9*($E160/4)*100)+(Scoring_Model!$B$10*$F160)+(Scoring_Model!$B$11*$G160)+(Scoring_Model!$B$12*$H160)+(Scoring_Model!$B$13*IF($I160="",0,$I160))+(Scoring_Model!$B$14*IF($J160="",0,$J160)),1))</x:f>
        <x:v>59.4</x:v>
      </x:c>
      <x:c r="L160" s="20" t="inlineStr">
        <x:is>
          <x:t xml:space="preserve">https://www.fldoe.org/file/18534/SchoolGrades25.xlsx</x:t>
        </x:is>
      </x:c>
      <x:c r="M160" s="20" t="inlineStr">
        <x:is>
          <x:t xml:space="preserve">School type Elementary; growth field currently uses official ELA learning gains in this starter model.</x:t>
        </x:is>
      </x:c>
    </x:row>
    <x:row r="161">
      <x:c r="A161" s="20" t="str">
        <x:f>FDOE_Grades_2025_Raw!A161</x:f>
        <x:v>530651</x:v>
      </x:c>
      <x:c r="B161" s="20" t="str">
        <x:f>FDOE_Grades_2025_Raw!E161</x:f>
        <x:v>LAKE ALFRED ELEMENTARY SCHOOL</x:v>
      </x:c>
      <x:c r="C161" s="20" t="n">
        <x:v>2025</x:v>
      </x:c>
      <x:c r="D161" s="20" t="str">
        <x:f>FDOE_Grades_2025_Raw!W161</x:f>
        <x:v>C</x:v>
      </x:c>
      <x:c r="E161" s="25">
        <x:f>IF(D161="A",4,IF(D161="B",3,IF(D161="C",2,IF(D161="D",1,IF(D161="F",0,"")))))</x:f>
        <x:v>2</x:v>
      </x:c>
      <x:c r="F161" s="25">
        <x:f>FDOE_Grades_2025_Raw!K161</x:f>
        <x:v>47</x:v>
      </x:c>
      <x:c r="G161" s="25">
        <x:f>FDOE_Grades_2025_Raw!M161</x:f>
        <x:v>54</x:v>
      </x:c>
      <x:c r="H161" s="25">
        <x:f>FDOE_Grades_2025_Raw!L161</x:f>
        <x:v>49</x:v>
      </x:c>
      <x:c r="I161" s="25">
        <x:f>FDOE_Grades_2025_Raw!Q161</x:f>
        <x:v>0</x:v>
      </x:c>
      <x:c r="J161" s="25">
        <x:f>FDOE_Grades_2025_Raw!R161</x:f>
        <x:v>0</x:v>
      </x:c>
      <x:c r="K161" s="25">
        <x:f>IF($A161="","",ROUND((Scoring_Model!$B$9*($E161/4)*100)+(Scoring_Model!$B$10*$F161)+(Scoring_Model!$B$11*$G161)+(Scoring_Model!$B$12*$H161)+(Scoring_Model!$B$13*IF($I161="",0,$I161))+(Scoring_Model!$B$14*IF($J161="",0,$J161)),1))</x:f>
        <x:v>44.7</x:v>
      </x:c>
      <x:c r="L161" s="20" t="inlineStr">
        <x:is>
          <x:t xml:space="preserve">https://www.fldoe.org/file/18534/SchoolGrades25.xlsx</x:t>
        </x:is>
      </x:c>
      <x:c r="M161" s="20" t="inlineStr">
        <x:is>
          <x:t xml:space="preserve">School type Elementary; growth field currently uses official ELA learning gains in this starter model.</x:t>
        </x:is>
      </x:c>
    </x:row>
    <x:row r="162">
      <x:c r="A162" s="20" t="str">
        <x:f>FDOE_Grades_2025_Raw!A162</x:f>
        <x:v>530681</x:v>
      </x:c>
      <x:c r="B162" s="20" t="str">
        <x:f>FDOE_Grades_2025_Raw!E162</x:f>
        <x:v>WAHNETA ELEMENTARY SCHOOL</x:v>
      </x:c>
      <x:c r="C162" s="20" t="n">
        <x:v>2025</x:v>
      </x:c>
      <x:c r="D162" s="20" t="str">
        <x:f>FDOE_Grades_2025_Raw!W162</x:f>
        <x:v>C</x:v>
      </x:c>
      <x:c r="E162" s="25">
        <x:f>IF(D162="A",4,IF(D162="B",3,IF(D162="C",2,IF(D162="D",1,IF(D162="F",0,"")))))</x:f>
        <x:v>2</x:v>
      </x:c>
      <x:c r="F162" s="25">
        <x:f>FDOE_Grades_2025_Raw!K162</x:f>
        <x:v>39</x:v>
      </x:c>
      <x:c r="G162" s="25">
        <x:f>FDOE_Grades_2025_Raw!M162</x:f>
        <x:v>51</x:v>
      </x:c>
      <x:c r="H162" s="25">
        <x:f>FDOE_Grades_2025_Raw!L162</x:f>
        <x:v>43</x:v>
      </x:c>
      <x:c r="I162" s="25">
        <x:f>FDOE_Grades_2025_Raw!Q162</x:f>
        <x:v>0</x:v>
      </x:c>
      <x:c r="J162" s="25">
        <x:f>FDOE_Grades_2025_Raw!R162</x:f>
        <x:v>0</x:v>
      </x:c>
      <x:c r="K162" s="25">
        <x:f>IF($A162="","",ROUND((Scoring_Model!$B$9*($E162/4)*100)+(Scoring_Model!$B$10*$F162)+(Scoring_Model!$B$11*$G162)+(Scoring_Model!$B$12*$H162)+(Scoring_Model!$B$13*IF($I162="",0,$I162))+(Scoring_Model!$B$14*IF($J162="",0,$J162)),1))</x:f>
        <x:v>42.2</x:v>
      </x:c>
      <x:c r="L162" s="20" t="inlineStr">
        <x:is>
          <x:t xml:space="preserve">https://www.fldoe.org/file/18534/SchoolGrades25.xlsx</x:t>
        </x:is>
      </x:c>
      <x:c r="M162" s="20" t="inlineStr">
        <x:is>
          <x:t xml:space="preserve">School type Elementary; growth field currently uses official ELA learning gains in this starter model.</x:t>
        </x:is>
      </x:c>
    </x:row>
    <x:row r="163">
      <x:c r="A163" s="20" t="str">
        <x:f>FDOE_Grades_2025_Raw!A163</x:f>
        <x:v>530711</x:v>
      </x:c>
      <x:c r="B163" s="20" t="str">
        <x:f>FDOE_Grades_2025_Raw!E163</x:f>
        <x:v>JEWETT MIDDLE ACADEMY MAGNET</x:v>
      </x:c>
      <x:c r="C163" s="20" t="n">
        <x:v>2025</x:v>
      </x:c>
      <x:c r="D163" s="20" t="str">
        <x:f>FDOE_Grades_2025_Raw!W163</x:f>
        <x:v>A</x:v>
      </x:c>
      <x:c r="E163" s="25">
        <x:f>IF(D163="A",4,IF(D163="B",3,IF(D163="C",2,IF(D163="D",1,IF(D163="F",0,"")))))</x:f>
        <x:v>4</x:v>
      </x:c>
      <x:c r="F163" s="25">
        <x:f>FDOE_Grades_2025_Raw!K163</x:f>
        <x:v>66</x:v>
      </x:c>
      <x:c r="G163" s="25">
        <x:f>FDOE_Grades_2025_Raw!M163</x:f>
        <x:v>68</x:v>
      </x:c>
      <x:c r="H163" s="25">
        <x:f>FDOE_Grades_2025_Raw!L163</x:f>
        <x:v>59</x:v>
      </x:c>
      <x:c r="I163" s="25">
        <x:f>FDOE_Grades_2025_Raw!Q163</x:f>
        <x:v>0</x:v>
      </x:c>
      <x:c r="J163" s="25">
        <x:f>FDOE_Grades_2025_Raw!R163</x:f>
        <x:v>0</x:v>
      </x:c>
      <x:c r="K163" s="25">
        <x:f>IF($A163="","",ROUND((Scoring_Model!$B$9*($E163/4)*100)+(Scoring_Model!$B$10*$F163)+(Scoring_Model!$B$11*$G163)+(Scoring_Model!$B$12*$H163)+(Scoring_Model!$B$13*IF($I163="",0,$I163))+(Scoring_Model!$B$14*IF($J163="",0,$J163)),1))</x:f>
        <x:v>75.9</x:v>
      </x:c>
      <x:c r="L163" s="20" t="inlineStr">
        <x:is>
          <x:t xml:space="preserve">https://www.fldoe.org/file/18534/SchoolGrades25.xlsx</x:t>
        </x:is>
      </x:c>
      <x:c r="M163" s="20" t="inlineStr">
        <x:is>
          <x:t xml:space="preserve">School type Middle/Junior; growth field currently uses official ELA learning gains in this starter model.</x:t>
        </x:is>
      </x:c>
    </x:row>
    <x:row r="164">
      <x:c r="A164" s="20" t="str">
        <x:f>FDOE_Grades_2025_Raw!A164</x:f>
        <x:v>530712</x:v>
      </x:c>
      <x:c r="B164" s="20" t="str">
        <x:f>FDOE_Grades_2025_Raw!E164</x:f>
        <x:v>JEWETT SCHOOL OF THE ARTS</x:v>
      </x:c>
      <x:c r="C164" s="20" t="n">
        <x:v>2025</x:v>
      </x:c>
      <x:c r="D164" s="20" t="str">
        <x:f>FDOE_Grades_2025_Raw!W164</x:f>
        <x:v>A</x:v>
      </x:c>
      <x:c r="E164" s="25">
        <x:f>IF(D164="A",4,IF(D164="B",3,IF(D164="C",2,IF(D164="D",1,IF(D164="F",0,"")))))</x:f>
        <x:v>4</x:v>
      </x:c>
      <x:c r="F164" s="25">
        <x:f>FDOE_Grades_2025_Raw!K164</x:f>
        <x:v>58</x:v>
      </x:c>
      <x:c r="G164" s="25">
        <x:f>FDOE_Grades_2025_Raw!M164</x:f>
        <x:v>55</x:v>
      </x:c>
      <x:c r="H164" s="25">
        <x:f>FDOE_Grades_2025_Raw!L164</x:f>
        <x:v>60</x:v>
      </x:c>
      <x:c r="I164" s="25">
        <x:f>FDOE_Grades_2025_Raw!Q164</x:f>
        <x:v>0</x:v>
      </x:c>
      <x:c r="J164" s="25">
        <x:f>FDOE_Grades_2025_Raw!R164</x:f>
        <x:v>0</x:v>
      </x:c>
      <x:c r="K164" s="25">
        <x:f>IF($A164="","",ROUND((Scoring_Model!$B$9*($E164/4)*100)+(Scoring_Model!$B$10*$F164)+(Scoring_Model!$B$11*$G164)+(Scoring_Model!$B$12*$H164)+(Scoring_Model!$B$13*IF($I164="",0,$I164))+(Scoring_Model!$B$14*IF($J164="",0,$J164)),1))</x:f>
        <x:v>73.1</x:v>
      </x:c>
      <x:c r="L164" s="20" t="inlineStr">
        <x:is>
          <x:t xml:space="preserve">https://www.fldoe.org/file/18534/SchoolGrades25.xlsx</x:t>
        </x:is>
      </x:c>
      <x:c r="M164" s="20" t="inlineStr">
        <x:is>
          <x:t xml:space="preserve">School type Combination; growth field currently uses official ELA learning gains in this starter model.</x:t>
        </x:is>
      </x:c>
    </x:row>
    <x:row r="165">
      <x:c r="A165" s="20" t="str">
        <x:f>FDOE_Grades_2025_Raw!A165</x:f>
        <x:v>530791</x:v>
      </x:c>
      <x:c r="B165" s="20" t="str">
        <x:f>FDOE_Grades_2025_Raw!E165</x:f>
        <x:v>FORT MEADE MIDDLE/SENIOR HIGH SCHOOL</x:v>
      </x:c>
      <x:c r="C165" s="20" t="n">
        <x:v>2025</x:v>
      </x:c>
      <x:c r="D165" s="20" t="str">
        <x:f>FDOE_Grades_2025_Raw!W165</x:f>
        <x:v>B</x:v>
      </x:c>
      <x:c r="E165" s="25">
        <x:f>IF(D165="A",4,IF(D165="B",3,IF(D165="C",2,IF(D165="D",1,IF(D165="F",0,"")))))</x:f>
        <x:v>3</x:v>
      </x:c>
      <x:c r="F165" s="25">
        <x:f>FDOE_Grades_2025_Raw!K165</x:f>
        <x:v>46</x:v>
      </x:c>
      <x:c r="G165" s="25">
        <x:f>FDOE_Grades_2025_Raw!M165</x:f>
        <x:v>52</x:v>
      </x:c>
      <x:c r="H165" s="25">
        <x:f>FDOE_Grades_2025_Raw!L165</x:f>
        <x:v>51</x:v>
      </x:c>
      <x:c r="I165" s="25">
        <x:f>FDOE_Grades_2025_Raw!Q165</x:f>
        <x:v>91</x:v>
      </x:c>
      <x:c r="J165" s="25">
        <x:f>FDOE_Grades_2025_Raw!R165</x:f>
        <x:v>75</x:v>
      </x:c>
      <x:c r="K165" s="25">
        <x:f>IF($A165="","",ROUND((Scoring_Model!$B$9*($E165/4)*100)+(Scoring_Model!$B$10*$F165)+(Scoring_Model!$B$11*$G165)+(Scoring_Model!$B$12*$H165)+(Scoring_Model!$B$13*IF($I165="",0,$I165))+(Scoring_Model!$B$14*IF($J165="",0,$J165)),1))</x:f>
        <x:v>65.3</x:v>
      </x:c>
      <x:c r="L165" s="20" t="inlineStr">
        <x:is>
          <x:t xml:space="preserve">https://www.fldoe.org/file/18534/SchoolGrades25.xlsx</x:t>
        </x:is>
      </x:c>
      <x:c r="M165" s="20" t="inlineStr">
        <x:is>
          <x:t xml:space="preserve">School type Combination; growth field currently uses official ELA learning gains in this starter model.</x:t>
        </x:is>
      </x:c>
    </x:row>
    <x:row r="166">
      <x:c r="A166" s="20" t="str">
        <x:f>FDOE_Grades_2025_Raw!A166</x:f>
        <x:v>530802</x:v>
      </x:c>
      <x:c r="B166" s="20" t="str">
        <x:f>FDOE_Grades_2025_Raw!E166</x:f>
        <x:v>LEWIS ANNA WOODBURY ELEMENTARY SCHOOL</x:v>
      </x:c>
      <x:c r="C166" s="20" t="n">
        <x:v>2025</x:v>
      </x:c>
      <x:c r="D166" s="20" t="str">
        <x:f>FDOE_Grades_2025_Raw!W166</x:f>
        <x:v>C</x:v>
      </x:c>
      <x:c r="E166" s="25">
        <x:f>IF(D166="A",4,IF(D166="B",3,IF(D166="C",2,IF(D166="D",1,IF(D166="F",0,"")))))</x:f>
        <x:v>2</x:v>
      </x:c>
      <x:c r="F166" s="25">
        <x:f>FDOE_Grades_2025_Raw!K166</x:f>
        <x:v>47</x:v>
      </x:c>
      <x:c r="G166" s="25">
        <x:f>FDOE_Grades_2025_Raw!M166</x:f>
        <x:v>46</x:v>
      </x:c>
      <x:c r="H166" s="25">
        <x:f>FDOE_Grades_2025_Raw!L166</x:f>
        <x:v>47</x:v>
      </x:c>
      <x:c r="I166" s="25">
        <x:f>FDOE_Grades_2025_Raw!Q166</x:f>
        <x:v>0</x:v>
      </x:c>
      <x:c r="J166" s="25">
        <x:f>FDOE_Grades_2025_Raw!R166</x:f>
        <x:v>0</x:v>
      </x:c>
      <x:c r="K166" s="25">
        <x:f>IF($A166="","",ROUND((Scoring_Model!$B$9*($E166/4)*100)+(Scoring_Model!$B$10*$F166)+(Scoring_Model!$B$11*$G166)+(Scoring_Model!$B$12*$H166)+(Scoring_Model!$B$13*IF($I166="",0,$I166))+(Scoring_Model!$B$14*IF($J166="",0,$J166)),1))</x:f>
        <x:v>43.7</x:v>
      </x:c>
      <x:c r="L166" s="20" t="inlineStr">
        <x:is>
          <x:t xml:space="preserve">https://www.fldoe.org/file/18534/SchoolGrades25.xlsx</x:t>
        </x:is>
      </x:c>
      <x:c r="M166" s="20" t="inlineStr">
        <x:is>
          <x:t xml:space="preserve">School type Elementary; growth field currently uses official ELA learning gains in this starter model.</x:t>
        </x:is>
      </x:c>
    </x:row>
    <x:row r="167">
      <x:c r="A167" s="20" t="str">
        <x:f>FDOE_Grades_2025_Raw!A167</x:f>
        <x:v>530811</x:v>
      </x:c>
      <x:c r="B167" s="20" t="str">
        <x:f>FDOE_Grades_2025_Raw!E167</x:f>
        <x:v>AUBURNDALE SENIOR HIGH SCHOOL</x:v>
      </x:c>
      <x:c r="C167" s="20" t="n">
        <x:v>2025</x:v>
      </x:c>
      <x:c r="D167" s="20" t="str">
        <x:f>FDOE_Grades_2025_Raw!W167</x:f>
        <x:v>C</x:v>
      </x:c>
      <x:c r="E167" s="25">
        <x:f>IF(D167="A",4,IF(D167="B",3,IF(D167="C",2,IF(D167="D",1,IF(D167="F",0,"")))))</x:f>
        <x:v>2</x:v>
      </x:c>
      <x:c r="F167" s="25">
        <x:f>FDOE_Grades_2025_Raw!K167</x:f>
        <x:v>48</x:v>
      </x:c>
      <x:c r="G167" s="25">
        <x:f>FDOE_Grades_2025_Raw!M167</x:f>
        <x:v>16</x:v>
      </x:c>
      <x:c r="H167" s="25">
        <x:f>FDOE_Grades_2025_Raw!L167</x:f>
        <x:v>60</x:v>
      </x:c>
      <x:c r="I167" s="25">
        <x:f>FDOE_Grades_2025_Raw!Q167</x:f>
        <x:v>87</x:v>
      </x:c>
      <x:c r="J167" s="25">
        <x:f>FDOE_Grades_2025_Raw!R167</x:f>
        <x:v>48</x:v>
      </x:c>
      <x:c r="K167" s="25">
        <x:f>IF($A167="","",ROUND((Scoring_Model!$B$9*($E167/4)*100)+(Scoring_Model!$B$10*$F167)+(Scoring_Model!$B$11*$G167)+(Scoring_Model!$B$12*$H167)+(Scoring_Model!$B$13*IF($I167="",0,$I167))+(Scoring_Model!$B$14*IF($J167="",0,$J167)),1))</x:f>
        <x:v>49</x:v>
      </x:c>
      <x:c r="L167" s="20" t="inlineStr">
        <x:is>
          <x:t xml:space="preserve">https://www.fldoe.org/file/18534/SchoolGrades25.xlsx</x:t>
        </x:is>
      </x:c>
      <x:c r="M167" s="20" t="inlineStr">
        <x:is>
          <x:t xml:space="preserve">School type Senior High; growth field currently uses official ELA learning gains in this starter model.</x:t>
        </x:is>
      </x:c>
    </x:row>
    <x:row r="168">
      <x:c r="A168" s="20" t="str">
        <x:f>FDOE_Grades_2025_Raw!A168</x:f>
        <x:v>530821</x:v>
      </x:c>
      <x:c r="B168" s="20" t="str">
        <x:f>FDOE_Grades_2025_Raw!E168</x:f>
        <x:v>JERE L. STAMBAUGH MIDDLE</x:v>
      </x:c>
      <x:c r="C168" s="20" t="n">
        <x:v>2025</x:v>
      </x:c>
      <x:c r="D168" s="20" t="str">
        <x:f>FDOE_Grades_2025_Raw!W168</x:f>
        <x:v>C</x:v>
      </x:c>
      <x:c r="E168" s="25">
        <x:f>IF(D168="A",4,IF(D168="B",3,IF(D168="C",2,IF(D168="D",1,IF(D168="F",0,"")))))</x:f>
        <x:v>2</x:v>
      </x:c>
      <x:c r="F168" s="25">
        <x:f>FDOE_Grades_2025_Raw!K168</x:f>
        <x:v>38</x:v>
      </x:c>
      <x:c r="G168" s="25">
        <x:f>FDOE_Grades_2025_Raw!M168</x:f>
        <x:v>40</x:v>
      </x:c>
      <x:c r="H168" s="25">
        <x:f>FDOE_Grades_2025_Raw!L168</x:f>
        <x:v>51</x:v>
      </x:c>
      <x:c r="I168" s="25">
        <x:f>FDOE_Grades_2025_Raw!Q168</x:f>
        <x:v>0</x:v>
      </x:c>
      <x:c r="J168" s="25">
        <x:f>FDOE_Grades_2025_Raw!R168</x:f>
        <x:v>0</x:v>
      </x:c>
      <x:c r="K168" s="25">
        <x:f>IF($A168="","",ROUND((Scoring_Model!$B$9*($E168/4)*100)+(Scoring_Model!$B$10*$F168)+(Scoring_Model!$B$11*$G168)+(Scoring_Model!$B$12*$H168)+(Scoring_Model!$B$13*IF($I168="",0,$I168))+(Scoring_Model!$B$14*IF($J168="",0,$J168)),1))</x:f>
        <x:v>41.7</x:v>
      </x:c>
      <x:c r="L168" s="20" t="inlineStr">
        <x:is>
          <x:t xml:space="preserve">https://www.fldoe.org/file/18534/SchoolGrades25.xlsx</x:t>
        </x:is>
      </x:c>
      <x:c r="M168" s="20" t="inlineStr">
        <x:is>
          <x:t xml:space="preserve">School type Middle/Junior; growth field currently uses official ELA learning gains in this starter model.</x:t>
        </x:is>
      </x:c>
    </x:row>
    <x:row r="169">
      <x:c r="A169" s="20" t="str">
        <x:f>FDOE_Grades_2025_Raw!A169</x:f>
        <x:v>530841</x:v>
      </x:c>
      <x:c r="B169" s="20" t="str">
        <x:f>FDOE_Grades_2025_Raw!E169</x:f>
        <x:v>LENA VISTA ELEMENTARY SCHOOL</x:v>
      </x:c>
      <x:c r="C169" s="20" t="n">
        <x:v>2025</x:v>
      </x:c>
      <x:c r="D169" s="20" t="str">
        <x:f>FDOE_Grades_2025_Raw!W169</x:f>
        <x:v>C</x:v>
      </x:c>
      <x:c r="E169" s="25">
        <x:f>IF(D169="A",4,IF(D169="B",3,IF(D169="C",2,IF(D169="D",1,IF(D169="F",0,"")))))</x:f>
        <x:v>2</x:v>
      </x:c>
      <x:c r="F169" s="25">
        <x:f>FDOE_Grades_2025_Raw!K169</x:f>
        <x:v>39</x:v>
      </x:c>
      <x:c r="G169" s="25">
        <x:f>FDOE_Grades_2025_Raw!M169</x:f>
        <x:v>37</x:v>
      </x:c>
      <x:c r="H169" s="25">
        <x:f>FDOE_Grades_2025_Raw!L169</x:f>
        <x:v>47</x:v>
      </x:c>
      <x:c r="I169" s="25">
        <x:f>FDOE_Grades_2025_Raw!Q169</x:f>
        <x:v>0</x:v>
      </x:c>
      <x:c r="J169" s="25">
        <x:f>FDOE_Grades_2025_Raw!R169</x:f>
        <x:v>0</x:v>
      </x:c>
      <x:c r="K169" s="25">
        <x:f>IF($A169="","",ROUND((Scoring_Model!$B$9*($E169/4)*100)+(Scoring_Model!$B$10*$F169)+(Scoring_Model!$B$11*$G169)+(Scoring_Model!$B$12*$H169)+(Scoring_Model!$B$13*IF($I169="",0,$I169))+(Scoring_Model!$B$14*IF($J169="",0,$J169)),1))</x:f>
        <x:v>41.2</x:v>
      </x:c>
      <x:c r="L169" s="20" t="inlineStr">
        <x:is>
          <x:t xml:space="preserve">https://www.fldoe.org/file/18534/SchoolGrades25.xlsx</x:t>
        </x:is>
      </x:c>
      <x:c r="M169" s="20" t="inlineStr">
        <x:is>
          <x:t xml:space="preserve">School type Elementary; growth field currently uses official ELA learning gains in this starter model.</x:t>
        </x:is>
      </x:c>
    </x:row>
    <x:row r="170">
      <x:c r="A170" s="20" t="str">
        <x:f>FDOE_Grades_2025_Raw!A170</x:f>
        <x:v>530851</x:v>
      </x:c>
      <x:c r="B170" s="20" t="str">
        <x:f>FDOE_Grades_2025_Raw!E170</x:f>
        <x:v>AUBURNDALE CENTRAL ELEMENTARY SCHOOL</x:v>
      </x:c>
      <x:c r="C170" s="20" t="n">
        <x:v>2025</x:v>
      </x:c>
      <x:c r="D170" s="20" t="str">
        <x:f>FDOE_Grades_2025_Raw!W170</x:f>
        <x:v>C</x:v>
      </x:c>
      <x:c r="E170" s="25">
        <x:f>IF(D170="A",4,IF(D170="B",3,IF(D170="C",2,IF(D170="D",1,IF(D170="F",0,"")))))</x:f>
        <x:v>2</x:v>
      </x:c>
      <x:c r="F170" s="25">
        <x:f>FDOE_Grades_2025_Raw!K170</x:f>
        <x:v>44</x:v>
      </x:c>
      <x:c r="G170" s="25">
        <x:f>FDOE_Grades_2025_Raw!M170</x:f>
        <x:v>33</x:v>
      </x:c>
      <x:c r="H170" s="25">
        <x:f>FDOE_Grades_2025_Raw!L170</x:f>
        <x:v>55</x:v>
      </x:c>
      <x:c r="I170" s="25">
        <x:f>FDOE_Grades_2025_Raw!Q170</x:f>
        <x:v>0</x:v>
      </x:c>
      <x:c r="J170" s="25">
        <x:f>FDOE_Grades_2025_Raw!R170</x:f>
        <x:v>0</x:v>
      </x:c>
      <x:c r="K170" s="25">
        <x:f>IF($A170="","",ROUND((Scoring_Model!$B$9*($E170/4)*100)+(Scoring_Model!$B$10*$F170)+(Scoring_Model!$B$11*$G170)+(Scoring_Model!$B$12*$H170)+(Scoring_Model!$B$13*IF($I170="",0,$I170))+(Scoring_Model!$B$14*IF($J170="",0,$J170)),1))</x:f>
        <x:v>42.6</x:v>
      </x:c>
      <x:c r="L170" s="20" t="inlineStr">
        <x:is>
          <x:t xml:space="preserve">https://www.fldoe.org/file/18534/SchoolGrades25.xlsx</x:t>
        </x:is>
      </x:c>
      <x:c r="M170" s="20" t="inlineStr">
        <x:is>
          <x:t xml:space="preserve">School type Elementary; growth field currently uses official ELA learning gains in this starter model.</x:t>
        </x:is>
      </x:c>
    </x:row>
    <x:row r="171">
      <x:c r="A171" s="20" t="str">
        <x:f>FDOE_Grades_2025_Raw!A171</x:f>
        <x:v>530861</x:v>
      </x:c>
      <x:c r="B171" s="20" t="str">
        <x:f>FDOE_Grades_2025_Raw!E171</x:f>
        <x:v>WALTER CALDWELL ELEMENTARY SCHOOL</x:v>
      </x:c>
      <x:c r="C171" s="20" t="n">
        <x:v>2025</x:v>
      </x:c>
      <x:c r="D171" s="20" t="str">
        <x:f>FDOE_Grades_2025_Raw!W171</x:f>
        <x:v>C</x:v>
      </x:c>
      <x:c r="E171" s="25">
        <x:f>IF(D171="A",4,IF(D171="B",3,IF(D171="C",2,IF(D171="D",1,IF(D171="F",0,"")))))</x:f>
        <x:v>2</x:v>
      </x:c>
      <x:c r="F171" s="25">
        <x:f>FDOE_Grades_2025_Raw!K171</x:f>
        <x:v>48</x:v>
      </x:c>
      <x:c r="G171" s="25">
        <x:f>FDOE_Grades_2025_Raw!M171</x:f>
        <x:v>55</x:v>
      </x:c>
      <x:c r="H171" s="25">
        <x:f>FDOE_Grades_2025_Raw!L171</x:f>
        <x:v>53</x:v>
      </x:c>
      <x:c r="I171" s="25">
        <x:f>FDOE_Grades_2025_Raw!Q171</x:f>
        <x:v>0</x:v>
      </x:c>
      <x:c r="J171" s="25">
        <x:f>FDOE_Grades_2025_Raw!R171</x:f>
        <x:v>0</x:v>
      </x:c>
      <x:c r="K171" s="25">
        <x:f>IF($A171="","",ROUND((Scoring_Model!$B$9*($E171/4)*100)+(Scoring_Model!$B$10*$F171)+(Scoring_Model!$B$11*$G171)+(Scoring_Model!$B$12*$H171)+(Scoring_Model!$B$13*IF($I171="",0,$I171))+(Scoring_Model!$B$14*IF($J171="",0,$J171)),1))</x:f>
        <x:v>45.4</x:v>
      </x:c>
      <x:c r="L171" s="20" t="inlineStr">
        <x:is>
          <x:t xml:space="preserve">https://www.fldoe.org/file/18534/SchoolGrades25.xlsx</x:t>
        </x:is>
      </x:c>
      <x:c r="M171" s="20" t="inlineStr">
        <x:is>
          <x:t xml:space="preserve">School type Elementary; growth field currently uses official ELA learning gains in this starter model.</x:t>
        </x:is>
      </x:c>
    </x:row>
    <x:row r="172">
      <x:c r="A172" s="20" t="str">
        <x:f>FDOE_Grades_2025_Raw!A172</x:f>
        <x:v>530881</x:v>
      </x:c>
      <x:c r="B172" s="20" t="str">
        <x:f>FDOE_Grades_2025_Raw!E172</x:f>
        <x:v>POLK CITY ELEMENTARY SCHOOL</x:v>
      </x:c>
      <x:c r="C172" s="20" t="n">
        <x:v>2025</x:v>
      </x:c>
      <x:c r="D172" s="20" t="str">
        <x:f>FDOE_Grades_2025_Raw!W172</x:f>
        <x:v>C</x:v>
      </x:c>
      <x:c r="E172" s="25">
        <x:f>IF(D172="A",4,IF(D172="B",3,IF(D172="C",2,IF(D172="D",1,IF(D172="F",0,"")))))</x:f>
        <x:v>2</x:v>
      </x:c>
      <x:c r="F172" s="25">
        <x:f>FDOE_Grades_2025_Raw!K172</x:f>
        <x:v>42</x:v>
      </x:c>
      <x:c r="G172" s="25">
        <x:f>FDOE_Grades_2025_Raw!M172</x:f>
        <x:v>48</x:v>
      </x:c>
      <x:c r="H172" s="25">
        <x:f>FDOE_Grades_2025_Raw!L172</x:f>
        <x:v>41</x:v>
      </x:c>
      <x:c r="I172" s="25">
        <x:f>FDOE_Grades_2025_Raw!Q172</x:f>
        <x:v>0</x:v>
      </x:c>
      <x:c r="J172" s="25">
        <x:f>FDOE_Grades_2025_Raw!R172</x:f>
        <x:v>0</x:v>
      </x:c>
      <x:c r="K172" s="25">
        <x:f>IF($A172="","",ROUND((Scoring_Model!$B$9*($E172/4)*100)+(Scoring_Model!$B$10*$F172)+(Scoring_Model!$B$11*$G172)+(Scoring_Model!$B$12*$H172)+(Scoring_Model!$B$13*IF($I172="",0,$I172))+(Scoring_Model!$B$14*IF($J172="",0,$J172)),1))</x:f>
        <x:v>42.3</x:v>
      </x:c>
      <x:c r="L172" s="20" t="inlineStr">
        <x:is>
          <x:t xml:space="preserve">https://www.fldoe.org/file/18534/SchoolGrades25.xlsx</x:t>
        </x:is>
      </x:c>
      <x:c r="M172" s="20" t="inlineStr">
        <x:is>
          <x:t xml:space="preserve">School type Elementary; growth field currently uses official ELA learning gains in this starter model.</x:t>
        </x:is>
      </x:c>
    </x:row>
    <x:row r="173">
      <x:c r="A173" s="20" t="str">
        <x:f>FDOE_Grades_2025_Raw!A173</x:f>
        <x:v>530901</x:v>
      </x:c>
      <x:c r="B173" s="20" t="str">
        <x:f>FDOE_Grades_2025_Raw!E173</x:f>
        <x:v>BARTOW SENIOR HIGH SCHOOL</x:v>
      </x:c>
      <x:c r="C173" s="20" t="n">
        <x:v>2025</x:v>
      </x:c>
      <x:c r="D173" s="20" t="str">
        <x:f>FDOE_Grades_2025_Raw!W173</x:f>
        <x:v>C</x:v>
      </x:c>
      <x:c r="E173" s="25">
        <x:f>IF(D173="A",4,IF(D173="B",3,IF(D173="C",2,IF(D173="D",1,IF(D173="F",0,"")))))</x:f>
        <x:v>2</x:v>
      </x:c>
      <x:c r="F173" s="25">
        <x:f>FDOE_Grades_2025_Raw!K173</x:f>
        <x:v>54</x:v>
      </x:c>
      <x:c r="G173" s="25">
        <x:f>FDOE_Grades_2025_Raw!M173</x:f>
        <x:v>24</x:v>
      </x:c>
      <x:c r="H173" s="25">
        <x:f>FDOE_Grades_2025_Raw!L173</x:f>
        <x:v>56</x:v>
      </x:c>
      <x:c r="I173" s="25">
        <x:f>FDOE_Grades_2025_Raw!Q173</x:f>
        <x:v>96</x:v>
      </x:c>
      <x:c r="J173" s="25">
        <x:f>FDOE_Grades_2025_Raw!R173</x:f>
        <x:v>63</x:v>
      </x:c>
      <x:c r="K173" s="25">
        <x:f>IF($A173="","",ROUND((Scoring_Model!$B$9*($E173/4)*100)+(Scoring_Model!$B$10*$F173)+(Scoring_Model!$B$11*$G173)+(Scoring_Model!$B$12*$H173)+(Scoring_Model!$B$13*IF($I173="",0,$I173))+(Scoring_Model!$B$14*IF($J173="",0,$J173)),1))</x:f>
        <x:v>51.7</x:v>
      </x:c>
      <x:c r="L173" s="20" t="inlineStr">
        <x:is>
          <x:t xml:space="preserve">https://www.fldoe.org/file/18534/SchoolGrades25.xlsx</x:t>
        </x:is>
      </x:c>
      <x:c r="M173" s="20" t="inlineStr">
        <x:is>
          <x:t xml:space="preserve">School type Senior High; growth field currently uses official ELA learning gains in this starter model.</x:t>
        </x:is>
      </x:c>
    </x:row>
    <x:row r="174">
      <x:c r="A174" s="20" t="str">
        <x:f>FDOE_Grades_2025_Raw!A174</x:f>
        <x:v>530925</x:v>
      </x:c>
      <x:c r="B174" s="20" t="str">
        <x:f>FDOE_Grades_2025_Raw!E174</x:f>
        <x:v>DAVENPORT ELEMENTARY</x:v>
      </x:c>
      <x:c r="C174" s="20" t="n">
        <x:v>2025</x:v>
      </x:c>
      <x:c r="D174" s="20" t="str">
        <x:f>FDOE_Grades_2025_Raw!W174</x:f>
        <x:v>C</x:v>
      </x:c>
      <x:c r="E174" s="25">
        <x:f>IF(D174="A",4,IF(D174="B",3,IF(D174="C",2,IF(D174="D",1,IF(D174="F",0,"")))))</x:f>
        <x:v>2</x:v>
      </x:c>
      <x:c r="F174" s="25">
        <x:f>FDOE_Grades_2025_Raw!K174</x:f>
        <x:v>46</x:v>
      </x:c>
      <x:c r="G174" s="25">
        <x:f>FDOE_Grades_2025_Raw!M174</x:f>
        <x:v>44</x:v>
      </x:c>
      <x:c r="H174" s="25">
        <x:f>FDOE_Grades_2025_Raw!L174</x:f>
        <x:v>50</x:v>
      </x:c>
      <x:c r="I174" s="25">
        <x:f>FDOE_Grades_2025_Raw!Q174</x:f>
        <x:v>0</x:v>
      </x:c>
      <x:c r="J174" s="25">
        <x:f>FDOE_Grades_2025_Raw!R174</x:f>
        <x:v>0</x:v>
      </x:c>
      <x:c r="K174" s="25">
        <x:f>IF($A174="","",ROUND((Scoring_Model!$B$9*($E174/4)*100)+(Scoring_Model!$B$10*$F174)+(Scoring_Model!$B$11*$G174)+(Scoring_Model!$B$12*$H174)+(Scoring_Model!$B$13*IF($I174="",0,$I174))+(Scoring_Model!$B$14*IF($J174="",0,$J174)),1))</x:f>
        <x:v>43.6</x:v>
      </x:c>
      <x:c r="L174" s="20" t="inlineStr">
        <x:is>
          <x:t xml:space="preserve">https://www.fldoe.org/file/18534/SchoolGrades25.xlsx</x:t>
        </x:is>
      </x:c>
      <x:c r="M174" s="20" t="inlineStr">
        <x:is>
          <x:t xml:space="preserve">School type Elementary; growth field currently uses official ELA learning gains in this starter model.</x:t>
        </x:is>
      </x:c>
    </x:row>
    <x:row r="175">
      <x:c r="A175" s="20" t="str">
        <x:f>FDOE_Grades_2025_Raw!A175</x:f>
        <x:v>530931</x:v>
      </x:c>
      <x:c r="B175" s="20" t="str">
        <x:f>FDOE_Grades_2025_Raw!E175</x:f>
        <x:v>BARTOW MIDDLE SCHOOL</x:v>
      </x:c>
      <x:c r="C175" s="20" t="n">
        <x:v>2025</x:v>
      </x:c>
      <x:c r="D175" s="20" t="str">
        <x:f>FDOE_Grades_2025_Raw!W175</x:f>
        <x:v>C</x:v>
      </x:c>
      <x:c r="E175" s="25">
        <x:f>IF(D175="A",4,IF(D175="B",3,IF(D175="C",2,IF(D175="D",1,IF(D175="F",0,"")))))</x:f>
        <x:v>2</x:v>
      </x:c>
      <x:c r="F175" s="25">
        <x:f>FDOE_Grades_2025_Raw!K175</x:f>
        <x:v>44</x:v>
      </x:c>
      <x:c r="G175" s="25">
        <x:f>FDOE_Grades_2025_Raw!M175</x:f>
        <x:v>45</x:v>
      </x:c>
      <x:c r="H175" s="25">
        <x:f>FDOE_Grades_2025_Raw!L175</x:f>
        <x:v>51</x:v>
      </x:c>
      <x:c r="I175" s="25">
        <x:f>FDOE_Grades_2025_Raw!Q175</x:f>
        <x:v>0</x:v>
      </x:c>
      <x:c r="J175" s="25">
        <x:f>FDOE_Grades_2025_Raw!R175</x:f>
        <x:v>0</x:v>
      </x:c>
      <x:c r="K175" s="25">
        <x:f>IF($A175="","",ROUND((Scoring_Model!$B$9*($E175/4)*100)+(Scoring_Model!$B$10*$F175)+(Scoring_Model!$B$11*$G175)+(Scoring_Model!$B$12*$H175)+(Scoring_Model!$B$13*IF($I175="",0,$I175))+(Scoring_Model!$B$14*IF($J175="",0,$J175)),1))</x:f>
        <x:v>43.4</x:v>
      </x:c>
      <x:c r="L175" s="20" t="inlineStr">
        <x:is>
          <x:t xml:space="preserve">https://www.fldoe.org/file/18534/SchoolGrades25.xlsx</x:t>
        </x:is>
      </x:c>
      <x:c r="M175" s="20" t="inlineStr">
        <x:is>
          <x:t xml:space="preserve">School type Middle/Junior; growth field currently uses official ELA learning gains in this starter model.</x:t>
        </x:is>
      </x:c>
    </x:row>
    <x:row r="176">
      <x:c r="A176" s="20" t="str">
        <x:f>FDOE_Grades_2025_Raw!A176</x:f>
        <x:v>530933</x:v>
      </x:c>
      <x:c r="B176" s="20" t="str">
        <x:f>FDOE_Grades_2025_Raw!E176</x:f>
        <x:v>CHAIN OF LAKES ELEMENTARY SCHOOL</x:v>
      </x:c>
      <x:c r="C176" s="20" t="n">
        <x:v>2025</x:v>
      </x:c>
      <x:c r="D176" s="20" t="str">
        <x:f>FDOE_Grades_2025_Raw!W176</x:f>
        <x:v>C</x:v>
      </x:c>
      <x:c r="E176" s="25">
        <x:f>IF(D176="A",4,IF(D176="B",3,IF(D176="C",2,IF(D176="D",1,IF(D176="F",0,"")))))</x:f>
        <x:v>2</x:v>
      </x:c>
      <x:c r="F176" s="25">
        <x:f>FDOE_Grades_2025_Raw!K176</x:f>
        <x:v>61</x:v>
      </x:c>
      <x:c r="G176" s="25">
        <x:f>FDOE_Grades_2025_Raw!M176</x:f>
        <x:v>58</x:v>
      </x:c>
      <x:c r="H176" s="25">
        <x:f>FDOE_Grades_2025_Raw!L176</x:f>
        <x:v>64</x:v>
      </x:c>
      <x:c r="I176" s="25">
        <x:f>FDOE_Grades_2025_Raw!Q176</x:f>
        <x:v>0</x:v>
      </x:c>
      <x:c r="J176" s="25">
        <x:f>FDOE_Grades_2025_Raw!R176</x:f>
        <x:v>0</x:v>
      </x:c>
      <x:c r="K176" s="25">
        <x:f>IF($A176="","",ROUND((Scoring_Model!$B$9*($E176/4)*100)+(Scoring_Model!$B$10*$F176)+(Scoring_Model!$B$11*$G176)+(Scoring_Model!$B$12*$H176)+(Scoring_Model!$B$13*IF($I176="",0,$I176))+(Scoring_Model!$B$14*IF($J176="",0,$J176)),1))</x:f>
        <x:v>49.4</x:v>
      </x:c>
      <x:c r="L176" s="20" t="inlineStr">
        <x:is>
          <x:t xml:space="preserve">https://www.fldoe.org/file/18534/SchoolGrades25.xlsx</x:t>
        </x:is>
      </x:c>
      <x:c r="M176" s="20" t="inlineStr">
        <x:is>
          <x:t xml:space="preserve">School type Elementary; growth field currently uses official ELA learning gains in this starter model.</x:t>
        </x:is>
      </x:c>
    </x:row>
    <x:row r="177">
      <x:c r="A177" s="20" t="str">
        <x:f>FDOE_Grades_2025_Raw!A177</x:f>
        <x:v>530937</x:v>
      </x:c>
      <x:c r="B177" s="20" t="str">
        <x:f>FDOE_Grades_2025_Raw!E177</x:f>
        <x:v>RIDGE COMMUNITY HIGH SCHOOL</x:v>
      </x:c>
      <x:c r="C177" s="20" t="n">
        <x:v>2025</x:v>
      </x:c>
      <x:c r="D177" s="20" t="str">
        <x:f>FDOE_Grades_2025_Raw!W177</x:f>
        <x:v>C</x:v>
      </x:c>
      <x:c r="E177" s="25">
        <x:f>IF(D177="A",4,IF(D177="B",3,IF(D177="C",2,IF(D177="D",1,IF(D177="F",0,"")))))</x:f>
        <x:v>2</x:v>
      </x:c>
      <x:c r="F177" s="25">
        <x:f>FDOE_Grades_2025_Raw!K177</x:f>
        <x:v>44</x:v>
      </x:c>
      <x:c r="G177" s="25">
        <x:f>FDOE_Grades_2025_Raw!M177</x:f>
        <x:v>19</x:v>
      </x:c>
      <x:c r="H177" s="25">
        <x:f>FDOE_Grades_2025_Raw!L177</x:f>
        <x:v>54</x:v>
      </x:c>
      <x:c r="I177" s="25">
        <x:f>FDOE_Grades_2025_Raw!Q177</x:f>
        <x:v>88</x:v>
      </x:c>
      <x:c r="J177" s="25">
        <x:f>FDOE_Grades_2025_Raw!R177</x:f>
        <x:v>46</x:v>
      </x:c>
      <x:c r="K177" s="25">
        <x:f>IF($A177="","",ROUND((Scoring_Model!$B$9*($E177/4)*100)+(Scoring_Model!$B$10*$F177)+(Scoring_Model!$B$11*$G177)+(Scoring_Model!$B$12*$H177)+(Scoring_Model!$B$13*IF($I177="",0,$I177))+(Scoring_Model!$B$14*IF($J177="",0,$J177)),1))</x:f>
        <x:v>47.8</x:v>
      </x:c>
      <x:c r="L177" s="20" t="inlineStr">
        <x:is>
          <x:t xml:space="preserve">https://www.fldoe.org/file/18534/SchoolGrades25.xlsx</x:t>
        </x:is>
      </x:c>
      <x:c r="M177" s="20" t="inlineStr">
        <x:is>
          <x:t xml:space="preserve">School type Senior High; growth field currently uses official ELA learning gains in this starter model.</x:t>
        </x:is>
      </x:c>
    </x:row>
    <x:row r="178">
      <x:c r="A178" s="20" t="str">
        <x:f>FDOE_Grades_2025_Raw!A178</x:f>
        <x:v>530941</x:v>
      </x:c>
      <x:c r="B178" s="20" t="str">
        <x:f>FDOE_Grades_2025_Raw!E178</x:f>
        <x:v>BARTOW ELEMENTARY ACADEMY</x:v>
      </x:c>
      <x:c r="C178" s="20" t="n">
        <x:v>2025</x:v>
      </x:c>
      <x:c r="D178" s="20" t="str">
        <x:f>FDOE_Grades_2025_Raw!W178</x:f>
        <x:v>B</x:v>
      </x:c>
      <x:c r="E178" s="25">
        <x:f>IF(D178="A",4,IF(D178="B",3,IF(D178="C",2,IF(D178="D",1,IF(D178="F",0,"")))))</x:f>
        <x:v>3</x:v>
      </x:c>
      <x:c r="F178" s="25">
        <x:f>FDOE_Grades_2025_Raw!K178</x:f>
        <x:v>70</x:v>
      </x:c>
      <x:c r="G178" s="25">
        <x:f>FDOE_Grades_2025_Raw!M178</x:f>
        <x:v>67</x:v>
      </x:c>
      <x:c r="H178" s="25">
        <x:f>FDOE_Grades_2025_Raw!L178</x:f>
        <x:v>56</x:v>
      </x:c>
      <x:c r="I178" s="25">
        <x:f>FDOE_Grades_2025_Raw!Q178</x:f>
        <x:v>0</x:v>
      </x:c>
      <x:c r="J178" s="25">
        <x:f>FDOE_Grades_2025_Raw!R178</x:f>
        <x:v>0</x:v>
      </x:c>
      <x:c r="K178" s="25">
        <x:f>IF($A178="","",ROUND((Scoring_Model!$B$9*($E178/4)*100)+(Scoring_Model!$B$10*$F178)+(Scoring_Model!$B$11*$G178)+(Scoring_Model!$B$12*$H178)+(Scoring_Model!$B$13*IF($I178="",0,$I178))+(Scoring_Model!$B$14*IF($J178="",0,$J178)),1))</x:f>
        <x:v>63.8</x:v>
      </x:c>
      <x:c r="L178" s="20" t="inlineStr">
        <x:is>
          <x:t xml:space="preserve">https://www.fldoe.org/file/18534/SchoolGrades25.xlsx</x:t>
        </x:is>
      </x:c>
      <x:c r="M178" s="20" t="inlineStr">
        <x:is>
          <x:t xml:space="preserve">School type Elementary; growth field currently uses official ELA learning gains in this starter model.</x:t>
        </x:is>
      </x:c>
    </x:row>
    <x:row r="179">
      <x:c r="A179" s="20" t="str">
        <x:f>FDOE_Grades_2025_Raw!A179</x:f>
        <x:v>530961</x:v>
      </x:c>
      <x:c r="B179" s="20" t="str">
        <x:f>FDOE_Grades_2025_Raw!E179</x:f>
        <x:v>FLORAL AVENUE ELEMENTARY SCHOOL</x:v>
      </x:c>
      <x:c r="C179" s="20" t="n">
        <x:v>2025</x:v>
      </x:c>
      <x:c r="D179" s="20" t="str">
        <x:f>FDOE_Grades_2025_Raw!W179</x:f>
        <x:v>C</x:v>
      </x:c>
      <x:c r="E179" s="25">
        <x:f>IF(D179="A",4,IF(D179="B",3,IF(D179="C",2,IF(D179="D",1,IF(D179="F",0,"")))))</x:f>
        <x:v>2</x:v>
      </x:c>
      <x:c r="F179" s="25">
        <x:f>FDOE_Grades_2025_Raw!K179</x:f>
        <x:v>44</x:v>
      </x:c>
      <x:c r="G179" s="25">
        <x:f>FDOE_Grades_2025_Raw!M179</x:f>
        <x:v>47</x:v>
      </x:c>
      <x:c r="H179" s="25">
        <x:f>FDOE_Grades_2025_Raw!L179</x:f>
        <x:v>59</x:v>
      </x:c>
      <x:c r="I179" s="25">
        <x:f>FDOE_Grades_2025_Raw!Q179</x:f>
        <x:v>0</x:v>
      </x:c>
      <x:c r="J179" s="25">
        <x:f>FDOE_Grades_2025_Raw!R179</x:f>
        <x:v>0</x:v>
      </x:c>
      <x:c r="K179" s="25">
        <x:f>IF($A179="","",ROUND((Scoring_Model!$B$9*($E179/4)*100)+(Scoring_Model!$B$10*$F179)+(Scoring_Model!$B$11*$G179)+(Scoring_Model!$B$12*$H179)+(Scoring_Model!$B$13*IF($I179="",0,$I179))+(Scoring_Model!$B$14*IF($J179="",0,$J179)),1))</x:f>
        <x:v>44.4</x:v>
      </x:c>
      <x:c r="L179" s="20" t="inlineStr">
        <x:is>
          <x:t xml:space="preserve">https://www.fldoe.org/file/18534/SchoolGrades25.xlsx</x:t>
        </x:is>
      </x:c>
      <x:c r="M179" s="20" t="inlineStr">
        <x:is>
          <x:t xml:space="preserve">School type Elementary; growth field currently uses official ELA learning gains in this starter model.</x:t>
        </x:is>
      </x:c>
    </x:row>
    <x:row r="180">
      <x:c r="A180" s="20" t="str">
        <x:f>FDOE_Grades_2025_Raw!A180</x:f>
        <x:v>530971</x:v>
      </x:c>
      <x:c r="B180" s="20" t="str">
        <x:f>FDOE_Grades_2025_Raw!E180</x:f>
        <x:v>UNION ACADEMY</x:v>
      </x:c>
      <x:c r="C180" s="20" t="n">
        <x:v>2025</x:v>
      </x:c>
      <x:c r="D180" s="20" t="str">
        <x:f>FDOE_Grades_2025_Raw!W180</x:f>
        <x:v>A</x:v>
      </x:c>
      <x:c r="E180" s="25">
        <x:f>IF(D180="A",4,IF(D180="B",3,IF(D180="C",2,IF(D180="D",1,IF(D180="F",0,"")))))</x:f>
        <x:v>4</x:v>
      </x:c>
      <x:c r="F180" s="25">
        <x:f>FDOE_Grades_2025_Raw!K180</x:f>
        <x:v>74</x:v>
      </x:c>
      <x:c r="G180" s="25">
        <x:f>FDOE_Grades_2025_Raw!M180</x:f>
        <x:v>67</x:v>
      </x:c>
      <x:c r="H180" s="25">
        <x:f>FDOE_Grades_2025_Raw!L180</x:f>
        <x:v>70</x:v>
      </x:c>
      <x:c r="I180" s="25">
        <x:f>FDOE_Grades_2025_Raw!Q180</x:f>
        <x:v>0</x:v>
      </x:c>
      <x:c r="J180" s="25">
        <x:f>FDOE_Grades_2025_Raw!R180</x:f>
        <x:v>0</x:v>
      </x:c>
      <x:c r="K180" s="25">
        <x:f>IF($A180="","",ROUND((Scoring_Model!$B$9*($E180/4)*100)+(Scoring_Model!$B$10*$F180)+(Scoring_Model!$B$11*$G180)+(Scoring_Model!$B$12*$H180)+(Scoring_Model!$B$13*IF($I180="",0,$I180))+(Scoring_Model!$B$14*IF($J180="",0,$J180)),1))</x:f>
        <x:v>78.5</x:v>
      </x:c>
      <x:c r="L180" s="20" t="inlineStr">
        <x:is>
          <x:t xml:space="preserve">https://www.fldoe.org/file/18534/SchoolGrades25.xlsx</x:t>
        </x:is>
      </x:c>
      <x:c r="M180" s="20" t="inlineStr">
        <x:is>
          <x:t xml:space="preserve">School type Middle/Junior; growth field currently uses official ELA learning gains in this starter model.</x:t>
        </x:is>
      </x:c>
    </x:row>
    <x:row r="181">
      <x:c r="A181" s="20" t="str">
        <x:f>FDOE_Grades_2025_Raw!A181</x:f>
        <x:v>531032</x:v>
      </x:c>
      <x:c r="B181" s="20" t="str">
        <x:f>FDOE_Grades_2025_Raw!E181</x:f>
        <x:v>CITRUS RIDGE A CIVICS ACADEMY</x:v>
      </x:c>
      <x:c r="C181" s="20" t="n">
        <x:v>2025</x:v>
      </x:c>
      <x:c r="D181" s="20" t="str">
        <x:f>FDOE_Grades_2025_Raw!W181</x:f>
        <x:v>C</x:v>
      </x:c>
      <x:c r="E181" s="25">
        <x:f>IF(D181="A",4,IF(D181="B",3,IF(D181="C",2,IF(D181="D",1,IF(D181="F",0,"")))))</x:f>
        <x:v>2</x:v>
      </x:c>
      <x:c r="F181" s="25">
        <x:f>FDOE_Grades_2025_Raw!K181</x:f>
        <x:v>46</x:v>
      </x:c>
      <x:c r="G181" s="25">
        <x:f>FDOE_Grades_2025_Raw!M181</x:f>
        <x:v>48</x:v>
      </x:c>
      <x:c r="H181" s="25">
        <x:f>FDOE_Grades_2025_Raw!L181</x:f>
        <x:v>52</x:v>
      </x:c>
      <x:c r="I181" s="25">
        <x:f>FDOE_Grades_2025_Raw!Q181</x:f>
        <x:v>0</x:v>
      </x:c>
      <x:c r="J181" s="25">
        <x:f>FDOE_Grades_2025_Raw!R181</x:f>
        <x:v>0</x:v>
      </x:c>
      <x:c r="K181" s="25">
        <x:f>IF($A181="","",ROUND((Scoring_Model!$B$9*($E181/4)*100)+(Scoring_Model!$B$10*$F181)+(Scoring_Model!$B$11*$G181)+(Scoring_Model!$B$12*$H181)+(Scoring_Model!$B$13*IF($I181="",0,$I181))+(Scoring_Model!$B$14*IF($J181="",0,$J181)),1))</x:f>
        <x:v>44.2</x:v>
      </x:c>
      <x:c r="L181" s="20" t="inlineStr">
        <x:is>
          <x:t xml:space="preserve">https://www.fldoe.org/file/18534/SchoolGrades25.xlsx</x:t>
        </x:is>
      </x:c>
      <x:c r="M181" s="20" t="inlineStr">
        <x:is>
          <x:t xml:space="preserve">School type Combination; growth field currently uses official ELA learning gains in this starter model.</x:t>
        </x:is>
      </x:c>
    </x:row>
    <x:row r="182">
      <x:c r="A182" s="20" t="str">
        <x:f>FDOE_Grades_2025_Raw!A182</x:f>
        <x:v>531041</x:v>
      </x:c>
      <x:c r="B182" s="20" t="str">
        <x:f>FDOE_Grades_2025_Raw!E182</x:f>
        <x:v>ALTURAS ELEMENTARY SCHOOL</x:v>
      </x:c>
      <x:c r="C182" s="20" t="n">
        <x:v>2025</x:v>
      </x:c>
      <x:c r="D182" s="20" t="str">
        <x:f>FDOE_Grades_2025_Raw!W182</x:f>
        <x:v>B</x:v>
      </x:c>
      <x:c r="E182" s="25">
        <x:f>IF(D182="A",4,IF(D182="B",3,IF(D182="C",2,IF(D182="D",1,IF(D182="F",0,"")))))</x:f>
        <x:v>3</x:v>
      </x:c>
      <x:c r="F182" s="25">
        <x:f>FDOE_Grades_2025_Raw!K182</x:f>
        <x:v>58</x:v>
      </x:c>
      <x:c r="G182" s="25">
        <x:f>FDOE_Grades_2025_Raw!M182</x:f>
        <x:v>63</x:v>
      </x:c>
      <x:c r="H182" s="25">
        <x:f>FDOE_Grades_2025_Raw!L182</x:f>
        <x:v>53</x:v>
      </x:c>
      <x:c r="I182" s="25">
        <x:f>FDOE_Grades_2025_Raw!Q182</x:f>
        <x:v>0</x:v>
      </x:c>
      <x:c r="J182" s="25">
        <x:f>FDOE_Grades_2025_Raw!R182</x:f>
        <x:v>0</x:v>
      </x:c>
      <x:c r="K182" s="25">
        <x:f>IF($A182="","",ROUND((Scoring_Model!$B$9*($E182/4)*100)+(Scoring_Model!$B$10*$F182)+(Scoring_Model!$B$11*$G182)+(Scoring_Model!$B$12*$H182)+(Scoring_Model!$B$13*IF($I182="",0,$I182))+(Scoring_Model!$B$14*IF($J182="",0,$J182)),1))</x:f>
        <x:v>60.7</x:v>
      </x:c>
      <x:c r="L182" s="20" t="inlineStr">
        <x:is>
          <x:t xml:space="preserve">https://www.fldoe.org/file/18534/SchoolGrades25.xlsx</x:t>
        </x:is>
      </x:c>
      <x:c r="M182" s="20" t="inlineStr">
        <x:is>
          <x:t xml:space="preserve">School type Elementary; growth field currently uses official ELA learning gains in this starter model.</x:t>
        </x:is>
      </x:c>
    </x:row>
    <x:row r="183">
      <x:c r="A183" s="20" t="str">
        <x:f>FDOE_Grades_2025_Raw!A183</x:f>
        <x:v>531051</x:v>
      </x:c>
      <x:c r="B183" s="20" t="str">
        <x:f>FDOE_Grades_2025_Raw!E183</x:f>
        <x:v>TENOROC HIGH SCHOOL</x:v>
      </x:c>
      <x:c r="C183" s="20" t="n">
        <x:v>2025</x:v>
      </x:c>
      <x:c r="D183" s="20" t="str">
        <x:f>FDOE_Grades_2025_Raw!W183</x:f>
        <x:v>C</x:v>
      </x:c>
      <x:c r="E183" s="25">
        <x:f>IF(D183="A",4,IF(D183="B",3,IF(D183="C",2,IF(D183="D",1,IF(D183="F",0,"")))))</x:f>
        <x:v>2</x:v>
      </x:c>
      <x:c r="F183" s="25">
        <x:f>FDOE_Grades_2025_Raw!K183</x:f>
        <x:v>41</x:v>
      </x:c>
      <x:c r="G183" s="25">
        <x:f>FDOE_Grades_2025_Raw!M183</x:f>
        <x:v>16</x:v>
      </x:c>
      <x:c r="H183" s="25">
        <x:f>FDOE_Grades_2025_Raw!L183</x:f>
        <x:v>49</x:v>
      </x:c>
      <x:c r="I183" s="25">
        <x:f>FDOE_Grades_2025_Raw!Q183</x:f>
        <x:v>78</x:v>
      </x:c>
      <x:c r="J183" s="25">
        <x:f>FDOE_Grades_2025_Raw!R183</x:f>
        <x:v>40</x:v>
      </x:c>
      <x:c r="K183" s="25">
        <x:f>IF($A183="","",ROUND((Scoring_Model!$B$9*($E183/4)*100)+(Scoring_Model!$B$10*$F183)+(Scoring_Model!$B$11*$G183)+(Scoring_Model!$B$12*$H183)+(Scoring_Model!$B$13*IF($I183="",0,$I183))+(Scoring_Model!$B$14*IF($J183="",0,$J183)),1))</x:f>
        <x:v>45.6</x:v>
      </x:c>
      <x:c r="L183" s="20" t="inlineStr">
        <x:is>
          <x:t xml:space="preserve">https://www.fldoe.org/file/18534/SchoolGrades25.xlsx</x:t>
        </x:is>
      </x:c>
      <x:c r="M183" s="20" t="inlineStr">
        <x:is>
          <x:t xml:space="preserve">School type Senior High; growth field currently uses official ELA learning gains in this starter model.</x:t>
        </x:is>
      </x:c>
    </x:row>
    <x:row r="184">
      <x:c r="A184" s="20" t="str">
        <x:f>FDOE_Grades_2025_Raw!A184</x:f>
        <x:v>531061</x:v>
      </x:c>
      <x:c r="B184" s="20" t="str">
        <x:f>FDOE_Grades_2025_Raw!E184</x:f>
        <x:v>HIGHLAND CITY ELEMENTARY SCHOOL</x:v>
      </x:c>
      <x:c r="C184" s="20" t="n">
        <x:v>2025</x:v>
      </x:c>
      <x:c r="D184" s="20" t="str">
        <x:f>FDOE_Grades_2025_Raw!W184</x:f>
        <x:v>C</x:v>
      </x:c>
      <x:c r="E184" s="25">
        <x:f>IF(D184="A",4,IF(D184="B",3,IF(D184="C",2,IF(D184="D",1,IF(D184="F",0,"")))))</x:f>
        <x:v>2</x:v>
      </x:c>
      <x:c r="F184" s="25">
        <x:f>FDOE_Grades_2025_Raw!K184</x:f>
        <x:v>55</x:v>
      </x:c>
      <x:c r="G184" s="25">
        <x:f>FDOE_Grades_2025_Raw!M184</x:f>
        <x:v>69</x:v>
      </x:c>
      <x:c r="H184" s="25">
        <x:f>FDOE_Grades_2025_Raw!L184</x:f>
        <x:v>47</x:v>
      </x:c>
      <x:c r="I184" s="25">
        <x:f>FDOE_Grades_2025_Raw!Q184</x:f>
        <x:v>0</x:v>
      </x:c>
      <x:c r="J184" s="25">
        <x:f>FDOE_Grades_2025_Raw!R184</x:f>
        <x:v>0</x:v>
      </x:c>
      <x:c r="K184" s="25">
        <x:f>IF($A184="","",ROUND((Scoring_Model!$B$9*($E184/4)*100)+(Scoring_Model!$B$10*$F184)+(Scoring_Model!$B$11*$G184)+(Scoring_Model!$B$12*$H184)+(Scoring_Model!$B$13*IF($I184="",0,$I184))+(Scoring_Model!$B$14*IF($J184="",0,$J184)),1))</x:f>
        <x:v>47.6</x:v>
      </x:c>
      <x:c r="L184" s="20" t="inlineStr">
        <x:is>
          <x:t xml:space="preserve">https://www.fldoe.org/file/18534/SchoolGrades25.xlsx</x:t>
        </x:is>
      </x:c>
      <x:c r="M184" s="20" t="inlineStr">
        <x:is>
          <x:t xml:space="preserve">School type Elementary; growth field currently uses official ELA learning gains in this starter model.</x:t>
        </x:is>
      </x:c>
    </x:row>
    <x:row r="185">
      <x:c r="A185" s="20" t="str">
        <x:f>FDOE_Grades_2025_Raw!A185</x:f>
        <x:v>531131</x:v>
      </x:c>
      <x:c r="B185" s="20" t="str">
        <x:f>FDOE_Grades_2025_Raw!E185</x:f>
        <x:v>MULBERRY SENIOR HIGH SCHOOL</x:v>
      </x:c>
      <x:c r="C185" s="20" t="n">
        <x:v>2025</x:v>
      </x:c>
      <x:c r="D185" s="20" t="str">
        <x:f>FDOE_Grades_2025_Raw!W185</x:f>
        <x:v>C</x:v>
      </x:c>
      <x:c r="E185" s="25">
        <x:f>IF(D185="A",4,IF(D185="B",3,IF(D185="C",2,IF(D185="D",1,IF(D185="F",0,"")))))</x:f>
        <x:v>2</x:v>
      </x:c>
      <x:c r="F185" s="25">
        <x:f>FDOE_Grades_2025_Raw!K185</x:f>
        <x:v>46</x:v>
      </x:c>
      <x:c r="G185" s="25">
        <x:f>FDOE_Grades_2025_Raw!M185</x:f>
        <x:v>21</x:v>
      </x:c>
      <x:c r="H185" s="25">
        <x:f>FDOE_Grades_2025_Raw!L185</x:f>
        <x:v>53</x:v>
      </x:c>
      <x:c r="I185" s="25">
        <x:f>FDOE_Grades_2025_Raw!Q185</x:f>
        <x:v>91</x:v>
      </x:c>
      <x:c r="J185" s="25">
        <x:f>FDOE_Grades_2025_Raw!R185</x:f>
        <x:v>77</x:v>
      </x:c>
      <x:c r="K185" s="25">
        <x:f>IF($A185="","",ROUND((Scoring_Model!$B$9*($E185/4)*100)+(Scoring_Model!$B$10*$F185)+(Scoring_Model!$B$11*$G185)+(Scoring_Model!$B$12*$H185)+(Scoring_Model!$B$13*IF($I185="",0,$I185))+(Scoring_Model!$B$14*IF($J185="",0,$J185)),1))</x:f>
        <x:v>50</x:v>
      </x:c>
      <x:c r="L185" s="20" t="inlineStr">
        <x:is>
          <x:t xml:space="preserve">https://www.fldoe.org/file/18534/SchoolGrades25.xlsx</x:t>
        </x:is>
      </x:c>
      <x:c r="M185" s="20" t="inlineStr">
        <x:is>
          <x:t xml:space="preserve">School type Senior High; growth field currently uses official ELA learning gains in this starter model.</x:t>
        </x:is>
      </x:c>
    </x:row>
    <x:row r="186">
      <x:c r="A186" s="20" t="str">
        <x:f>FDOE_Grades_2025_Raw!A186</x:f>
        <x:v>531141</x:v>
      </x:c>
      <x:c r="B186" s="20" t="str">
        <x:f>FDOE_Grades_2025_Raw!E186</x:f>
        <x:v>PURCELL ELEMENTARY SCHOOL</x:v>
      </x:c>
      <x:c r="C186" s="20" t="n">
        <x:v>2025</x:v>
      </x:c>
      <x:c r="D186" s="20" t="str">
        <x:f>FDOE_Grades_2025_Raw!W186</x:f>
        <x:v>C</x:v>
      </x:c>
      <x:c r="E186" s="25">
        <x:f>IF(D186="A",4,IF(D186="B",3,IF(D186="C",2,IF(D186="D",1,IF(D186="F",0,"")))))</x:f>
        <x:v>2</x:v>
      </x:c>
      <x:c r="F186" s="25">
        <x:f>FDOE_Grades_2025_Raw!K186</x:f>
        <x:v>41</x:v>
      </x:c>
      <x:c r="G186" s="25">
        <x:f>FDOE_Grades_2025_Raw!M186</x:f>
        <x:v>39</x:v>
      </x:c>
      <x:c r="H186" s="25">
        <x:f>FDOE_Grades_2025_Raw!L186</x:f>
        <x:v>57</x:v>
      </x:c>
      <x:c r="I186" s="25">
        <x:f>FDOE_Grades_2025_Raw!Q186</x:f>
        <x:v>0</x:v>
      </x:c>
      <x:c r="J186" s="25">
        <x:f>FDOE_Grades_2025_Raw!R186</x:f>
        <x:v>0</x:v>
      </x:c>
      <x:c r="K186" s="25">
        <x:f>IF($A186="","",ROUND((Scoring_Model!$B$9*($E186/4)*100)+(Scoring_Model!$B$10*$F186)+(Scoring_Model!$B$11*$G186)+(Scoring_Model!$B$12*$H186)+(Scoring_Model!$B$13*IF($I186="",0,$I186))+(Scoring_Model!$B$14*IF($J186="",0,$J186)),1))</x:f>
        <x:v>42.8</x:v>
      </x:c>
      <x:c r="L186" s="20" t="inlineStr">
        <x:is>
          <x:t xml:space="preserve">https://www.fldoe.org/file/18534/SchoolGrades25.xlsx</x:t>
        </x:is>
      </x:c>
      <x:c r="M186" s="20" t="inlineStr">
        <x:is>
          <x:t xml:space="preserve">School type Elementary; growth field currently uses official ELA learning gains in this starter model.</x:t>
        </x:is>
      </x:c>
    </x:row>
    <x:row r="187">
      <x:c r="A187" s="20" t="str">
        <x:f>FDOE_Grades_2025_Raw!A187</x:f>
        <x:v>531161</x:v>
      </x:c>
      <x:c r="B187" s="20" t="str">
        <x:f>FDOE_Grades_2025_Raw!E187</x:f>
        <x:v>MULBERRY MIDDLE SCHOOL</x:v>
      </x:c>
      <x:c r="C187" s="20" t="n">
        <x:v>2025</x:v>
      </x:c>
      <x:c r="D187" s="20" t="str">
        <x:f>FDOE_Grades_2025_Raw!W187</x:f>
        <x:v>C</x:v>
      </x:c>
      <x:c r="E187" s="25">
        <x:f>IF(D187="A",4,IF(D187="B",3,IF(D187="C",2,IF(D187="D",1,IF(D187="F",0,"")))))</x:f>
        <x:v>2</x:v>
      </x:c>
      <x:c r="F187" s="25">
        <x:f>FDOE_Grades_2025_Raw!K187</x:f>
        <x:v>46</x:v>
      </x:c>
      <x:c r="G187" s="25">
        <x:f>FDOE_Grades_2025_Raw!M187</x:f>
        <x:v>46</x:v>
      </x:c>
      <x:c r="H187" s="25">
        <x:f>FDOE_Grades_2025_Raw!L187</x:f>
        <x:v>57</x:v>
      </x:c>
      <x:c r="I187" s="25">
        <x:f>FDOE_Grades_2025_Raw!Q187</x:f>
        <x:v>0</x:v>
      </x:c>
      <x:c r="J187" s="25">
        <x:f>FDOE_Grades_2025_Raw!R187</x:f>
        <x:v>0</x:v>
      </x:c>
      <x:c r="K187" s="25">
        <x:f>IF($A187="","",ROUND((Scoring_Model!$B$9*($E187/4)*100)+(Scoring_Model!$B$10*$F187)+(Scoring_Model!$B$11*$G187)+(Scoring_Model!$B$12*$H187)+(Scoring_Model!$B$13*IF($I187="",0,$I187))+(Scoring_Model!$B$14*IF($J187="",0,$J187)),1))</x:f>
        <x:v>44.5</x:v>
      </x:c>
      <x:c r="L187" s="20" t="inlineStr">
        <x:is>
          <x:t xml:space="preserve">https://www.fldoe.org/file/18534/SchoolGrades25.xlsx</x:t>
        </x:is>
      </x:c>
      <x:c r="M187" s="20" t="inlineStr">
        <x:is>
          <x:t xml:space="preserve">School type Middle/Junior; growth field currently uses official ELA learning gains in this starter model.</x:t>
        </x:is>
      </x:c>
    </x:row>
    <x:row r="188">
      <x:c r="A188" s="20" t="str">
        <x:f>FDOE_Grades_2025_Raw!A188</x:f>
        <x:v>531181</x:v>
      </x:c>
      <x:c r="B188" s="20" t="str">
        <x:f>FDOE_Grades_2025_Raw!E188</x:f>
        <x:v>KATHLEEN SENIOR HIGH SCHOOL</x:v>
      </x:c>
      <x:c r="C188" s="20" t="n">
        <x:v>2025</x:v>
      </x:c>
      <x:c r="D188" s="20" t="str">
        <x:f>FDOE_Grades_2025_Raw!W188</x:f>
        <x:v>C</x:v>
      </x:c>
      <x:c r="E188" s="25">
        <x:f>IF(D188="A",4,IF(D188="B",3,IF(D188="C",2,IF(D188="D",1,IF(D188="F",0,"")))))</x:f>
        <x:v>2</x:v>
      </x:c>
      <x:c r="F188" s="25">
        <x:f>FDOE_Grades_2025_Raw!K188</x:f>
        <x:v>46</x:v>
      </x:c>
      <x:c r="G188" s="25">
        <x:f>FDOE_Grades_2025_Raw!M188</x:f>
        <x:v>24</x:v>
      </x:c>
      <x:c r="H188" s="25">
        <x:f>FDOE_Grades_2025_Raw!L188</x:f>
        <x:v>56</x:v>
      </x:c>
      <x:c r="I188" s="25">
        <x:f>FDOE_Grades_2025_Raw!Q188</x:f>
        <x:v>79</x:v>
      </x:c>
      <x:c r="J188" s="25">
        <x:f>FDOE_Grades_2025_Raw!R188</x:f>
        <x:v>48</x:v>
      </x:c>
      <x:c r="K188" s="25">
        <x:f>IF($A188="","",ROUND((Scoring_Model!$B$9*($E188/4)*100)+(Scoring_Model!$B$10*$F188)+(Scoring_Model!$B$11*$G188)+(Scoring_Model!$B$12*$H188)+(Scoring_Model!$B$13*IF($I188="",0,$I188))+(Scoring_Model!$B$14*IF($J188="",0,$J188)),1))</x:f>
        <x:v>48.6</x:v>
      </x:c>
      <x:c r="L188" s="20" t="inlineStr">
        <x:is>
          <x:t xml:space="preserve">https://www.fldoe.org/file/18534/SchoolGrades25.xlsx</x:t>
        </x:is>
      </x:c>
      <x:c r="M188" s="20" t="inlineStr">
        <x:is>
          <x:t xml:space="preserve">School type Senior High; growth field currently uses official ELA learning gains in this starter model.</x:t>
        </x:is>
      </x:c>
    </x:row>
    <x:row r="189">
      <x:c r="A189" s="20" t="str">
        <x:f>FDOE_Grades_2025_Raw!A189</x:f>
        <x:v>531191</x:v>
      </x:c>
      <x:c r="B189" s="20" t="str">
        <x:f>FDOE_Grades_2025_Raw!E189</x:f>
        <x:v>KATHLEEN MIDDLE SCHOOL</x:v>
      </x:c>
      <x:c r="C189" s="20" t="n">
        <x:v>2025</x:v>
      </x:c>
      <x:c r="D189" s="20" t="str">
        <x:f>FDOE_Grades_2025_Raw!W189</x:f>
        <x:v>D</x:v>
      </x:c>
      <x:c r="E189" s="25">
        <x:f>IF(D189="A",4,IF(D189="B",3,IF(D189="C",2,IF(D189="D",1,IF(D189="F",0,"")))))</x:f>
        <x:v>1</x:v>
      </x:c>
      <x:c r="F189" s="25">
        <x:f>FDOE_Grades_2025_Raw!K189</x:f>
        <x:v>31</x:v>
      </x:c>
      <x:c r="G189" s="25">
        <x:f>FDOE_Grades_2025_Raw!M189</x:f>
        <x:v>35</x:v>
      </x:c>
      <x:c r="H189" s="25">
        <x:f>FDOE_Grades_2025_Raw!L189</x:f>
        <x:v>43</x:v>
      </x:c>
      <x:c r="I189" s="25">
        <x:f>FDOE_Grades_2025_Raw!Q189</x:f>
        <x:v>0</x:v>
      </x:c>
      <x:c r="J189" s="25">
        <x:f>FDOE_Grades_2025_Raw!R189</x:f>
        <x:v>0</x:v>
      </x:c>
      <x:c r="K189" s="25">
        <x:f>IF($A189="","",ROUND((Scoring_Model!$B$9*($E189/4)*100)+(Scoring_Model!$B$10*$F189)+(Scoring_Model!$B$11*$G189)+(Scoring_Model!$B$12*$H189)+(Scoring_Model!$B$13*IF($I189="",0,$I189))+(Scoring_Model!$B$14*IF($J189="",0,$J189)),1))</x:f>
        <x:v>26.5</x:v>
      </x:c>
      <x:c r="L189" s="20" t="inlineStr">
        <x:is>
          <x:t xml:space="preserve">https://www.fldoe.org/file/18534/SchoolGrades25.xlsx</x:t>
        </x:is>
      </x:c>
      <x:c r="M189" s="20" t="inlineStr">
        <x:is>
          <x:t xml:space="preserve">School type Middle/Junior; growth field currently uses official ELA learning gains in this starter model.</x:t>
        </x:is>
      </x:c>
    </x:row>
    <x:row r="190">
      <x:c r="A190" s="20" t="str">
        <x:f>FDOE_Grades_2025_Raw!A190</x:f>
        <x:v>531221</x:v>
      </x:c>
      <x:c r="B190" s="20" t="str">
        <x:f>FDOE_Grades_2025_Raw!E190</x:f>
        <x:v>KATHLEEN ELEMENTARY SCHOOL</x:v>
      </x:c>
      <x:c r="C190" s="20" t="n">
        <x:v>2025</x:v>
      </x:c>
      <x:c r="D190" s="20" t="str">
        <x:f>FDOE_Grades_2025_Raw!W190</x:f>
        <x:v>C</x:v>
      </x:c>
      <x:c r="E190" s="25">
        <x:f>IF(D190="A",4,IF(D190="B",3,IF(D190="C",2,IF(D190="D",1,IF(D190="F",0,"")))))</x:f>
        <x:v>2</x:v>
      </x:c>
      <x:c r="F190" s="25">
        <x:f>FDOE_Grades_2025_Raw!K190</x:f>
        <x:v>42</x:v>
      </x:c>
      <x:c r="G190" s="25">
        <x:f>FDOE_Grades_2025_Raw!M190</x:f>
        <x:v>45</x:v>
      </x:c>
      <x:c r="H190" s="25">
        <x:f>FDOE_Grades_2025_Raw!L190</x:f>
        <x:v>48</x:v>
      </x:c>
      <x:c r="I190" s="25">
        <x:f>FDOE_Grades_2025_Raw!Q190</x:f>
        <x:v>0</x:v>
      </x:c>
      <x:c r="J190" s="25">
        <x:f>FDOE_Grades_2025_Raw!R190</x:f>
        <x:v>0</x:v>
      </x:c>
      <x:c r="K190" s="25">
        <x:f>IF($A190="","",ROUND((Scoring_Model!$B$9*($E190/4)*100)+(Scoring_Model!$B$10*$F190)+(Scoring_Model!$B$11*$G190)+(Scoring_Model!$B$12*$H190)+(Scoring_Model!$B$13*IF($I190="",0,$I190))+(Scoring_Model!$B$14*IF($J190="",0,$J190)),1))</x:f>
        <x:v>42.7</x:v>
      </x:c>
      <x:c r="L190" s="20" t="inlineStr">
        <x:is>
          <x:t xml:space="preserve">https://www.fldoe.org/file/18534/SchoolGrades25.xlsx</x:t>
        </x:is>
      </x:c>
      <x:c r="M190" s="20" t="inlineStr">
        <x:is>
          <x:t xml:space="preserve">School type Elementary; growth field currently uses official ELA learning gains in this starter model.</x:t>
        </x:is>
      </x:c>
    </x:row>
    <x:row r="191">
      <x:c r="A191" s="20" t="str">
        <x:f>FDOE_Grades_2025_Raw!A191</x:f>
        <x:v>531231</x:v>
      </x:c>
      <x:c r="B191" s="20" t="str">
        <x:f>FDOE_Grades_2025_Raw!E191</x:f>
        <x:v>GRIFFIN ELEMENTARY SCHOOL</x:v>
      </x:c>
      <x:c r="C191" s="20" t="n">
        <x:v>2025</x:v>
      </x:c>
      <x:c r="D191" s="20" t="str">
        <x:f>FDOE_Grades_2025_Raw!W191</x:f>
        <x:v>C</x:v>
      </x:c>
      <x:c r="E191" s="25">
        <x:f>IF(D191="A",4,IF(D191="B",3,IF(D191="C",2,IF(D191="D",1,IF(D191="F",0,"")))))</x:f>
        <x:v>2</x:v>
      </x:c>
      <x:c r="F191" s="25">
        <x:f>FDOE_Grades_2025_Raw!K191</x:f>
        <x:v>36</x:v>
      </x:c>
      <x:c r="G191" s="25">
        <x:f>FDOE_Grades_2025_Raw!M191</x:f>
        <x:v>50</x:v>
      </x:c>
      <x:c r="H191" s="25">
        <x:f>FDOE_Grades_2025_Raw!L191</x:f>
        <x:v>54</x:v>
      </x:c>
      <x:c r="I191" s="25">
        <x:f>FDOE_Grades_2025_Raw!Q191</x:f>
        <x:v>0</x:v>
      </x:c>
      <x:c r="J191" s="25">
        <x:f>FDOE_Grades_2025_Raw!R191</x:f>
        <x:v>0</x:v>
      </x:c>
      <x:c r="K191" s="25">
        <x:f>IF($A191="","",ROUND((Scoring_Model!$B$9*($E191/4)*100)+(Scoring_Model!$B$10*$F191)+(Scoring_Model!$B$11*$G191)+(Scoring_Model!$B$12*$H191)+(Scoring_Model!$B$13*IF($I191="",0,$I191))+(Scoring_Model!$B$14*IF($J191="",0,$J191)),1))</x:f>
        <x:v>42.6</x:v>
      </x:c>
      <x:c r="L191" s="20" t="inlineStr">
        <x:is>
          <x:t xml:space="preserve">https://www.fldoe.org/file/18534/SchoolGrades25.xlsx</x:t>
        </x:is>
      </x:c>
      <x:c r="M191" s="20" t="inlineStr">
        <x:is>
          <x:t xml:space="preserve">School type Elementary; growth field currently uses official ELA learning gains in this starter model.</x:t>
        </x:is>
      </x:c>
    </x:row>
    <x:row r="192">
      <x:c r="A192" s="20" t="str">
        <x:f>FDOE_Grades_2025_Raw!A192</x:f>
        <x:v>531241</x:v>
      </x:c>
      <x:c r="B192" s="20" t="str">
        <x:f>FDOE_Grades_2025_Raw!E192</x:f>
        <x:v>JESSE KEEN ELEMENTARY SCHOOL</x:v>
      </x:c>
      <x:c r="C192" s="20" t="n">
        <x:v>2025</x:v>
      </x:c>
      <x:c r="D192" s="20" t="str">
        <x:f>FDOE_Grades_2025_Raw!W192</x:f>
        <x:v>C</x:v>
      </x:c>
      <x:c r="E192" s="25">
        <x:f>IF(D192="A",4,IF(D192="B",3,IF(D192="C",2,IF(D192="D",1,IF(D192="F",0,"")))))</x:f>
        <x:v>2</x:v>
      </x:c>
      <x:c r="F192" s="25">
        <x:f>FDOE_Grades_2025_Raw!K192</x:f>
        <x:v>32</x:v>
      </x:c>
      <x:c r="G192" s="25">
        <x:f>FDOE_Grades_2025_Raw!M192</x:f>
        <x:v>49</x:v>
      </x:c>
      <x:c r="H192" s="25">
        <x:f>FDOE_Grades_2025_Raw!L192</x:f>
        <x:v>45</x:v>
      </x:c>
      <x:c r="I192" s="25">
        <x:f>FDOE_Grades_2025_Raw!Q192</x:f>
        <x:v>0</x:v>
      </x:c>
      <x:c r="J192" s="25">
        <x:f>FDOE_Grades_2025_Raw!R192</x:f>
        <x:v>0</x:v>
      </x:c>
      <x:c r="K192" s="25">
        <x:f>IF($A192="","",ROUND((Scoring_Model!$B$9*($E192/4)*100)+(Scoring_Model!$B$10*$F192)+(Scoring_Model!$B$11*$G192)+(Scoring_Model!$B$12*$H192)+(Scoring_Model!$B$13*IF($I192="",0,$I192))+(Scoring_Model!$B$14*IF($J192="",0,$J192)),1))</x:f>
        <x:v>40.8</x:v>
      </x:c>
      <x:c r="L192" s="20" t="inlineStr">
        <x:is>
          <x:t xml:space="preserve">https://www.fldoe.org/file/18534/SchoolGrades25.xlsx</x:t>
        </x:is>
      </x:c>
      <x:c r="M192" s="20" t="inlineStr">
        <x:is>
          <x:t xml:space="preserve">School type Elementary; growth field currently uses official ELA learning gains in this starter model.</x:t>
        </x:is>
      </x:c>
    </x:row>
    <x:row r="193">
      <x:c r="A193" s="20" t="str">
        <x:f>FDOE_Grades_2025_Raw!A193</x:f>
        <x:v>531251</x:v>
      </x:c>
      <x:c r="B193" s="20" t="str">
        <x:f>FDOE_Grades_2025_Raw!E193</x:f>
        <x:v>WINSTON ACADEMY OF ENGINEERING</x:v>
      </x:c>
      <x:c r="C193" s="20" t="n">
        <x:v>2025</x:v>
      </x:c>
      <x:c r="D193" s="20" t="str">
        <x:f>FDOE_Grades_2025_Raw!W193</x:f>
        <x:v>A</x:v>
      </x:c>
      <x:c r="E193" s="25">
        <x:f>IF(D193="A",4,IF(D193="B",3,IF(D193="C",2,IF(D193="D",1,IF(D193="F",0,"")))))</x:f>
        <x:v>4</x:v>
      </x:c>
      <x:c r="F193" s="25">
        <x:f>FDOE_Grades_2025_Raw!K193</x:f>
        <x:v>71</x:v>
      </x:c>
      <x:c r="G193" s="25">
        <x:f>FDOE_Grades_2025_Raw!M193</x:f>
        <x:v>73</x:v>
      </x:c>
      <x:c r="H193" s="25">
        <x:f>FDOE_Grades_2025_Raw!L193</x:f>
        <x:v>63</x:v>
      </x:c>
      <x:c r="I193" s="25">
        <x:f>FDOE_Grades_2025_Raw!Q193</x:f>
        <x:v>0</x:v>
      </x:c>
      <x:c r="J193" s="25">
        <x:f>FDOE_Grades_2025_Raw!R193</x:f>
        <x:v>0</x:v>
      </x:c>
      <x:c r="K193" s="25">
        <x:f>IF($A193="","",ROUND((Scoring_Model!$B$9*($E193/4)*100)+(Scoring_Model!$B$10*$F193)+(Scoring_Model!$B$11*$G193)+(Scoring_Model!$B$12*$H193)+(Scoring_Model!$B$13*IF($I193="",0,$I193))+(Scoring_Model!$B$14*IF($J193="",0,$J193)),1))</x:f>
        <x:v>77.8</x:v>
      </x:c>
      <x:c r="L193" s="20" t="inlineStr">
        <x:is>
          <x:t xml:space="preserve">https://www.fldoe.org/file/18534/SchoolGrades25.xlsx</x:t>
        </x:is>
      </x:c>
      <x:c r="M193" s="20" t="inlineStr">
        <x:is>
          <x:t xml:space="preserve">School type Elementary; growth field currently uses official ELA learning gains in this starter model.</x:t>
        </x:is>
      </x:c>
    </x:row>
    <x:row r="194">
      <x:c r="A194" s="20" t="str">
        <x:f>FDOE_Grades_2025_Raw!A194</x:f>
        <x:v>531271</x:v>
      </x:c>
      <x:c r="B194" s="20" t="str">
        <x:f>FDOE_Grades_2025_Raw!E194</x:f>
        <x:v>SLEEPY HILL ELEMENTARY SCHOOL</x:v>
      </x:c>
      <x:c r="C194" s="20" t="n">
        <x:v>2025</x:v>
      </x:c>
      <x:c r="D194" s="20" t="str">
        <x:f>FDOE_Grades_2025_Raw!W194</x:f>
        <x:v>C</x:v>
      </x:c>
      <x:c r="E194" s="25">
        <x:f>IF(D194="A",4,IF(D194="B",3,IF(D194="C",2,IF(D194="D",1,IF(D194="F",0,"")))))</x:f>
        <x:v>2</x:v>
      </x:c>
      <x:c r="F194" s="25">
        <x:f>FDOE_Grades_2025_Raw!K194</x:f>
        <x:v>45</x:v>
      </x:c>
      <x:c r="G194" s="25">
        <x:f>FDOE_Grades_2025_Raw!M194</x:f>
        <x:v>49</x:v>
      </x:c>
      <x:c r="H194" s="25">
        <x:f>FDOE_Grades_2025_Raw!L194</x:f>
        <x:v>53</x:v>
      </x:c>
      <x:c r="I194" s="25">
        <x:f>FDOE_Grades_2025_Raw!Q194</x:f>
        <x:v>0</x:v>
      </x:c>
      <x:c r="J194" s="25">
        <x:f>FDOE_Grades_2025_Raw!R194</x:f>
        <x:v>0</x:v>
      </x:c>
      <x:c r="K194" s="25">
        <x:f>IF($A194="","",ROUND((Scoring_Model!$B$9*($E194/4)*100)+(Scoring_Model!$B$10*$F194)+(Scoring_Model!$B$11*$G194)+(Scoring_Model!$B$12*$H194)+(Scoring_Model!$B$13*IF($I194="",0,$I194))+(Scoring_Model!$B$14*IF($J194="",0,$J194)),1))</x:f>
        <x:v>44.2</x:v>
      </x:c>
      <x:c r="L194" s="20" t="inlineStr">
        <x:is>
          <x:t xml:space="preserve">https://www.fldoe.org/file/18534/SchoolGrades25.xlsx</x:t>
        </x:is>
      </x:c>
      <x:c r="M194" s="20" t="inlineStr">
        <x:is>
          <x:t xml:space="preserve">School type Elementary; growth field currently uses official ELA learning gains in this starter model.</x:t>
        </x:is>
      </x:c>
    </x:row>
    <x:row r="195">
      <x:c r="A195" s="20" t="str">
        <x:f>FDOE_Grades_2025_Raw!A195</x:f>
        <x:v>531281</x:v>
      </x:c>
      <x:c r="B195" s="20" t="str">
        <x:f>FDOE_Grades_2025_Raw!E195</x:f>
        <x:v>HIGHLANDS GROVE ELEMENTARY SCHOOL</x:v>
      </x:c>
      <x:c r="C195" s="20" t="n">
        <x:v>2025</x:v>
      </x:c>
      <x:c r="D195" s="20" t="str">
        <x:f>FDOE_Grades_2025_Raw!W195</x:f>
        <x:v>A</x:v>
      </x:c>
      <x:c r="E195" s="25">
        <x:f>IF(D195="A",4,IF(D195="B",3,IF(D195="C",2,IF(D195="D",1,IF(D195="F",0,"")))))</x:f>
        <x:v>4</x:v>
      </x:c>
      <x:c r="F195" s="25">
        <x:f>FDOE_Grades_2025_Raw!K195</x:f>
        <x:v>67</x:v>
      </x:c>
      <x:c r="G195" s="25">
        <x:f>FDOE_Grades_2025_Raw!M195</x:f>
        <x:v>72</x:v>
      </x:c>
      <x:c r="H195" s="25">
        <x:f>FDOE_Grades_2025_Raw!L195</x:f>
        <x:v>63</x:v>
      </x:c>
      <x:c r="I195" s="25">
        <x:f>FDOE_Grades_2025_Raw!Q195</x:f>
        <x:v>0</x:v>
      </x:c>
      <x:c r="J195" s="25">
        <x:f>FDOE_Grades_2025_Raw!R195</x:f>
        <x:v>0</x:v>
      </x:c>
      <x:c r="K195" s="25">
        <x:f>IF($A195="","",ROUND((Scoring_Model!$B$9*($E195/4)*100)+(Scoring_Model!$B$10*$F195)+(Scoring_Model!$B$11*$G195)+(Scoring_Model!$B$12*$H195)+(Scoring_Model!$B$13*IF($I195="",0,$I195))+(Scoring_Model!$B$14*IF($J195="",0,$J195)),1))</x:f>
        <x:v>76.9</x:v>
      </x:c>
      <x:c r="L195" s="20" t="inlineStr">
        <x:is>
          <x:t xml:space="preserve">https://www.fldoe.org/file/18534/SchoolGrades25.xlsx</x:t>
        </x:is>
      </x:c>
      <x:c r="M195" s="20" t="inlineStr">
        <x:is>
          <x:t xml:space="preserve">School type Elementary; growth field currently uses official ELA learning gains in this starter model.</x:t>
        </x:is>
      </x:c>
    </x:row>
    <x:row r="196">
      <x:c r="A196" s="20" t="str">
        <x:f>FDOE_Grades_2025_Raw!A196</x:f>
        <x:v>531341</x:v>
      </x:c>
      <x:c r="B196" s="20" t="str">
        <x:f>FDOE_Grades_2025_Raw!E196</x:f>
        <x:v>MCLAUGHLIN ACADEMY OF EXCELLENCE</x:v>
      </x:c>
      <x:c r="C196" s="20" t="n">
        <x:v>2025</x:v>
      </x:c>
      <x:c r="D196" s="20" t="str">
        <x:f>FDOE_Grades_2025_Raw!W196</x:f>
        <x:v>C</x:v>
      </x:c>
      <x:c r="E196" s="25">
        <x:f>IF(D196="A",4,IF(D196="B",3,IF(D196="C",2,IF(D196="D",1,IF(D196="F",0,"")))))</x:f>
        <x:v>2</x:v>
      </x:c>
      <x:c r="F196" s="25">
        <x:f>FDOE_Grades_2025_Raw!K196</x:f>
        <x:v>32</x:v>
      </x:c>
      <x:c r="G196" s="25">
        <x:f>FDOE_Grades_2025_Raw!M196</x:f>
        <x:v>24</x:v>
      </x:c>
      <x:c r="H196" s="25">
        <x:f>FDOE_Grades_2025_Raw!L196</x:f>
        <x:v>49</x:v>
      </x:c>
      <x:c r="I196" s="25">
        <x:f>FDOE_Grades_2025_Raw!Q196</x:f>
        <x:v>0</x:v>
      </x:c>
      <x:c r="J196" s="25">
        <x:f>FDOE_Grades_2025_Raw!R196</x:f>
        <x:v>0</x:v>
      </x:c>
      <x:c r="K196" s="25">
        <x:f>IF($A196="","",ROUND((Scoring_Model!$B$9*($E196/4)*100)+(Scoring_Model!$B$10*$F196)+(Scoring_Model!$B$11*$G196)+(Scoring_Model!$B$12*$H196)+(Scoring_Model!$B$13*IF($I196="",0,$I196))+(Scoring_Model!$B$14*IF($J196="",0,$J196)),1))</x:f>
        <x:v>38.7</x:v>
      </x:c>
      <x:c r="L196" s="20" t="inlineStr">
        <x:is>
          <x:t xml:space="preserve">https://www.fldoe.org/file/18534/SchoolGrades25.xlsx</x:t>
        </x:is>
      </x:c>
      <x:c r="M196" s="20" t="inlineStr">
        <x:is>
          <x:t xml:space="preserve">School type Combination; growth field currently uses official ELA learning gains in this starter model.</x:t>
        </x:is>
      </x:c>
    </x:row>
    <x:row r="197">
      <x:c r="A197" s="20" t="str">
        <x:f>FDOE_Grades_2025_Raw!A197</x:f>
        <x:v>531351</x:v>
      </x:c>
      <x:c r="B197" s="20" t="str">
        <x:f>FDOE_Grades_2025_Raw!E197</x:f>
        <x:v>POLK AVENUE ELEMENTARY SCHOOL</x:v>
      </x:c>
      <x:c r="C197" s="20" t="n">
        <x:v>2025</x:v>
      </x:c>
      <x:c r="D197" s="20" t="str">
        <x:f>FDOE_Grades_2025_Raw!W197</x:f>
        <x:v>C</x:v>
      </x:c>
      <x:c r="E197" s="25">
        <x:f>IF(D197="A",4,IF(D197="B",3,IF(D197="C",2,IF(D197="D",1,IF(D197="F",0,"")))))</x:f>
        <x:v>2</x:v>
      </x:c>
      <x:c r="F197" s="25">
        <x:f>FDOE_Grades_2025_Raw!K197</x:f>
        <x:v>47</x:v>
      </x:c>
      <x:c r="G197" s="25">
        <x:f>FDOE_Grades_2025_Raw!M197</x:f>
        <x:v>45</x:v>
      </x:c>
      <x:c r="H197" s="25">
        <x:f>FDOE_Grades_2025_Raw!L197</x:f>
        <x:v>51</x:v>
      </x:c>
      <x:c r="I197" s="25">
        <x:f>FDOE_Grades_2025_Raw!Q197</x:f>
        <x:v>0</x:v>
      </x:c>
      <x:c r="J197" s="25">
        <x:f>FDOE_Grades_2025_Raw!R197</x:f>
        <x:v>0</x:v>
      </x:c>
      <x:c r="K197" s="25">
        <x:f>IF($A197="","",ROUND((Scoring_Model!$B$9*($E197/4)*100)+(Scoring_Model!$B$10*$F197)+(Scoring_Model!$B$11*$G197)+(Scoring_Model!$B$12*$H197)+(Scoring_Model!$B$13*IF($I197="",0,$I197))+(Scoring_Model!$B$14*IF($J197="",0,$J197)),1))</x:f>
        <x:v>44</x:v>
      </x:c>
      <x:c r="L197" s="20" t="inlineStr">
        <x:is>
          <x:t xml:space="preserve">https://www.fldoe.org/file/18534/SchoolGrades25.xlsx</x:t>
        </x:is>
      </x:c>
      <x:c r="M197" s="20" t="inlineStr">
        <x:is>
          <x:t xml:space="preserve">School type Elementary; growth field currently uses official ELA learning gains in this starter model.</x:t>
        </x:is>
      </x:c>
    </x:row>
    <x:row r="198">
      <x:c r="A198" s="20" t="str">
        <x:f>FDOE_Grades_2025_Raw!A198</x:f>
        <x:v>531361</x:v>
      </x:c>
      <x:c r="B198" s="20" t="str">
        <x:f>FDOE_Grades_2025_Raw!E198</x:f>
        <x:v>HILLCREST ELEMENTARY SCHOOL</x:v>
      </x:c>
      <x:c r="C198" s="20" t="n">
        <x:v>2025</x:v>
      </x:c>
      <x:c r="D198" s="20" t="str">
        <x:f>FDOE_Grades_2025_Raw!W198</x:f>
        <x:v>B</x:v>
      </x:c>
      <x:c r="E198" s="25">
        <x:f>IF(D198="A",4,IF(D198="B",3,IF(D198="C",2,IF(D198="D",1,IF(D198="F",0,"")))))</x:f>
        <x:v>3</x:v>
      </x:c>
      <x:c r="F198" s="25">
        <x:f>FDOE_Grades_2025_Raw!K198</x:f>
        <x:v>56</x:v>
      </x:c>
      <x:c r="G198" s="25">
        <x:f>FDOE_Grades_2025_Raw!M198</x:f>
        <x:v>70</x:v>
      </x:c>
      <x:c r="H198" s="25">
        <x:f>FDOE_Grades_2025_Raw!L198</x:f>
        <x:v>64</x:v>
      </x:c>
      <x:c r="I198" s="25">
        <x:f>FDOE_Grades_2025_Raw!Q198</x:f>
        <x:v>0</x:v>
      </x:c>
      <x:c r="J198" s="25">
        <x:f>FDOE_Grades_2025_Raw!R198</x:f>
        <x:v>0</x:v>
      </x:c>
      <x:c r="K198" s="25">
        <x:f>IF($A198="","",ROUND((Scoring_Model!$B$9*($E198/4)*100)+(Scoring_Model!$B$10*$F198)+(Scoring_Model!$B$11*$G198)+(Scoring_Model!$B$12*$H198)+(Scoring_Model!$B$13*IF($I198="",0,$I198))+(Scoring_Model!$B$14*IF($J198="",0,$J198)),1))</x:f>
        <x:v>62.1</x:v>
      </x:c>
      <x:c r="L198" s="20" t="inlineStr">
        <x:is>
          <x:t xml:space="preserve">https://www.fldoe.org/file/18534/SchoolGrades25.xlsx</x:t>
        </x:is>
      </x:c>
      <x:c r="M198" s="20" t="inlineStr">
        <x:is>
          <x:t xml:space="preserve">School type Elementary; growth field currently uses official ELA learning gains in this starter model.</x:t>
        </x:is>
      </x:c>
    </x:row>
    <x:row r="199">
      <x:c r="A199" s="20" t="str">
        <x:f>FDOE_Grades_2025_Raw!A199</x:f>
        <x:v>531362</x:v>
      </x:c>
      <x:c r="B199" s="20" t="str">
        <x:f>FDOE_Grades_2025_Raw!E199</x:f>
        <x:v>HORIZONS ELEMENTARY SCHOOL</x:v>
      </x:c>
      <x:c r="C199" s="20" t="n">
        <x:v>2025</x:v>
      </x:c>
      <x:c r="D199" s="20" t="str">
        <x:f>FDOE_Grades_2025_Raw!W199</x:f>
        <x:v>C</x:v>
      </x:c>
      <x:c r="E199" s="25">
        <x:f>IF(D199="A",4,IF(D199="B",3,IF(D199="C",2,IF(D199="D",1,IF(D199="F",0,"")))))</x:f>
        <x:v>2</x:v>
      </x:c>
      <x:c r="F199" s="25">
        <x:f>FDOE_Grades_2025_Raw!K199</x:f>
        <x:v>40</x:v>
      </x:c>
      <x:c r="G199" s="25">
        <x:f>FDOE_Grades_2025_Raw!M199</x:f>
        <x:v>43</x:v>
      </x:c>
      <x:c r="H199" s="25">
        <x:f>FDOE_Grades_2025_Raw!L199</x:f>
        <x:v>47</x:v>
      </x:c>
      <x:c r="I199" s="25">
        <x:f>FDOE_Grades_2025_Raw!Q199</x:f>
        <x:v>0</x:v>
      </x:c>
      <x:c r="J199" s="25">
        <x:f>FDOE_Grades_2025_Raw!R199</x:f>
        <x:v>0</x:v>
      </x:c>
      <x:c r="K199" s="25">
        <x:f>IF($A199="","",ROUND((Scoring_Model!$B$9*($E199/4)*100)+(Scoring_Model!$B$10*$F199)+(Scoring_Model!$B$11*$G199)+(Scoring_Model!$B$12*$H199)+(Scoring_Model!$B$13*IF($I199="",0,$I199))+(Scoring_Model!$B$14*IF($J199="",0,$J199)),1))</x:f>
        <x:v>42</x:v>
      </x:c>
      <x:c r="L199" s="20" t="inlineStr">
        <x:is>
          <x:t xml:space="preserve">https://www.fldoe.org/file/18534/SchoolGrades25.xlsx</x:t>
        </x:is>
      </x:c>
      <x:c r="M199" s="20" t="inlineStr">
        <x:is>
          <x:t xml:space="preserve">School type Elementary; growth field currently uses official ELA learning gains in this starter model.</x:t>
        </x:is>
      </x:c>
    </x:row>
    <x:row r="200">
      <x:c r="A200" s="20" t="str">
        <x:f>FDOE_Grades_2025_Raw!A200</x:f>
        <x:v>531371</x:v>
      </x:c>
      <x:c r="B200" s="20" t="str">
        <x:f>FDOE_Grades_2025_Raw!E200</x:f>
        <x:v>SPOOK HILL ELEMENTARY SCHOOL</x:v>
      </x:c>
      <x:c r="C200" s="20" t="n">
        <x:v>2025</x:v>
      </x:c>
      <x:c r="D200" s="20" t="str">
        <x:f>FDOE_Grades_2025_Raw!W200</x:f>
        <x:v>C</x:v>
      </x:c>
      <x:c r="E200" s="25">
        <x:f>IF(D200="A",4,IF(D200="B",3,IF(D200="C",2,IF(D200="D",1,IF(D200="F",0,"")))))</x:f>
        <x:v>2</x:v>
      </x:c>
      <x:c r="F200" s="25">
        <x:f>FDOE_Grades_2025_Raw!K200</x:f>
        <x:v>31</x:v>
      </x:c>
      <x:c r="G200" s="25">
        <x:f>FDOE_Grades_2025_Raw!M200</x:f>
        <x:v>37</x:v>
      </x:c>
      <x:c r="H200" s="25">
        <x:f>FDOE_Grades_2025_Raw!L200</x:f>
        <x:v>38</x:v>
      </x:c>
      <x:c r="I200" s="25">
        <x:f>FDOE_Grades_2025_Raw!Q200</x:f>
        <x:v>0</x:v>
      </x:c>
      <x:c r="J200" s="25">
        <x:f>FDOE_Grades_2025_Raw!R200</x:f>
        <x:v>0</x:v>
      </x:c>
      <x:c r="K200" s="25">
        <x:f>IF($A200="","",ROUND((Scoring_Model!$B$9*($E200/4)*100)+(Scoring_Model!$B$10*$F200)+(Scoring_Model!$B$11*$G200)+(Scoring_Model!$B$12*$H200)+(Scoring_Model!$B$13*IF($I200="",0,$I200))+(Scoring_Model!$B$14*IF($J200="",0,$J200)),1))</x:f>
        <x:v>38.7</x:v>
      </x:c>
      <x:c r="L200" s="20" t="inlineStr">
        <x:is>
          <x:t xml:space="preserve">https://www.fldoe.org/file/18534/SchoolGrades25.xlsx</x:t>
        </x:is>
      </x:c>
      <x:c r="M200" s="20" t="inlineStr">
        <x:is>
          <x:t xml:space="preserve">School type Elementary; growth field currently uses official ELA learning gains in this starter model.</x:t>
        </x:is>
      </x:c>
    </x:row>
    <x:row r="201">
      <x:c r="A201" s="20" t="str">
        <x:f>FDOE_Grades_2025_Raw!A201</x:f>
        <x:v>531401</x:v>
      </x:c>
      <x:c r="B201" s="20" t="str">
        <x:f>FDOE_Grades_2025_Raw!E201</x:f>
        <x:v>JANIE HOWARD WILSON SCHOOL</x:v>
      </x:c>
      <x:c r="C201" s="20" t="n">
        <x:v>2025</x:v>
      </x:c>
      <x:c r="D201" s="20" t="str">
        <x:f>FDOE_Grades_2025_Raw!W201</x:f>
        <x:v>C</x:v>
      </x:c>
      <x:c r="E201" s="25">
        <x:f>IF(D201="A",4,IF(D201="B",3,IF(D201="C",2,IF(D201="D",1,IF(D201="F",0,"")))))</x:f>
        <x:v>2</x:v>
      </x:c>
      <x:c r="F201" s="25">
        <x:f>FDOE_Grades_2025_Raw!K201</x:f>
        <x:v>43</x:v>
      </x:c>
      <x:c r="G201" s="25">
        <x:f>FDOE_Grades_2025_Raw!M201</x:f>
        <x:v>51</x:v>
      </x:c>
      <x:c r="H201" s="25">
        <x:f>FDOE_Grades_2025_Raw!L201</x:f>
        <x:v>59</x:v>
      </x:c>
      <x:c r="I201" s="25">
        <x:f>FDOE_Grades_2025_Raw!Q201</x:f>
        <x:v>0</x:v>
      </x:c>
      <x:c r="J201" s="25">
        <x:f>FDOE_Grades_2025_Raw!R201</x:f>
        <x:v>0</x:v>
      </x:c>
      <x:c r="K201" s="25">
        <x:f>IF($A201="","",ROUND((Scoring_Model!$B$9*($E201/4)*100)+(Scoring_Model!$B$10*$F201)+(Scoring_Model!$B$11*$G201)+(Scoring_Model!$B$12*$H201)+(Scoring_Model!$B$13*IF($I201="",0,$I201))+(Scoring_Model!$B$14*IF($J201="",0,$J201)),1))</x:f>
        <x:v>44.6</x:v>
      </x:c>
      <x:c r="L201" s="20" t="inlineStr">
        <x:is>
          <x:t xml:space="preserve">https://www.fldoe.org/file/18534/SchoolGrades25.xlsx</x:t>
        </x:is>
      </x:c>
      <x:c r="M201" s="20" t="inlineStr">
        <x:is>
          <x:t xml:space="preserve">School type Elementary; growth field currently uses official ELA learning gains in this starter model.</x:t>
        </x:is>
      </x:c>
    </x:row>
    <x:row r="202">
      <x:c r="A202" s="20" t="str">
        <x:f>FDOE_Grades_2025_Raw!A202</x:f>
        <x:v>531421</x:v>
      </x:c>
      <x:c r="B202" s="20" t="str">
        <x:f>FDOE_Grades_2025_Raw!E202</x:f>
        <x:v>DALE R FAIR BABSON PARK ELEMENTARY</x:v>
      </x:c>
      <x:c r="C202" s="20" t="n">
        <x:v>2025</x:v>
      </x:c>
      <x:c r="D202" s="20" t="str">
        <x:f>FDOE_Grades_2025_Raw!W202</x:f>
        <x:v>B</x:v>
      </x:c>
      <x:c r="E202" s="25">
        <x:f>IF(D202="A",4,IF(D202="B",3,IF(D202="C",2,IF(D202="D",1,IF(D202="F",0,"")))))</x:f>
        <x:v>3</x:v>
      </x:c>
      <x:c r="F202" s="25">
        <x:f>FDOE_Grades_2025_Raw!K202</x:f>
        <x:v>59</x:v>
      </x:c>
      <x:c r="G202" s="25">
        <x:f>FDOE_Grades_2025_Raw!M202</x:f>
        <x:v>66</x:v>
      </x:c>
      <x:c r="H202" s="25">
        <x:f>FDOE_Grades_2025_Raw!L202</x:f>
        <x:v>51</x:v>
      </x:c>
      <x:c r="I202" s="25">
        <x:f>FDOE_Grades_2025_Raw!Q202</x:f>
        <x:v>0</x:v>
      </x:c>
      <x:c r="J202" s="25">
        <x:f>FDOE_Grades_2025_Raw!R202</x:f>
        <x:v>0</x:v>
      </x:c>
      <x:c r="K202" s="25">
        <x:f>IF($A202="","",ROUND((Scoring_Model!$B$9*($E202/4)*100)+(Scoring_Model!$B$10*$F202)+(Scoring_Model!$B$11*$G202)+(Scoring_Model!$B$12*$H202)+(Scoring_Model!$B$13*IF($I202="",0,$I202))+(Scoring_Model!$B$14*IF($J202="",0,$J202)),1))</x:f>
        <x:v>61</x:v>
      </x:c>
      <x:c r="L202" s="20" t="inlineStr">
        <x:is>
          <x:t xml:space="preserve">https://www.fldoe.org/file/18534/SchoolGrades25.xlsx</x:t>
        </x:is>
      </x:c>
      <x:c r="M202" s="20" t="inlineStr">
        <x:is>
          <x:t xml:space="preserve">School type Elementary; growth field currently uses official ELA learning gains in this starter model.</x:t>
        </x:is>
      </x:c>
    </x:row>
    <x:row r="203">
      <x:c r="A203" s="20" t="str">
        <x:f>FDOE_Grades_2025_Raw!A203</x:f>
        <x:v>531441</x:v>
      </x:c>
      <x:c r="B203" s="20" t="str">
        <x:f>FDOE_Grades_2025_Raw!E203</x:f>
        <x:v>WILLOW OAK SCHOOL</x:v>
      </x:c>
      <x:c r="C203" s="20" t="n">
        <x:v>2025</x:v>
      </x:c>
      <x:c r="D203" s="20" t="str">
        <x:f>FDOE_Grades_2025_Raw!W203</x:f>
        <x:v>C</x:v>
      </x:c>
      <x:c r="E203" s="25">
        <x:f>IF(D203="A",4,IF(D203="B",3,IF(D203="C",2,IF(D203="D",1,IF(D203="F",0,"")))))</x:f>
        <x:v>2</x:v>
      </x:c>
      <x:c r="F203" s="25">
        <x:f>FDOE_Grades_2025_Raw!K203</x:f>
        <x:v>46</x:v>
      </x:c>
      <x:c r="G203" s="25">
        <x:f>FDOE_Grades_2025_Raw!M203</x:f>
        <x:v>54</x:v>
      </x:c>
      <x:c r="H203" s="25">
        <x:f>FDOE_Grades_2025_Raw!L203</x:f>
        <x:v>54</x:v>
      </x:c>
      <x:c r="I203" s="25">
        <x:f>FDOE_Grades_2025_Raw!Q203</x:f>
        <x:v>0</x:v>
      </x:c>
      <x:c r="J203" s="25">
        <x:f>FDOE_Grades_2025_Raw!R203</x:f>
        <x:v>0</x:v>
      </x:c>
      <x:c r="K203" s="25">
        <x:f>IF($A203="","",ROUND((Scoring_Model!$B$9*($E203/4)*100)+(Scoring_Model!$B$10*$F203)+(Scoring_Model!$B$11*$G203)+(Scoring_Model!$B$12*$H203)+(Scoring_Model!$B$13*IF($I203="",0,$I203))+(Scoring_Model!$B$14*IF($J203="",0,$J203)),1))</x:f>
        <x:v>45</x:v>
      </x:c>
      <x:c r="L203" s="20" t="inlineStr">
        <x:is>
          <x:t xml:space="preserve">https://www.fldoe.org/file/18534/SchoolGrades25.xlsx</x:t>
        </x:is>
      </x:c>
      <x:c r="M203" s="20" t="inlineStr">
        <x:is>
          <x:t xml:space="preserve">School type Elementary; growth field currently uses official ELA learning gains in this starter model.</x:t>
        </x:is>
      </x:c>
    </x:row>
    <x:row r="204">
      <x:c r="A204" s="20" t="str">
        <x:f>FDOE_Grades_2025_Raw!A204</x:f>
        <x:v>531451</x:v>
      </x:c>
      <x:c r="B204" s="20" t="str">
        <x:f>FDOE_Grades_2025_Raw!E204</x:f>
        <x:v>EDGAR L. PADGETT ELEMENTARY</x:v>
      </x:c>
      <x:c r="C204" s="20" t="n">
        <x:v>2025</x:v>
      </x:c>
      <x:c r="D204" s="20" t="str">
        <x:f>FDOE_Grades_2025_Raw!W204</x:f>
        <x:v>C</x:v>
      </x:c>
      <x:c r="E204" s="25">
        <x:f>IF(D204="A",4,IF(D204="B",3,IF(D204="C",2,IF(D204="D",1,IF(D204="F",0,"")))))</x:f>
        <x:v>2</x:v>
      </x:c>
      <x:c r="F204" s="25">
        <x:f>FDOE_Grades_2025_Raw!K204</x:f>
        <x:v>43</x:v>
      </x:c>
      <x:c r="G204" s="25">
        <x:f>FDOE_Grades_2025_Raw!M204</x:f>
        <x:v>52</x:v>
      </x:c>
      <x:c r="H204" s="25">
        <x:f>FDOE_Grades_2025_Raw!L204</x:f>
        <x:v>50</x:v>
      </x:c>
      <x:c r="I204" s="25">
        <x:f>FDOE_Grades_2025_Raw!Q204</x:f>
        <x:v>0</x:v>
      </x:c>
      <x:c r="J204" s="25">
        <x:f>FDOE_Grades_2025_Raw!R204</x:f>
        <x:v>0</x:v>
      </x:c>
      <x:c r="K204" s="25">
        <x:f>IF($A204="","",ROUND((Scoring_Model!$B$9*($E204/4)*100)+(Scoring_Model!$B$10*$F204)+(Scoring_Model!$B$11*$G204)+(Scoring_Model!$B$12*$H204)+(Scoring_Model!$B$13*IF($I204="",0,$I204))+(Scoring_Model!$B$14*IF($J204="",0,$J204)),1))</x:f>
        <x:v>43.8</x:v>
      </x:c>
      <x:c r="L204" s="20" t="inlineStr">
        <x:is>
          <x:t xml:space="preserve">https://www.fldoe.org/file/18534/SchoolGrades25.xlsx</x:t>
        </x:is>
      </x:c>
      <x:c r="M204" s="20" t="inlineStr">
        <x:is>
          <x:t xml:space="preserve">School type Elementary; growth field currently uses official ELA learning gains in this starter model.</x:t>
        </x:is>
      </x:c>
    </x:row>
    <x:row r="205">
      <x:c r="A205" s="20" t="str">
        <x:f>FDOE_Grades_2025_Raw!A205</x:f>
        <x:v>531501</x:v>
      </x:c>
      <x:c r="B205" s="20" t="str">
        <x:f>FDOE_Grades_2025_Raw!E205</x:f>
        <x:v>CRYSTAL LAKE MIDDLE SCHOOL</x:v>
      </x:c>
      <x:c r="C205" s="20" t="n">
        <x:v>2025</x:v>
      </x:c>
      <x:c r="D205" s="20" t="str">
        <x:f>FDOE_Grades_2025_Raw!W205</x:f>
        <x:v>D</x:v>
      </x:c>
      <x:c r="E205" s="25">
        <x:f>IF(D205="A",4,IF(D205="B",3,IF(D205="C",2,IF(D205="D",1,IF(D205="F",0,"")))))</x:f>
        <x:v>1</x:v>
      </x:c>
      <x:c r="F205" s="25">
        <x:f>FDOE_Grades_2025_Raw!K205</x:f>
        <x:v>31</x:v>
      </x:c>
      <x:c r="G205" s="25">
        <x:f>FDOE_Grades_2025_Raw!M205</x:f>
        <x:v>23</x:v>
      </x:c>
      <x:c r="H205" s="25">
        <x:f>FDOE_Grades_2025_Raw!L205</x:f>
        <x:v>44</x:v>
      </x:c>
      <x:c r="I205" s="25">
        <x:f>FDOE_Grades_2025_Raw!Q205</x:f>
        <x:v>0</x:v>
      </x:c>
      <x:c r="J205" s="25">
        <x:f>FDOE_Grades_2025_Raw!R205</x:f>
        <x:v>0</x:v>
      </x:c>
      <x:c r="K205" s="25">
        <x:f>IF($A205="","",ROUND((Scoring_Model!$B$9*($E205/4)*100)+(Scoring_Model!$B$10*$F205)+(Scoring_Model!$B$11*$G205)+(Scoring_Model!$B$12*$H205)+(Scoring_Model!$B$13*IF($I205="",0,$I205))+(Scoring_Model!$B$14*IF($J205="",0,$J205)),1))</x:f>
        <x:v>25.4</x:v>
      </x:c>
      <x:c r="L205" s="20" t="inlineStr">
        <x:is>
          <x:t xml:space="preserve">https://www.fldoe.org/file/18534/SchoolGrades25.xlsx</x:t>
        </x:is>
      </x:c>
      <x:c r="M205" s="20" t="inlineStr">
        <x:is>
          <x:t xml:space="preserve">School type Middle/Junior; growth field currently uses official ELA learning gains in this starter model.</x:t>
        </x:is>
      </x:c>
    </x:row>
    <x:row r="206">
      <x:c r="A206" s="20" t="str">
        <x:f>FDOE_Grades_2025_Raw!A206</x:f>
        <x:v>531521</x:v>
      </x:c>
      <x:c r="B206" s="20" t="str">
        <x:f>FDOE_Grades_2025_Raw!E206</x:f>
        <x:v>OSCAR J. POPE ELEMENTARY SCHOOL</x:v>
      </x:c>
      <x:c r="C206" s="20" t="n">
        <x:v>2025</x:v>
      </x:c>
      <x:c r="D206" s="20" t="str">
        <x:f>FDOE_Grades_2025_Raw!W206</x:f>
        <x:v>C</x:v>
      </x:c>
      <x:c r="E206" s="25">
        <x:f>IF(D206="A",4,IF(D206="B",3,IF(D206="C",2,IF(D206="D",1,IF(D206="F",0,"")))))</x:f>
        <x:v>2</x:v>
      </x:c>
      <x:c r="F206" s="25">
        <x:f>FDOE_Grades_2025_Raw!K206</x:f>
        <x:v>37</x:v>
      </x:c>
      <x:c r="G206" s="25">
        <x:f>FDOE_Grades_2025_Raw!M206</x:f>
        <x:v>38</x:v>
      </x:c>
      <x:c r="H206" s="25">
        <x:f>FDOE_Grades_2025_Raw!L206</x:f>
        <x:v>46</x:v>
      </x:c>
      <x:c r="I206" s="25">
        <x:f>FDOE_Grades_2025_Raw!Q206</x:f>
        <x:v>0</x:v>
      </x:c>
      <x:c r="J206" s="25">
        <x:f>FDOE_Grades_2025_Raw!R206</x:f>
        <x:v>0</x:v>
      </x:c>
      <x:c r="K206" s="25">
        <x:f>IF($A206="","",ROUND((Scoring_Model!$B$9*($E206/4)*100)+(Scoring_Model!$B$10*$F206)+(Scoring_Model!$B$11*$G206)+(Scoring_Model!$B$12*$H206)+(Scoring_Model!$B$13*IF($I206="",0,$I206))+(Scoring_Model!$B$14*IF($J206="",0,$J206)),1))</x:f>
        <x:v>40.8</x:v>
      </x:c>
      <x:c r="L206" s="20" t="inlineStr">
        <x:is>
          <x:t xml:space="preserve">https://www.fldoe.org/file/18534/SchoolGrades25.xlsx</x:t>
        </x:is>
      </x:c>
      <x:c r="M206" s="20" t="inlineStr">
        <x:is>
          <x:t xml:space="preserve">School type Elementary; growth field currently uses official ELA learning gains in this starter model.</x:t>
        </x:is>
      </x:c>
    </x:row>
    <x:row r="207">
      <x:c r="A207" s="20" t="str">
        <x:f>FDOE_Grades_2025_Raw!A207</x:f>
        <x:v>531601</x:v>
      </x:c>
      <x:c r="B207" s="20" t="str">
        <x:f>FDOE_Grades_2025_Raw!E207</x:f>
        <x:v>BOK ACADEMY</x:v>
      </x:c>
      <x:c r="C207" s="20" t="n">
        <x:v>2025</x:v>
      </x:c>
      <x:c r="D207" s="20" t="str">
        <x:f>FDOE_Grades_2025_Raw!W207</x:f>
        <x:v>B</x:v>
      </x:c>
      <x:c r="E207" s="25">
        <x:f>IF(D207="A",4,IF(D207="B",3,IF(D207="C",2,IF(D207="D",1,IF(D207="F",0,"")))))</x:f>
        <x:v>3</x:v>
      </x:c>
      <x:c r="F207" s="25">
        <x:f>FDOE_Grades_2025_Raw!K207</x:f>
        <x:v>57</x:v>
      </x:c>
      <x:c r="G207" s="25">
        <x:f>FDOE_Grades_2025_Raw!M207</x:f>
        <x:v>59</x:v>
      </x:c>
      <x:c r="H207" s="25">
        <x:f>FDOE_Grades_2025_Raw!L207</x:f>
        <x:v>54</x:v>
      </x:c>
      <x:c r="I207" s="25">
        <x:f>FDOE_Grades_2025_Raw!Q207</x:f>
        <x:v>0</x:v>
      </x:c>
      <x:c r="J207" s="25">
        <x:f>FDOE_Grades_2025_Raw!R207</x:f>
        <x:v>0</x:v>
      </x:c>
      <x:c r="K207" s="25">
        <x:f>IF($A207="","",ROUND((Scoring_Model!$B$9*($E207/4)*100)+(Scoring_Model!$B$10*$F207)+(Scoring_Model!$B$11*$G207)+(Scoring_Model!$B$12*$H207)+(Scoring_Model!$B$13*IF($I207="",0,$I207))+(Scoring_Model!$B$14*IF($J207="",0,$J207)),1))</x:f>
        <x:v>60.2</x:v>
      </x:c>
      <x:c r="L207" s="20" t="inlineStr">
        <x:is>
          <x:t xml:space="preserve">https://www.fldoe.org/file/18534/SchoolGrades25.xlsx</x:t>
        </x:is>
      </x:c>
      <x:c r="M207" s="20" t="inlineStr">
        <x:is>
          <x:t xml:space="preserve">School type Middle/Junior; growth field currently uses official ELA learning gains in this starter model.</x:t>
        </x:is>
      </x:c>
    </x:row>
    <x:row r="208">
      <x:c r="A208" s="20" t="str">
        <x:f>FDOE_Grades_2025_Raw!A208</x:f>
        <x:v>531611</x:v>
      </x:c>
      <x:c r="B208" s="20" t="str">
        <x:f>FDOE_Grades_2025_Raw!E208</x:f>
        <x:v>LAUREL ELEMENTARY SCHOOL</x:v>
      </x:c>
      <x:c r="C208" s="20" t="n">
        <x:v>2025</x:v>
      </x:c>
      <x:c r="D208" s="20" t="str">
        <x:f>FDOE_Grades_2025_Raw!W208</x:f>
        <x:v>B</x:v>
      </x:c>
      <x:c r="E208" s="25">
        <x:f>IF(D208="A",4,IF(D208="B",3,IF(D208="C",2,IF(D208="D",1,IF(D208="F",0,"")))))</x:f>
        <x:v>3</x:v>
      </x:c>
      <x:c r="F208" s="25">
        <x:f>FDOE_Grades_2025_Raw!K208</x:f>
        <x:v>49</x:v>
      </x:c>
      <x:c r="G208" s="25">
        <x:f>FDOE_Grades_2025_Raw!M208</x:f>
        <x:v>52</x:v>
      </x:c>
      <x:c r="H208" s="25">
        <x:f>FDOE_Grades_2025_Raw!L208</x:f>
        <x:v>60</x:v>
      </x:c>
      <x:c r="I208" s="25">
        <x:f>FDOE_Grades_2025_Raw!Q208</x:f>
        <x:v>0</x:v>
      </x:c>
      <x:c r="J208" s="25">
        <x:f>FDOE_Grades_2025_Raw!R208</x:f>
        <x:v>0</x:v>
      </x:c>
      <x:c r="K208" s="25">
        <x:f>IF($A208="","",ROUND((Scoring_Model!$B$9*($E208/4)*100)+(Scoring_Model!$B$10*$F208)+(Scoring_Model!$B$11*$G208)+(Scoring_Model!$B$12*$H208)+(Scoring_Model!$B$13*IF($I208="",0,$I208))+(Scoring_Model!$B$14*IF($J208="",0,$J208)),1))</x:f>
        <x:v>58.5</x:v>
      </x:c>
      <x:c r="L208" s="20" t="inlineStr">
        <x:is>
          <x:t xml:space="preserve">https://www.fldoe.org/file/18534/SchoolGrades25.xlsx</x:t>
        </x:is>
      </x:c>
      <x:c r="M208" s="20" t="inlineStr">
        <x:is>
          <x:t xml:space="preserve">School type Elementary; growth field currently uses official ELA learning gains in this starter model.</x:t>
        </x:is>
      </x:c>
    </x:row>
    <x:row r="209">
      <x:c r="A209" s="20" t="str">
        <x:f>FDOE_Grades_2025_Raw!A209</x:f>
        <x:v>531621</x:v>
      </x:c>
      <x:c r="B209" s="20" t="str">
        <x:f>FDOE_Grades_2025_Raw!E209</x:f>
        <x:v>EDWARD W BOK ACADEMY NORTH</x:v>
      </x:c>
      <x:c r="C209" s="20" t="n">
        <x:v>2025</x:v>
      </x:c>
      <x:c r="D209" s="20" t="str">
        <x:f>FDOE_Grades_2025_Raw!W209</x:f>
        <x:v>C</x:v>
      </x:c>
      <x:c r="E209" s="25">
        <x:f>IF(D209="A",4,IF(D209="B",3,IF(D209="C",2,IF(D209="D",1,IF(D209="F",0,"")))))</x:f>
        <x:v>2</x:v>
      </x:c>
      <x:c r="F209" s="25">
        <x:f>FDOE_Grades_2025_Raw!K209</x:f>
        <x:v>56</x:v>
      </x:c>
      <x:c r="G209" s="25">
        <x:f>FDOE_Grades_2025_Raw!M209</x:f>
        <x:v>43</x:v>
      </x:c>
      <x:c r="H209" s="25">
        <x:f>FDOE_Grades_2025_Raw!L209</x:f>
        <x:v>60</x:v>
      </x:c>
      <x:c r="I209" s="25">
        <x:f>FDOE_Grades_2025_Raw!Q209</x:f>
        <x:v>0</x:v>
      </x:c>
      <x:c r="J209" s="25">
        <x:f>FDOE_Grades_2025_Raw!R209</x:f>
        <x:v>0</x:v>
      </x:c>
      <x:c r="K209" s="25">
        <x:f>IF($A209="","",ROUND((Scoring_Model!$B$9*($E209/4)*100)+(Scoring_Model!$B$10*$F209)+(Scoring_Model!$B$11*$G209)+(Scoring_Model!$B$12*$H209)+(Scoring_Model!$B$13*IF($I209="",0,$I209))+(Scoring_Model!$B$14*IF($J209="",0,$J209)),1))</x:f>
        <x:v>46.5</x:v>
      </x:c>
      <x:c r="L209" s="20" t="inlineStr">
        <x:is>
          <x:t xml:space="preserve">https://www.fldoe.org/file/18534/SchoolGrades25.xlsx</x:t>
        </x:is>
      </x:c>
      <x:c r="M209" s="20" t="inlineStr">
        <x:is>
          <x:t xml:space="preserve">School type Middle/Junior; growth field currently uses official ELA learning gains in this starter model.</x:t>
        </x:is>
      </x:c>
    </x:row>
    <x:row r="210">
      <x:c r="A210" s="20" t="str">
        <x:f>FDOE_Grades_2025_Raw!A210</x:f>
        <x:v>531662</x:v>
      </x:c>
      <x:c r="B210" s="20" t="str">
        <x:f>FDOE_Grades_2025_Raw!E210</x:f>
        <x:v>LAKE ALFRED POLYTECH ACADEMY</x:v>
      </x:c>
      <x:c r="C210" s="20" t="n">
        <x:v>2025</x:v>
      </x:c>
      <x:c r="D210" s="20" t="str">
        <x:f>FDOE_Grades_2025_Raw!W210</x:f>
        <x:v>B</x:v>
      </x:c>
      <x:c r="E210" s="25">
        <x:f>IF(D210="A",4,IF(D210="B",3,IF(D210="C",2,IF(D210="D",1,IF(D210="F",0,"")))))</x:f>
        <x:v>3</x:v>
      </x:c>
      <x:c r="F210" s="25">
        <x:f>FDOE_Grades_2025_Raw!K210</x:f>
        <x:v>47</x:v>
      </x:c>
      <x:c r="G210" s="25">
        <x:f>FDOE_Grades_2025_Raw!M210</x:f>
        <x:v>50</x:v>
      </x:c>
      <x:c r="H210" s="25">
        <x:f>FDOE_Grades_2025_Raw!L210</x:f>
        <x:v>60</x:v>
      </x:c>
      <x:c r="I210" s="25">
        <x:f>FDOE_Grades_2025_Raw!Q210</x:f>
        <x:v>0</x:v>
      </x:c>
      <x:c r="J210" s="25">
        <x:f>FDOE_Grades_2025_Raw!R210</x:f>
        <x:v>0</x:v>
      </x:c>
      <x:c r="K210" s="25">
        <x:f>IF($A210="","",ROUND((Scoring_Model!$B$9*($E210/4)*100)+(Scoring_Model!$B$10*$F210)+(Scoring_Model!$B$11*$G210)+(Scoring_Model!$B$12*$H210)+(Scoring_Model!$B$13*IF($I210="",0,$I210))+(Scoring_Model!$B$14*IF($J210="",0,$J210)),1))</x:f>
        <x:v>57.9</x:v>
      </x:c>
      <x:c r="L210" s="20" t="inlineStr">
        <x:is>
          <x:t xml:space="preserve">https://www.fldoe.org/file/18534/SchoolGrades25.xlsx</x:t>
        </x:is>
      </x:c>
      <x:c r="M210" s="20" t="inlineStr">
        <x:is>
          <x:t xml:space="preserve">School type Middle/Junior; growth field currently uses official ELA learning gains in this starter model.</x:t>
        </x:is>
      </x:c>
    </x:row>
    <x:row r="211">
      <x:c r="A211" s="20" t="str">
        <x:f>FDOE_Grades_2025_Raw!A211</x:f>
        <x:v>531671</x:v>
      </x:c>
      <x:c r="B211" s="20" t="str">
        <x:f>FDOE_Grades_2025_Raw!E211</x:f>
        <x:v>MCKEEL ACADEMY OF TECHNOLOGY</x:v>
      </x:c>
      <x:c r="C211" s="20" t="n">
        <x:v>2025</x:v>
      </x:c>
      <x:c r="D211" s="20" t="str">
        <x:f>FDOE_Grades_2025_Raw!W211</x:f>
        <x:v>A</x:v>
      </x:c>
      <x:c r="E211" s="25">
        <x:f>IF(D211="A",4,IF(D211="B",3,IF(D211="C",2,IF(D211="D",1,IF(D211="F",0,"")))))</x:f>
        <x:v>4</x:v>
      </x:c>
      <x:c r="F211" s="25">
        <x:f>FDOE_Grades_2025_Raw!K211</x:f>
        <x:v>74</x:v>
      </x:c>
      <x:c r="G211" s="25">
        <x:f>FDOE_Grades_2025_Raw!M211</x:f>
        <x:v>80</x:v>
      </x:c>
      <x:c r="H211" s="25">
        <x:f>FDOE_Grades_2025_Raw!L211</x:f>
        <x:v>63</x:v>
      </x:c>
      <x:c r="I211" s="25">
        <x:f>FDOE_Grades_2025_Raw!Q211</x:f>
        <x:v>100</x:v>
      </x:c>
      <x:c r="J211" s="25">
        <x:f>FDOE_Grades_2025_Raw!R211</x:f>
        <x:v>68</x:v>
      </x:c>
      <x:c r="K211" s="25">
        <x:f>IF($A211="","",ROUND((Scoring_Model!$B$9*($E211/4)*100)+(Scoring_Model!$B$10*$F211)+(Scoring_Model!$B$11*$G211)+(Scoring_Model!$B$12*$H211)+(Scoring_Model!$B$13*IF($I211="",0,$I211))+(Scoring_Model!$B$14*IF($J211="",0,$J211)),1))</x:f>
        <x:v>87.5</x:v>
      </x:c>
      <x:c r="L211" s="20" t="inlineStr">
        <x:is>
          <x:t xml:space="preserve">https://www.fldoe.org/file/18534/SchoolGrades25.xlsx</x:t>
        </x:is>
      </x:c>
      <x:c r="M211" s="20" t="inlineStr">
        <x:is>
          <x:t xml:space="preserve">School type Combination; growth field currently uses official ELA learning gains in this starter model.</x:t>
        </x:is>
      </x:c>
    </x:row>
    <x:row r="212">
      <x:c r="A212" s="20" t="str">
        <x:f>FDOE_Grades_2025_Raw!A212</x:f>
        <x:v>531681</x:v>
      </x:c>
      <x:c r="B212" s="20" t="str">
        <x:f>FDOE_Grades_2025_Raw!E212</x:f>
        <x:v>SCOTT LAKE ELEMENTARY SCHOOL</x:v>
      </x:c>
      <x:c r="C212" s="20" t="n">
        <x:v>2025</x:v>
      </x:c>
      <x:c r="D212" s="20" t="str">
        <x:f>FDOE_Grades_2025_Raw!W212</x:f>
        <x:v>C</x:v>
      </x:c>
      <x:c r="E212" s="25">
        <x:f>IF(D212="A",4,IF(D212="B",3,IF(D212="C",2,IF(D212="D",1,IF(D212="F",0,"")))))</x:f>
        <x:v>2</x:v>
      </x:c>
      <x:c r="F212" s="25">
        <x:f>FDOE_Grades_2025_Raw!K212</x:f>
        <x:v>61</x:v>
      </x:c>
      <x:c r="G212" s="25">
        <x:f>FDOE_Grades_2025_Raw!M212</x:f>
        <x:v>65</x:v>
      </x:c>
      <x:c r="H212" s="25">
        <x:f>FDOE_Grades_2025_Raw!L212</x:f>
        <x:v>49</x:v>
      </x:c>
      <x:c r="I212" s="25">
        <x:f>FDOE_Grades_2025_Raw!Q212</x:f>
        <x:v>0</x:v>
      </x:c>
      <x:c r="J212" s="25">
        <x:f>FDOE_Grades_2025_Raw!R212</x:f>
        <x:v>0</x:v>
      </x:c>
      <x:c r="K212" s="25">
        <x:f>IF($A212="","",ROUND((Scoring_Model!$B$9*($E212/4)*100)+(Scoring_Model!$B$10*$F212)+(Scoring_Model!$B$11*$G212)+(Scoring_Model!$B$12*$H212)+(Scoring_Model!$B$13*IF($I212="",0,$I212))+(Scoring_Model!$B$14*IF($J212="",0,$J212)),1))</x:f>
        <x:v>48.6</x:v>
      </x:c>
      <x:c r="L212" s="20" t="inlineStr">
        <x:is>
          <x:t xml:space="preserve">https://www.fldoe.org/file/18534/SchoolGrades25.xlsx</x:t>
        </x:is>
      </x:c>
      <x:c r="M212" s="20" t="inlineStr">
        <x:is>
          <x:t xml:space="preserve">School type Elementary; growth field currently uses official ELA learning gains in this starter model.</x:t>
        </x:is>
      </x:c>
    </x:row>
    <x:row r="213">
      <x:c r="A213" s="20" t="str">
        <x:f>FDOE_Grades_2025_Raw!A213</x:f>
        <x:v>531682</x:v>
      </x:c>
      <x:c r="B213" s="20" t="str">
        <x:f>FDOE_Grades_2025_Raw!E213</x:f>
        <x:v>MCKEEL ACADEMY CENTRAL</x:v>
      </x:c>
      <x:c r="C213" s="20" t="n">
        <x:v>2025</x:v>
      </x:c>
      <x:c r="D213" s="20" t="str">
        <x:f>FDOE_Grades_2025_Raw!W213</x:f>
        <x:v>A</x:v>
      </x:c>
      <x:c r="E213" s="25">
        <x:f>IF(D213="A",4,IF(D213="B",3,IF(D213="C",2,IF(D213="D",1,IF(D213="F",0,"")))))</x:f>
        <x:v>4</x:v>
      </x:c>
      <x:c r="F213" s="25">
        <x:f>FDOE_Grades_2025_Raw!K213</x:f>
        <x:v>82</x:v>
      </x:c>
      <x:c r="G213" s="25">
        <x:f>FDOE_Grades_2025_Raw!M213</x:f>
        <x:v>87</x:v>
      </x:c>
      <x:c r="H213" s="25">
        <x:f>FDOE_Grades_2025_Raw!L213</x:f>
        <x:v>74</x:v>
      </x:c>
      <x:c r="I213" s="25">
        <x:f>FDOE_Grades_2025_Raw!Q213</x:f>
        <x:v>0</x:v>
      </x:c>
      <x:c r="J213" s="25">
        <x:f>FDOE_Grades_2025_Raw!R213</x:f>
        <x:v>0</x:v>
      </x:c>
      <x:c r="K213" s="25">
        <x:f>IF($A213="","",ROUND((Scoring_Model!$B$9*($E213/4)*100)+(Scoring_Model!$B$10*$F213)+(Scoring_Model!$B$11*$G213)+(Scoring_Model!$B$12*$H213)+(Scoring_Model!$B$13*IF($I213="",0,$I213))+(Scoring_Model!$B$14*IF($J213="",0,$J213)),1))</x:f>
        <x:v>82.5</x:v>
      </x:c>
      <x:c r="L213" s="20" t="inlineStr">
        <x:is>
          <x:t xml:space="preserve">https://www.fldoe.org/file/18534/SchoolGrades25.xlsx</x:t>
        </x:is>
      </x:c>
      <x:c r="M213" s="20" t="inlineStr">
        <x:is>
          <x:t xml:space="preserve">School type Elementary; growth field currently uses official ELA learning gains in this starter model.</x:t>
        </x:is>
      </x:c>
    </x:row>
    <x:row r="214">
      <x:c r="A214" s="20" t="str">
        <x:f>FDOE_Grades_2025_Raw!A214</x:f>
        <x:v>531692</x:v>
      </x:c>
      <x:c r="B214" s="20" t="str">
        <x:f>FDOE_Grades_2025_Raw!E214</x:f>
        <x:v>SOUTH MCKEEL ACADEMY</x:v>
      </x:c>
      <x:c r="C214" s="20" t="n">
        <x:v>2025</x:v>
      </x:c>
      <x:c r="D214" s="20" t="str">
        <x:f>FDOE_Grades_2025_Raw!W214</x:f>
        <x:v>A</x:v>
      </x:c>
      <x:c r="E214" s="25">
        <x:f>IF(D214="A",4,IF(D214="B",3,IF(D214="C",2,IF(D214="D",1,IF(D214="F",0,"")))))</x:f>
        <x:v>4</x:v>
      </x:c>
      <x:c r="F214" s="25">
        <x:f>FDOE_Grades_2025_Raw!K214</x:f>
        <x:v>79</x:v>
      </x:c>
      <x:c r="G214" s="25">
        <x:f>FDOE_Grades_2025_Raw!M214</x:f>
        <x:v>84</x:v>
      </x:c>
      <x:c r="H214" s="25">
        <x:f>FDOE_Grades_2025_Raw!L214</x:f>
        <x:v>59</x:v>
      </x:c>
      <x:c r="I214" s="25">
        <x:f>FDOE_Grades_2025_Raw!Q214</x:f>
        <x:v>0</x:v>
      </x:c>
      <x:c r="J214" s="25">
        <x:f>FDOE_Grades_2025_Raw!R214</x:f>
        <x:v>0</x:v>
      </x:c>
      <x:c r="K214" s="25">
        <x:f>IF($A214="","",ROUND((Scoring_Model!$B$9*($E214/4)*100)+(Scoring_Model!$B$10*$F214)+(Scoring_Model!$B$11*$G214)+(Scoring_Model!$B$12*$H214)+(Scoring_Model!$B$13*IF($I214="",0,$I214))+(Scoring_Model!$B$14*IF($J214="",0,$J214)),1))</x:f>
        <x:v>80.1</x:v>
      </x:c>
      <x:c r="L214" s="20" t="inlineStr">
        <x:is>
          <x:t xml:space="preserve">https://www.fldoe.org/file/18534/SchoolGrades25.xlsx</x:t>
        </x:is>
      </x:c>
      <x:c r="M214" s="20" t="inlineStr">
        <x:is>
          <x:t xml:space="preserve">School type Elementary; growth field currently uses official ELA learning gains in this starter model.</x:t>
        </x:is>
      </x:c>
    </x:row>
    <x:row r="215">
      <x:c r="A215" s="20" t="str">
        <x:f>FDOE_Grades_2025_Raw!A215</x:f>
        <x:v>531701</x:v>
      </x:c>
      <x:c r="B215" s="20" t="str">
        <x:f>FDOE_Grades_2025_Raw!E215</x:f>
        <x:v>EAGLE LAKE ELEMENTARY SCHOOL</x:v>
      </x:c>
      <x:c r="C215" s="20" t="n">
        <x:v>2025</x:v>
      </x:c>
      <x:c r="D215" s="20" t="str">
        <x:f>FDOE_Grades_2025_Raw!W215</x:f>
        <x:v>D</x:v>
      </x:c>
      <x:c r="E215" s="25">
        <x:f>IF(D215="A",4,IF(D215="B",3,IF(D215="C",2,IF(D215="D",1,IF(D215="F",0,"")))))</x:f>
        <x:v>1</x:v>
      </x:c>
      <x:c r="F215" s="25">
        <x:f>FDOE_Grades_2025_Raw!K215</x:f>
        <x:v>37</x:v>
      </x:c>
      <x:c r="G215" s="25">
        <x:f>FDOE_Grades_2025_Raw!M215</x:f>
        <x:v>30</x:v>
      </x:c>
      <x:c r="H215" s="25">
        <x:f>FDOE_Grades_2025_Raw!L215</x:f>
        <x:v>44</x:v>
      </x:c>
      <x:c r="I215" s="25">
        <x:f>FDOE_Grades_2025_Raw!Q215</x:f>
        <x:v>0</x:v>
      </x:c>
      <x:c r="J215" s="25">
        <x:f>FDOE_Grades_2025_Raw!R215</x:f>
        <x:v>0</x:v>
      </x:c>
      <x:c r="K215" s="25">
        <x:f>IF($A215="","",ROUND((Scoring_Model!$B$9*($E215/4)*100)+(Scoring_Model!$B$10*$F215)+(Scoring_Model!$B$11*$G215)+(Scoring_Model!$B$12*$H215)+(Scoring_Model!$B$13*IF($I215="",0,$I215))+(Scoring_Model!$B$14*IF($J215="",0,$J215)),1))</x:f>
        <x:v>27.3</x:v>
      </x:c>
      <x:c r="L215" s="20" t="inlineStr">
        <x:is>
          <x:t xml:space="preserve">https://www.fldoe.org/file/18534/SchoolGrades25.xlsx</x:t>
        </x:is>
      </x:c>
      <x:c r="M215" s="20" t="inlineStr">
        <x:is>
          <x:t xml:space="preserve">School type Elementary; growth field currently uses official ELA learning gains in this starter model.</x:t>
        </x:is>
      </x:c>
    </x:row>
    <x:row r="216">
      <x:c r="A216" s="20" t="str">
        <x:f>FDOE_Grades_2025_Raw!A216</x:f>
        <x:v>531702</x:v>
      </x:c>
      <x:c r="B216" s="20" t="str">
        <x:f>FDOE_Grades_2025_Raw!E216</x:f>
        <x:v>PALMETTO ELEMENTARY SCHOOL</x:v>
      </x:c>
      <x:c r="C216" s="20" t="n">
        <x:v>2025</x:v>
      </x:c>
      <x:c r="D216" s="20" t="str">
        <x:f>FDOE_Grades_2025_Raw!W216</x:f>
        <x:v>C</x:v>
      </x:c>
      <x:c r="E216" s="25">
        <x:f>IF(D216="A",4,IF(D216="B",3,IF(D216="C",2,IF(D216="D",1,IF(D216="F",0,"")))))</x:f>
        <x:v>2</x:v>
      </x:c>
      <x:c r="F216" s="25">
        <x:f>FDOE_Grades_2025_Raw!K216</x:f>
        <x:v>38</x:v>
      </x:c>
      <x:c r="G216" s="25">
        <x:f>FDOE_Grades_2025_Raw!M216</x:f>
        <x:v>35</x:v>
      </x:c>
      <x:c r="H216" s="25">
        <x:f>FDOE_Grades_2025_Raw!L216</x:f>
        <x:v>52</x:v>
      </x:c>
      <x:c r="I216" s="25">
        <x:f>FDOE_Grades_2025_Raw!Q216</x:f>
        <x:v>0</x:v>
      </x:c>
      <x:c r="J216" s="25">
        <x:f>FDOE_Grades_2025_Raw!R216</x:f>
        <x:v>0</x:v>
      </x:c>
      <x:c r="K216" s="25">
        <x:f>IF($A216="","",ROUND((Scoring_Model!$B$9*($E216/4)*100)+(Scoring_Model!$B$10*$F216)+(Scoring_Model!$B$11*$G216)+(Scoring_Model!$B$12*$H216)+(Scoring_Model!$B$13*IF($I216="",0,$I216))+(Scoring_Model!$B$14*IF($J216="",0,$J216)),1))</x:f>
        <x:v>41.3</x:v>
      </x:c>
      <x:c r="L216" s="20" t="inlineStr">
        <x:is>
          <x:t xml:space="preserve">https://www.fldoe.org/file/18534/SchoolGrades25.xlsx</x:t>
        </x:is>
      </x:c>
      <x:c r="M216" s="20" t="inlineStr">
        <x:is>
          <x:t xml:space="preserve">School type Elementary; growth field currently uses official ELA learning gains in this starter model.</x:t>
        </x:is>
      </x:c>
    </x:row>
    <x:row r="217">
      <x:c r="A217" s="20" t="str">
        <x:f>FDOE_Grades_2025_Raw!A217</x:f>
        <x:v>531711</x:v>
      </x:c>
      <x:c r="B217" s="20" t="str">
        <x:f>FDOE_Grades_2025_Raw!E217</x:f>
        <x:v>GARDEN GROVE ELEMENTARY SCHOOL</x:v>
      </x:c>
      <x:c r="C217" s="20" t="n">
        <x:v>2025</x:v>
      </x:c>
      <x:c r="D217" s="20" t="str">
        <x:f>FDOE_Grades_2025_Raw!W217</x:f>
        <x:v>C</x:v>
      </x:c>
      <x:c r="E217" s="25">
        <x:f>IF(D217="A",4,IF(D217="B",3,IF(D217="C",2,IF(D217="D",1,IF(D217="F",0,"")))))</x:f>
        <x:v>2</x:v>
      </x:c>
      <x:c r="F217" s="25">
        <x:f>FDOE_Grades_2025_Raw!K217</x:f>
        <x:v>47</x:v>
      </x:c>
      <x:c r="G217" s="25">
        <x:f>FDOE_Grades_2025_Raw!M217</x:f>
        <x:v>45</x:v>
      </x:c>
      <x:c r="H217" s="25">
        <x:f>FDOE_Grades_2025_Raw!L217</x:f>
        <x:v>58</x:v>
      </x:c>
      <x:c r="I217" s="25">
        <x:f>FDOE_Grades_2025_Raw!Q217</x:f>
        <x:v>0</x:v>
      </x:c>
      <x:c r="J217" s="25">
        <x:f>FDOE_Grades_2025_Raw!R217</x:f>
        <x:v>0</x:v>
      </x:c>
      <x:c r="K217" s="25">
        <x:f>IF($A217="","",ROUND((Scoring_Model!$B$9*($E217/4)*100)+(Scoring_Model!$B$10*$F217)+(Scoring_Model!$B$11*$G217)+(Scoring_Model!$B$12*$H217)+(Scoring_Model!$B$13*IF($I217="",0,$I217))+(Scoring_Model!$B$14*IF($J217="",0,$J217)),1))</x:f>
        <x:v>44.7</x:v>
      </x:c>
      <x:c r="L217" s="20" t="inlineStr">
        <x:is>
          <x:t xml:space="preserve">https://www.fldoe.org/file/18534/SchoolGrades25.xlsx</x:t>
        </x:is>
      </x:c>
      <x:c r="M217" s="20" t="inlineStr">
        <x:is>
          <x:t xml:space="preserve">School type Elementary; growth field currently uses official ELA learning gains in this starter model.</x:t>
        </x:is>
      </x:c>
    </x:row>
    <x:row r="218">
      <x:c r="A218" s="20" t="str">
        <x:f>FDOE_Grades_2025_Raw!A218</x:f>
        <x:v>531721</x:v>
      </x:c>
      <x:c r="B218" s="20" t="str">
        <x:f>FDOE_Grades_2025_Raw!E218</x:f>
        <x:v>LAKE WALES SENIOR HIGH SCHOOL</x:v>
      </x:c>
      <x:c r="C218" s="20" t="n">
        <x:v>2025</x:v>
      </x:c>
      <x:c r="D218" s="20" t="str">
        <x:f>FDOE_Grades_2025_Raw!W218</x:f>
        <x:v>B</x:v>
      </x:c>
      <x:c r="E218" s="25">
        <x:f>IF(D218="A",4,IF(D218="B",3,IF(D218="C",2,IF(D218="D",1,IF(D218="F",0,"")))))</x:f>
        <x:v>3</x:v>
      </x:c>
      <x:c r="F218" s="25">
        <x:f>FDOE_Grades_2025_Raw!K218</x:f>
        <x:v>59</x:v>
      </x:c>
      <x:c r="G218" s="25">
        <x:f>FDOE_Grades_2025_Raw!M218</x:f>
        <x:v>44</x:v>
      </x:c>
      <x:c r="H218" s="25">
        <x:f>FDOE_Grades_2025_Raw!L218</x:f>
        <x:v>55</x:v>
      </x:c>
      <x:c r="I218" s="25">
        <x:f>FDOE_Grades_2025_Raw!Q218</x:f>
        <x:v>93</x:v>
      </x:c>
      <x:c r="J218" s="25">
        <x:f>FDOE_Grades_2025_Raw!R218</x:f>
        <x:v>46</x:v>
      </x:c>
      <x:c r="K218" s="25">
        <x:f>IF($A218="","",ROUND((Scoring_Model!$B$9*($E218/4)*100)+(Scoring_Model!$B$10*$F218)+(Scoring_Model!$B$11*$G218)+(Scoring_Model!$B$12*$H218)+(Scoring_Model!$B$13*IF($I218="",0,$I218))+(Scoring_Model!$B$14*IF($J218="",0,$J218)),1))</x:f>
        <x:v>66.1</x:v>
      </x:c>
      <x:c r="L218" s="20" t="inlineStr">
        <x:is>
          <x:t xml:space="preserve">https://www.fldoe.org/file/18534/SchoolGrades25.xlsx</x:t>
        </x:is>
      </x:c>
      <x:c r="M218" s="20" t="inlineStr">
        <x:is>
          <x:t xml:space="preserve">School type Senior High; growth field currently uses official ELA learning gains in this starter model.</x:t>
        </x:is>
      </x:c>
    </x:row>
    <x:row r="219">
      <x:c r="A219" s="20" t="str">
        <x:f>FDOE_Grades_2025_Raw!A219</x:f>
        <x:v>531731</x:v>
      </x:c>
      <x:c r="B219" s="20" t="str">
        <x:f>FDOE_Grades_2025_Raw!E219</x:f>
        <x:v>PINEWOOD ELEMENTARY SCHOOL</x:v>
      </x:c>
      <x:c r="C219" s="20" t="n">
        <x:v>2025</x:v>
      </x:c>
      <x:c r="D219" s="20" t="str">
        <x:f>FDOE_Grades_2025_Raw!W219</x:f>
        <x:v>C</x:v>
      </x:c>
      <x:c r="E219" s="25">
        <x:f>IF(D219="A",4,IF(D219="B",3,IF(D219="C",2,IF(D219="D",1,IF(D219="F",0,"")))))</x:f>
        <x:v>2</x:v>
      </x:c>
      <x:c r="F219" s="25">
        <x:f>FDOE_Grades_2025_Raw!K219</x:f>
        <x:v>48</x:v>
      </x:c>
      <x:c r="G219" s="25">
        <x:f>FDOE_Grades_2025_Raw!M219</x:f>
        <x:v>48</x:v>
      </x:c>
      <x:c r="H219" s="25">
        <x:f>FDOE_Grades_2025_Raw!L219</x:f>
        <x:v>51</x:v>
      </x:c>
      <x:c r="I219" s="25">
        <x:f>FDOE_Grades_2025_Raw!Q219</x:f>
        <x:v>0</x:v>
      </x:c>
      <x:c r="J219" s="25">
        <x:f>FDOE_Grades_2025_Raw!R219</x:f>
        <x:v>0</x:v>
      </x:c>
      <x:c r="K219" s="25">
        <x:f>IF($A219="","",ROUND((Scoring_Model!$B$9*($E219/4)*100)+(Scoring_Model!$B$10*$F219)+(Scoring_Model!$B$11*$G219)+(Scoring_Model!$B$12*$H219)+(Scoring_Model!$B$13*IF($I219="",0,$I219))+(Scoring_Model!$B$14*IF($J219="",0,$J219)),1))</x:f>
        <x:v>44.5</x:v>
      </x:c>
      <x:c r="L219" s="20" t="inlineStr">
        <x:is>
          <x:t xml:space="preserve">https://www.fldoe.org/file/18534/SchoolGrades25.xlsx</x:t>
        </x:is>
      </x:c>
      <x:c r="M219" s="20" t="inlineStr">
        <x:is>
          <x:t xml:space="preserve">School type Elementary; growth field currently uses official ELA learning gains in this starter model.</x:t>
        </x:is>
      </x:c>
    </x:row>
    <x:row r="220">
      <x:c r="A220" s="20" t="str">
        <x:f>FDOE_Grades_2025_Raw!A220</x:f>
        <x:v>531751</x:v>
      </x:c>
      <x:c r="B220" s="20" t="str">
        <x:f>FDOE_Grades_2025_Raw!E220</x:f>
        <x:v>JAMES E. STEPHENS ACADEMY</x:v>
      </x:c>
      <x:c r="C220" s="20" t="n">
        <x:v>2025</x:v>
      </x:c>
      <x:c r="D220" s="20" t="str">
        <x:f>FDOE_Grades_2025_Raw!W220</x:f>
        <x:v>B</x:v>
      </x:c>
      <x:c r="E220" s="25">
        <x:f>IF(D220="A",4,IF(D220="B",3,IF(D220="C",2,IF(D220="D",1,IF(D220="F",0,"")))))</x:f>
        <x:v>3</x:v>
      </x:c>
      <x:c r="F220" s="25">
        <x:f>FDOE_Grades_2025_Raw!K220</x:f>
        <x:v>59</x:v>
      </x:c>
      <x:c r="G220" s="25">
        <x:f>FDOE_Grades_2025_Raw!M220</x:f>
        <x:v>62</x:v>
      </x:c>
      <x:c r="H220" s="25">
        <x:f>FDOE_Grades_2025_Raw!L220</x:f>
        <x:v>51</x:v>
      </x:c>
      <x:c r="I220" s="25">
        <x:f>FDOE_Grades_2025_Raw!Q220</x:f>
        <x:v>0</x:v>
      </x:c>
      <x:c r="J220" s="25">
        <x:f>FDOE_Grades_2025_Raw!R220</x:f>
        <x:v>0</x:v>
      </x:c>
      <x:c r="K220" s="25">
        <x:f>IF($A220="","",ROUND((Scoring_Model!$B$9*($E220/4)*100)+(Scoring_Model!$B$10*$F220)+(Scoring_Model!$B$11*$G220)+(Scoring_Model!$B$12*$H220)+(Scoring_Model!$B$13*IF($I220="",0,$I220))+(Scoring_Model!$B$14*IF($J220="",0,$J220)),1))</x:f>
        <x:v>60.6</x:v>
      </x:c>
      <x:c r="L220" s="20" t="inlineStr">
        <x:is>
          <x:t xml:space="preserve">https://www.fldoe.org/file/18534/SchoolGrades25.xlsx</x:t>
        </x:is>
      </x:c>
      <x:c r="M220" s="20" t="inlineStr">
        <x:is>
          <x:t xml:space="preserve">School type Elementary; growth field currently uses official ELA learning gains in this starter model.</x:t>
        </x:is>
      </x:c>
    </x:row>
    <x:row r="221">
      <x:c r="A221" s="20" t="str">
        <x:f>FDOE_Grades_2025_Raw!A221</x:f>
        <x:v>531761</x:v>
      </x:c>
      <x:c r="B221" s="20" t="str">
        <x:f>FDOE_Grades_2025_Raw!E221</x:f>
        <x:v>LAKE GIBSON MIDDLE SCHOOL</x:v>
      </x:c>
      <x:c r="C221" s="20" t="n">
        <x:v>2025</x:v>
      </x:c>
      <x:c r="D221" s="20" t="str">
        <x:f>FDOE_Grades_2025_Raw!W221</x:f>
        <x:v>C</x:v>
      </x:c>
      <x:c r="E221" s="25">
        <x:f>IF(D221="A",4,IF(D221="B",3,IF(D221="C",2,IF(D221="D",1,IF(D221="F",0,"")))))</x:f>
        <x:v>2</x:v>
      </x:c>
      <x:c r="F221" s="25">
        <x:f>FDOE_Grades_2025_Raw!K221</x:f>
        <x:v>40</x:v>
      </x:c>
      <x:c r="G221" s="25">
        <x:f>FDOE_Grades_2025_Raw!M221</x:f>
        <x:v>40</x:v>
      </x:c>
      <x:c r="H221" s="25">
        <x:f>FDOE_Grades_2025_Raw!L221</x:f>
        <x:v>51</x:v>
      </x:c>
      <x:c r="I221" s="25">
        <x:f>FDOE_Grades_2025_Raw!Q221</x:f>
        <x:v>0</x:v>
      </x:c>
      <x:c r="J221" s="25">
        <x:f>FDOE_Grades_2025_Raw!R221</x:f>
        <x:v>0</x:v>
      </x:c>
      <x:c r="K221" s="25">
        <x:f>IF($A221="","",ROUND((Scoring_Model!$B$9*($E221/4)*100)+(Scoring_Model!$B$10*$F221)+(Scoring_Model!$B$11*$G221)+(Scoring_Model!$B$12*$H221)+(Scoring_Model!$B$13*IF($I221="",0,$I221))+(Scoring_Model!$B$14*IF($J221="",0,$J221)),1))</x:f>
        <x:v>42.1</x:v>
      </x:c>
      <x:c r="L221" s="20" t="inlineStr">
        <x:is>
          <x:t xml:space="preserve">https://www.fldoe.org/file/18534/SchoolGrades25.xlsx</x:t>
        </x:is>
      </x:c>
      <x:c r="M221" s="20" t="inlineStr">
        <x:is>
          <x:t xml:space="preserve">School type Middle/Junior; growth field currently uses official ELA learning gains in this starter model.</x:t>
        </x:is>
      </x:c>
    </x:row>
    <x:row r="222">
      <x:c r="A222" s="20" t="str">
        <x:f>FDOE_Grades_2025_Raw!A222</x:f>
        <x:v>531762</x:v>
      </x:c>
      <x:c r="B222" s="20" t="str">
        <x:f>FDOE_Grades_2025_Raw!E222</x:f>
        <x:v>LAKE GIBSON SENIOR HIGH SCHOOL</x:v>
      </x:c>
      <x:c r="C222" s="20" t="n">
        <x:v>2025</x:v>
      </x:c>
      <x:c r="D222" s="20" t="str">
        <x:f>FDOE_Grades_2025_Raw!W222</x:f>
        <x:v>C</x:v>
      </x:c>
      <x:c r="E222" s="25">
        <x:f>IF(D222="A",4,IF(D222="B",3,IF(D222="C",2,IF(D222="D",1,IF(D222="F",0,"")))))</x:f>
        <x:v>2</x:v>
      </x:c>
      <x:c r="F222" s="25">
        <x:f>FDOE_Grades_2025_Raw!K222</x:f>
        <x:v>44</x:v>
      </x:c>
      <x:c r="G222" s="25">
        <x:f>FDOE_Grades_2025_Raw!M222</x:f>
        <x:v>23</x:v>
      </x:c>
      <x:c r="H222" s="25">
        <x:f>FDOE_Grades_2025_Raw!L222</x:f>
        <x:v>51</x:v>
      </x:c>
      <x:c r="I222" s="25">
        <x:f>FDOE_Grades_2025_Raw!Q222</x:f>
        <x:v>93</x:v>
      </x:c>
      <x:c r="J222" s="25">
        <x:f>FDOE_Grades_2025_Raw!R222</x:f>
        <x:v>78</x:v>
      </x:c>
      <x:c r="K222" s="25">
        <x:f>IF($A222="","",ROUND((Scoring_Model!$B$9*($E222/4)*100)+(Scoring_Model!$B$10*$F222)+(Scoring_Model!$B$11*$G222)+(Scoring_Model!$B$12*$H222)+(Scoring_Model!$B$13*IF($I222="",0,$I222))+(Scoring_Model!$B$14*IF($J222="",0,$J222)),1))</x:f>
        <x:v>49.7</x:v>
      </x:c>
      <x:c r="L222" s="20" t="inlineStr">
        <x:is>
          <x:t xml:space="preserve">https://www.fldoe.org/file/18534/SchoolGrades25.xlsx</x:t>
        </x:is>
      </x:c>
      <x:c r="M222" s="20" t="inlineStr">
        <x:is>
          <x:t xml:space="preserve">School type Senior High; growth field currently uses official ELA learning gains in this starter model.</x:t>
        </x:is>
      </x:c>
    </x:row>
    <x:row r="223">
      <x:c r="A223" s="20" t="str">
        <x:f>FDOE_Grades_2025_Raw!A223</x:f>
        <x:v>531771</x:v>
      </x:c>
      <x:c r="B223" s="20" t="str">
        <x:f>FDOE_Grades_2025_Raw!E223</x:f>
        <x:v>LAKELAND HIGHLANDS MIDDLE SCHOOL</x:v>
      </x:c>
      <x:c r="C223" s="20" t="n">
        <x:v>2025</x:v>
      </x:c>
      <x:c r="D223" s="20" t="str">
        <x:f>FDOE_Grades_2025_Raw!W223</x:f>
        <x:v>B</x:v>
      </x:c>
      <x:c r="E223" s="25">
        <x:f>IF(D223="A",4,IF(D223="B",3,IF(D223="C",2,IF(D223="D",1,IF(D223="F",0,"")))))</x:f>
        <x:v>3</x:v>
      </x:c>
      <x:c r="F223" s="25">
        <x:f>FDOE_Grades_2025_Raw!K223</x:f>
        <x:v>60</x:v>
      </x:c>
      <x:c r="G223" s="25">
        <x:f>FDOE_Grades_2025_Raw!M223</x:f>
        <x:v>58</x:v>
      </x:c>
      <x:c r="H223" s="25">
        <x:f>FDOE_Grades_2025_Raw!L223</x:f>
        <x:v>57</x:v>
      </x:c>
      <x:c r="I223" s="25">
        <x:f>FDOE_Grades_2025_Raw!Q223</x:f>
        <x:v>0</x:v>
      </x:c>
      <x:c r="J223" s="25">
        <x:f>FDOE_Grades_2025_Raw!R223</x:f>
        <x:v>0</x:v>
      </x:c>
      <x:c r="K223" s="25">
        <x:f>IF($A223="","",ROUND((Scoring_Model!$B$9*($E223/4)*100)+(Scoring_Model!$B$10*$F223)+(Scoring_Model!$B$11*$G223)+(Scoring_Model!$B$12*$H223)+(Scoring_Model!$B$13*IF($I223="",0,$I223))+(Scoring_Model!$B$14*IF($J223="",0,$J223)),1))</x:f>
        <x:v>61</x:v>
      </x:c>
      <x:c r="L223" s="20" t="inlineStr">
        <x:is>
          <x:t xml:space="preserve">https://www.fldoe.org/file/18534/SchoolGrades25.xlsx</x:t>
        </x:is>
      </x:c>
      <x:c r="M223" s="20" t="inlineStr">
        <x:is>
          <x:t xml:space="preserve">School type Middle/Junior; growth field currently uses official ELA learning gains in this starter model.</x:t>
        </x:is>
      </x:c>
    </x:row>
    <x:row r="224">
      <x:c r="A224" s="20" t="str">
        <x:f>FDOE_Grades_2025_Raw!A224</x:f>
        <x:v>531781</x:v>
      </x:c>
      <x:c r="B224" s="20" t="str">
        <x:f>FDOE_Grades_2025_Raw!E224</x:f>
        <x:v>DUNDEE ELEMENTARY ACADEMY</x:v>
      </x:c>
      <x:c r="C224" s="20" t="n">
        <x:v>2025</x:v>
      </x:c>
      <x:c r="D224" s="20" t="str">
        <x:f>FDOE_Grades_2025_Raw!W224</x:f>
        <x:v>B</x:v>
      </x:c>
      <x:c r="E224" s="25">
        <x:f>IF(D224="A",4,IF(D224="B",3,IF(D224="C",2,IF(D224="D",1,IF(D224="F",0,"")))))</x:f>
        <x:v>3</x:v>
      </x:c>
      <x:c r="F224" s="25">
        <x:f>FDOE_Grades_2025_Raw!K224</x:f>
        <x:v>59</x:v>
      </x:c>
      <x:c r="G224" s="25">
        <x:f>FDOE_Grades_2025_Raw!M224</x:f>
        <x:v>66</x:v>
      </x:c>
      <x:c r="H224" s="25">
        <x:f>FDOE_Grades_2025_Raw!L224</x:f>
        <x:v>53</x:v>
      </x:c>
      <x:c r="I224" s="25">
        <x:f>FDOE_Grades_2025_Raw!Q224</x:f>
        <x:v>0</x:v>
      </x:c>
      <x:c r="J224" s="25">
        <x:f>FDOE_Grades_2025_Raw!R224</x:f>
        <x:v>0</x:v>
      </x:c>
      <x:c r="K224" s="25">
        <x:f>IF($A224="","",ROUND((Scoring_Model!$B$9*($E224/4)*100)+(Scoring_Model!$B$10*$F224)+(Scoring_Model!$B$11*$G224)+(Scoring_Model!$B$12*$H224)+(Scoring_Model!$B$13*IF($I224="",0,$I224))+(Scoring_Model!$B$14*IF($J224="",0,$J224)),1))</x:f>
        <x:v>61.2</x:v>
      </x:c>
      <x:c r="L224" s="20" t="inlineStr">
        <x:is>
          <x:t xml:space="preserve">https://www.fldoe.org/file/18534/SchoolGrades25.xlsx</x:t>
        </x:is>
      </x:c>
      <x:c r="M224" s="20" t="inlineStr">
        <x:is>
          <x:t xml:space="preserve">School type Elementary; growth field currently uses official ELA learning gains in this starter model.</x:t>
        </x:is>
      </x:c>
    </x:row>
    <x:row r="225">
      <x:c r="A225" s="20" t="str">
        <x:f>FDOE_Grades_2025_Raw!A225</x:f>
        <x:v>531791</x:v>
      </x:c>
      <x:c r="B225" s="20" t="str">
        <x:f>FDOE_Grades_2025_Raw!E225</x:f>
        <x:v>HAINES CITY SENIOR HIGH SCHOOL</x:v>
      </x:c>
      <x:c r="C225" s="20" t="n">
        <x:v>2025</x:v>
      </x:c>
      <x:c r="D225" s="20" t="str">
        <x:f>FDOE_Grades_2025_Raw!W225</x:f>
        <x:v>C</x:v>
      </x:c>
      <x:c r="E225" s="25">
        <x:f>IF(D225="A",4,IF(D225="B",3,IF(D225="C",2,IF(D225="D",1,IF(D225="F",0,"")))))</x:f>
        <x:v>2</x:v>
      </x:c>
      <x:c r="F225" s="25">
        <x:f>FDOE_Grades_2025_Raw!K225</x:f>
        <x:v>46</x:v>
      </x:c>
      <x:c r="G225" s="25">
        <x:f>FDOE_Grades_2025_Raw!M225</x:f>
        <x:v>31</x:v>
      </x:c>
      <x:c r="H225" s="25">
        <x:f>FDOE_Grades_2025_Raw!L225</x:f>
        <x:v>55</x:v>
      </x:c>
      <x:c r="I225" s="25">
        <x:f>FDOE_Grades_2025_Raw!Q225</x:f>
        <x:v>81</x:v>
      </x:c>
      <x:c r="J225" s="25">
        <x:f>FDOE_Grades_2025_Raw!R225</x:f>
        <x:v>47</x:v>
      </x:c>
      <x:c r="K225" s="25">
        <x:f>IF($A225="","",ROUND((Scoring_Model!$B$9*($E225/4)*100)+(Scoring_Model!$B$10*$F225)+(Scoring_Model!$B$11*$G225)+(Scoring_Model!$B$12*$H225)+(Scoring_Model!$B$13*IF($I225="",0,$I225))+(Scoring_Model!$B$14*IF($J225="",0,$J225)),1))</x:f>
        <x:v>49.2</x:v>
      </x:c>
      <x:c r="L225" s="20" t="inlineStr">
        <x:is>
          <x:t xml:space="preserve">https://www.fldoe.org/file/18534/SchoolGrades25.xlsx</x:t>
        </x:is>
      </x:c>
      <x:c r="M225" s="20" t="inlineStr">
        <x:is>
          <x:t xml:space="preserve">School type Senior High; growth field currently uses official ELA learning gains in this starter model.</x:t>
        </x:is>
      </x:c>
    </x:row>
    <x:row r="226">
      <x:c r="A226" s="20" t="str">
        <x:f>FDOE_Grades_2025_Raw!A226</x:f>
        <x:v>531801</x:v>
      </x:c>
      <x:c r="B226" s="20" t="str">
        <x:f>FDOE_Grades_2025_Raw!E226</x:f>
        <x:v>FROSTPROOF MIDDLE/SENIOR HIGH</x:v>
      </x:c>
      <x:c r="C226" s="20" t="n">
        <x:v>2025</x:v>
      </x:c>
      <x:c r="D226" s="20" t="str">
        <x:f>FDOE_Grades_2025_Raw!W226</x:f>
        <x:v>B</x:v>
      </x:c>
      <x:c r="E226" s="25">
        <x:f>IF(D226="A",4,IF(D226="B",3,IF(D226="C",2,IF(D226="D",1,IF(D226="F",0,"")))))</x:f>
        <x:v>3</x:v>
      </x:c>
      <x:c r="F226" s="25">
        <x:f>FDOE_Grades_2025_Raw!K226</x:f>
        <x:v>47</x:v>
      </x:c>
      <x:c r="G226" s="25">
        <x:f>FDOE_Grades_2025_Raw!M226</x:f>
        <x:v>44</x:v>
      </x:c>
      <x:c r="H226" s="25">
        <x:f>FDOE_Grades_2025_Raw!L226</x:f>
        <x:v>50</x:v>
      </x:c>
      <x:c r="I226" s="25">
        <x:f>FDOE_Grades_2025_Raw!Q226</x:f>
        <x:v>90</x:v>
      </x:c>
      <x:c r="J226" s="25">
        <x:f>FDOE_Grades_2025_Raw!R226</x:f>
        <x:v>72</x:v>
      </x:c>
      <x:c r="K226" s="25">
        <x:f>IF($A226="","",ROUND((Scoring_Model!$B$9*($E226/4)*100)+(Scoring_Model!$B$10*$F226)+(Scoring_Model!$B$11*$G226)+(Scoring_Model!$B$12*$H226)+(Scoring_Model!$B$13*IF($I226="",0,$I226))+(Scoring_Model!$B$14*IF($J226="",0,$J226)),1))</x:f>
        <x:v>64.4</x:v>
      </x:c>
      <x:c r="L226" s="20" t="inlineStr">
        <x:is>
          <x:t xml:space="preserve">https://www.fldoe.org/file/18534/SchoolGrades25.xlsx</x:t>
        </x:is>
      </x:c>
      <x:c r="M226" s="20" t="inlineStr">
        <x:is>
          <x:t xml:space="preserve">School type Combination; growth field currently uses official ELA learning gains in this starter model.</x:t>
        </x:is>
      </x:c>
    </x:row>
    <x:row r="227">
      <x:c r="A227" s="20" t="str">
        <x:f>FDOE_Grades_2025_Raw!A227</x:f>
        <x:v>531811</x:v>
      </x:c>
      <x:c r="B227" s="20" t="str">
        <x:f>FDOE_Grades_2025_Raw!E227</x:f>
        <x:v>CLARENCE BOSWELL ELEMENTARY SCHOOL</x:v>
      </x:c>
      <x:c r="C227" s="20" t="n">
        <x:v>2025</x:v>
      </x:c>
      <x:c r="D227" s="20" t="str">
        <x:f>FDOE_Grades_2025_Raw!W227</x:f>
        <x:v>B</x:v>
      </x:c>
      <x:c r="E227" s="25">
        <x:f>IF(D227="A",4,IF(D227="B",3,IF(D227="C",2,IF(D227="D",1,IF(D227="F",0,"")))))</x:f>
        <x:v>3</x:v>
      </x:c>
      <x:c r="F227" s="25">
        <x:f>FDOE_Grades_2025_Raw!K227</x:f>
        <x:v>54</x:v>
      </x:c>
      <x:c r="G227" s="25">
        <x:f>FDOE_Grades_2025_Raw!M227</x:f>
        <x:v>62</x:v>
      </x:c>
      <x:c r="H227" s="25">
        <x:f>FDOE_Grades_2025_Raw!L227</x:f>
        <x:v>58</x:v>
      </x:c>
      <x:c r="I227" s="25">
        <x:f>FDOE_Grades_2025_Raw!Q227</x:f>
        <x:v>0</x:v>
      </x:c>
      <x:c r="J227" s="25">
        <x:f>FDOE_Grades_2025_Raw!R227</x:f>
        <x:v>0</x:v>
      </x:c>
      <x:c r="K227" s="25">
        <x:f>IF($A227="","",ROUND((Scoring_Model!$B$9*($E227/4)*100)+(Scoring_Model!$B$10*$F227)+(Scoring_Model!$B$11*$G227)+(Scoring_Model!$B$12*$H227)+(Scoring_Model!$B$13*IF($I227="",0,$I227))+(Scoring_Model!$B$14*IF($J227="",0,$J227)),1))</x:f>
        <x:v>60.3</x:v>
      </x:c>
      <x:c r="L227" s="20" t="inlineStr">
        <x:is>
          <x:t xml:space="preserve">https://www.fldoe.org/file/18534/SchoolGrades25.xlsx</x:t>
        </x:is>
      </x:c>
      <x:c r="M227" s="20" t="inlineStr">
        <x:is>
          <x:t xml:space="preserve">School type Elementary; growth field currently uses official ELA learning gains in this starter model.</x:t>
        </x:is>
      </x:c>
    </x:row>
    <x:row r="228">
      <x:c r="A228" s="20" t="str">
        <x:f>FDOE_Grades_2025_Raw!A228</x:f>
        <x:v>531821</x:v>
      </x:c>
      <x:c r="B228" s="20" t="str">
        <x:f>FDOE_Grades_2025_Raw!E228</x:f>
        <x:v>JAMES W. SIKES ELEMENTARY SCHOOL</x:v>
      </x:c>
      <x:c r="C228" s="20" t="n">
        <x:v>2025</x:v>
      </x:c>
      <x:c r="D228" s="20" t="str">
        <x:f>FDOE_Grades_2025_Raw!W228</x:f>
        <x:v>C</x:v>
      </x:c>
      <x:c r="E228" s="25">
        <x:f>IF(D228="A",4,IF(D228="B",3,IF(D228="C",2,IF(D228="D",1,IF(D228="F",0,"")))))</x:f>
        <x:v>2</x:v>
      </x:c>
      <x:c r="F228" s="25">
        <x:f>FDOE_Grades_2025_Raw!K228</x:f>
        <x:v>60</x:v>
      </x:c>
      <x:c r="G228" s="25">
        <x:f>FDOE_Grades_2025_Raw!M228</x:f>
        <x:v>57</x:v>
      </x:c>
      <x:c r="H228" s="25">
        <x:f>FDOE_Grades_2025_Raw!L228</x:f>
        <x:v>54</x:v>
      </x:c>
      <x:c r="I228" s="25">
        <x:f>FDOE_Grades_2025_Raw!Q228</x:f>
        <x:v>0</x:v>
      </x:c>
      <x:c r="J228" s="25">
        <x:f>FDOE_Grades_2025_Raw!R228</x:f>
        <x:v>0</x:v>
      </x:c>
      <x:c r="K228" s="25">
        <x:f>IF($A228="","",ROUND((Scoring_Model!$B$9*($E228/4)*100)+(Scoring_Model!$B$10*$F228)+(Scoring_Model!$B$11*$G228)+(Scoring_Model!$B$12*$H228)+(Scoring_Model!$B$13*IF($I228="",0,$I228))+(Scoring_Model!$B$14*IF($J228="",0,$J228)),1))</x:f>
        <x:v>48.1</x:v>
      </x:c>
      <x:c r="L228" s="20" t="inlineStr">
        <x:is>
          <x:t xml:space="preserve">https://www.fldoe.org/file/18534/SchoolGrades25.xlsx</x:t>
        </x:is>
      </x:c>
      <x:c r="M228" s="20" t="inlineStr">
        <x:is>
          <x:t xml:space="preserve">School type Elementary; growth field currently uses official ELA learning gains in this starter model.</x:t>
        </x:is>
      </x:c>
    </x:row>
    <x:row r="229">
      <x:c r="A229" s="20" t="str">
        <x:f>FDOE_Grades_2025_Raw!A229</x:f>
        <x:v>531831</x:v>
      </x:c>
      <x:c r="B229" s="20" t="str">
        <x:f>FDOE_Grades_2025_Raw!E229</x:f>
        <x:v>LAKE MARION CREEK MIDDLE SCHOOL</x:v>
      </x:c>
      <x:c r="C229" s="20" t="n">
        <x:v>2025</x:v>
      </x:c>
      <x:c r="D229" s="20" t="str">
        <x:f>FDOE_Grades_2025_Raw!W229</x:f>
        <x:v>C</x:v>
      </x:c>
      <x:c r="E229" s="25">
        <x:f>IF(D229="A",4,IF(D229="B",3,IF(D229="C",2,IF(D229="D",1,IF(D229="F",0,"")))))</x:f>
        <x:v>2</x:v>
      </x:c>
      <x:c r="F229" s="25">
        <x:f>FDOE_Grades_2025_Raw!K229</x:f>
        <x:v>40</x:v>
      </x:c>
      <x:c r="G229" s="25">
        <x:f>FDOE_Grades_2025_Raw!M229</x:f>
        <x:v>41</x:v>
      </x:c>
      <x:c r="H229" s="25">
        <x:f>FDOE_Grades_2025_Raw!L229</x:f>
        <x:v>50</x:v>
      </x:c>
      <x:c r="I229" s="25">
        <x:f>FDOE_Grades_2025_Raw!Q229</x:f>
        <x:v>0</x:v>
      </x:c>
      <x:c r="J229" s="25">
        <x:f>FDOE_Grades_2025_Raw!R229</x:f>
        <x:v>0</x:v>
      </x:c>
      <x:c r="K229" s="25">
        <x:f>IF($A229="","",ROUND((Scoring_Model!$B$9*($E229/4)*100)+(Scoring_Model!$B$10*$F229)+(Scoring_Model!$B$11*$G229)+(Scoring_Model!$B$12*$H229)+(Scoring_Model!$B$13*IF($I229="",0,$I229))+(Scoring_Model!$B$14*IF($J229="",0,$J229)),1))</x:f>
        <x:v>42.1</x:v>
      </x:c>
      <x:c r="L229" s="20" t="inlineStr">
        <x:is>
          <x:t xml:space="preserve">https://www.fldoe.org/file/18534/SchoolGrades25.xlsx</x:t>
        </x:is>
      </x:c>
      <x:c r="M229" s="20" t="inlineStr">
        <x:is>
          <x:t xml:space="preserve">School type Middle/Junior; growth field currently uses official ELA learning gains in this starter model.</x:t>
        </x:is>
      </x:c>
    </x:row>
    <x:row r="230">
      <x:c r="A230" s="20" t="str">
        <x:f>FDOE_Grades_2025_Raw!A230</x:f>
        <x:v>531841</x:v>
      </x:c>
      <x:c r="B230" s="20" t="str">
        <x:f>FDOE_Grades_2025_Raw!E230</x:f>
        <x:v>R. CLEM CHURCHWELL ELEMENTARY SCHOOL</x:v>
      </x:c>
      <x:c r="C230" s="20" t="n">
        <x:v>2025</x:v>
      </x:c>
      <x:c r="D230" s="20" t="str">
        <x:f>FDOE_Grades_2025_Raw!W230</x:f>
        <x:v>C</x:v>
      </x:c>
      <x:c r="E230" s="25">
        <x:f>IF(D230="A",4,IF(D230="B",3,IF(D230="C",2,IF(D230="D",1,IF(D230="F",0,"")))))</x:f>
        <x:v>2</x:v>
      </x:c>
      <x:c r="F230" s="25">
        <x:f>FDOE_Grades_2025_Raw!K230</x:f>
        <x:v>46</x:v>
      </x:c>
      <x:c r="G230" s="25">
        <x:f>FDOE_Grades_2025_Raw!M230</x:f>
        <x:v>40</x:v>
      </x:c>
      <x:c r="H230" s="25">
        <x:f>FDOE_Grades_2025_Raw!L230</x:f>
        <x:v>45</x:v>
      </x:c>
      <x:c r="I230" s="25">
        <x:f>FDOE_Grades_2025_Raw!Q230</x:f>
        <x:v>0</x:v>
      </x:c>
      <x:c r="J230" s="25">
        <x:f>FDOE_Grades_2025_Raw!R230</x:f>
        <x:v>0</x:v>
      </x:c>
      <x:c r="K230" s="25">
        <x:f>IF($A230="","",ROUND((Scoring_Model!$B$9*($E230/4)*100)+(Scoring_Model!$B$10*$F230)+(Scoring_Model!$B$11*$G230)+(Scoring_Model!$B$12*$H230)+(Scoring_Model!$B$13*IF($I230="",0,$I230))+(Scoring_Model!$B$14*IF($J230="",0,$J230)),1))</x:f>
        <x:v>42.7</x:v>
      </x:c>
      <x:c r="L230" s="20" t="inlineStr">
        <x:is>
          <x:t xml:space="preserve">https://www.fldoe.org/file/18534/SchoolGrades25.xlsx</x:t>
        </x:is>
      </x:c>
      <x:c r="M230" s="20" t="inlineStr">
        <x:is>
          <x:t xml:space="preserve">School type Elementary; growth field currently uses official ELA learning gains in this starter model.</x:t>
        </x:is>
      </x:c>
    </x:row>
    <x:row r="231">
      <x:c r="A231" s="20" t="str">
        <x:f>FDOE_Grades_2025_Raw!A231</x:f>
        <x:v>531851</x:v>
      </x:c>
      <x:c r="B231" s="20" t="str">
        <x:f>FDOE_Grades_2025_Raw!E231</x:f>
        <x:v>DR. NE ROBERTS ELEMENTARY SCHOOL</x:v>
      </x:c>
      <x:c r="C231" s="20" t="n">
        <x:v>2025</x:v>
      </x:c>
      <x:c r="D231" s="20" t="str">
        <x:f>FDOE_Grades_2025_Raw!W231</x:f>
        <x:v>C</x:v>
      </x:c>
      <x:c r="E231" s="25">
        <x:f>IF(D231="A",4,IF(D231="B",3,IF(D231="C",2,IF(D231="D",1,IF(D231="F",0,"")))))</x:f>
        <x:v>2</x:v>
      </x:c>
      <x:c r="F231" s="25">
        <x:f>FDOE_Grades_2025_Raw!K231</x:f>
        <x:v>45</x:v>
      </x:c>
      <x:c r="G231" s="25">
        <x:f>FDOE_Grades_2025_Raw!M231</x:f>
        <x:v>45</x:v>
      </x:c>
      <x:c r="H231" s="25">
        <x:f>FDOE_Grades_2025_Raw!L231</x:f>
        <x:v>47</x:v>
      </x:c>
      <x:c r="I231" s="25">
        <x:f>FDOE_Grades_2025_Raw!Q231</x:f>
        <x:v>0</x:v>
      </x:c>
      <x:c r="J231" s="25">
        <x:f>FDOE_Grades_2025_Raw!R231</x:f>
        <x:v>0</x:v>
      </x:c>
      <x:c r="K231" s="25">
        <x:f>IF($A231="","",ROUND((Scoring_Model!$B$9*($E231/4)*100)+(Scoring_Model!$B$10*$F231)+(Scoring_Model!$B$11*$G231)+(Scoring_Model!$B$12*$H231)+(Scoring_Model!$B$13*IF($I231="",0,$I231))+(Scoring_Model!$B$14*IF($J231="",0,$J231)),1))</x:f>
        <x:v>43.2</x:v>
      </x:c>
      <x:c r="L231" s="20" t="inlineStr">
        <x:is>
          <x:t xml:space="preserve">https://www.fldoe.org/file/18534/SchoolGrades25.xlsx</x:t>
        </x:is>
      </x:c>
      <x:c r="M231" s="20" t="inlineStr">
        <x:is>
          <x:t xml:space="preserve">School type Elementary; growth field currently uses official ELA learning gains in this starter model.</x:t>
        </x:is>
      </x:c>
    </x:row>
    <x:row r="232">
      <x:c r="A232" s="20" t="str">
        <x:f>FDOE_Grades_2025_Raw!A232</x:f>
        <x:v>531861</x:v>
      </x:c>
      <x:c r="B232" s="20" t="str">
        <x:f>FDOE_Grades_2025_Raw!E232</x:f>
        <x:v>ROSABELLE W. BLAKE ACADEMY</x:v>
      </x:c>
      <x:c r="C232" s="20" t="n">
        <x:v>2025</x:v>
      </x:c>
      <x:c r="D232" s="20" t="str">
        <x:f>FDOE_Grades_2025_Raw!W232</x:f>
        <x:v>C</x:v>
      </x:c>
      <x:c r="E232" s="25">
        <x:f>IF(D232="A",4,IF(D232="B",3,IF(D232="C",2,IF(D232="D",1,IF(D232="F",0,"")))))</x:f>
        <x:v>2</x:v>
      </x:c>
      <x:c r="F232" s="25">
        <x:f>FDOE_Grades_2025_Raw!K232</x:f>
        <x:v>41</x:v>
      </x:c>
      <x:c r="G232" s="25">
        <x:f>FDOE_Grades_2025_Raw!M232</x:f>
        <x:v>46</x:v>
      </x:c>
      <x:c r="H232" s="25">
        <x:f>FDOE_Grades_2025_Raw!L232</x:f>
        <x:v>50</x:v>
      </x:c>
      <x:c r="I232" s="25">
        <x:f>FDOE_Grades_2025_Raw!Q232</x:f>
        <x:v>0</x:v>
      </x:c>
      <x:c r="J232" s="25">
        <x:f>FDOE_Grades_2025_Raw!R232</x:f>
        <x:v>0</x:v>
      </x:c>
      <x:c r="K232" s="25">
        <x:f>IF($A232="","",ROUND((Scoring_Model!$B$9*($E232/4)*100)+(Scoring_Model!$B$10*$F232)+(Scoring_Model!$B$11*$G232)+(Scoring_Model!$B$12*$H232)+(Scoring_Model!$B$13*IF($I232="",0,$I232))+(Scoring_Model!$B$14*IF($J232="",0,$J232)),1))</x:f>
        <x:v>42.8</x:v>
      </x:c>
      <x:c r="L232" s="20" t="inlineStr">
        <x:is>
          <x:t xml:space="preserve">https://www.fldoe.org/file/18534/SchoolGrades25.xlsx</x:t>
        </x:is>
      </x:c>
      <x:c r="M232" s="20" t="inlineStr">
        <x:is>
          <x:t xml:space="preserve">School type Combination; growth field currently uses official ELA learning gains in this starter model.</x:t>
        </x:is>
      </x:c>
    </x:row>
    <x:row r="233">
      <x:c r="A233" s="20" t="str">
        <x:f>FDOE_Grades_2025_Raw!A233</x:f>
        <x:v>531881</x:v>
      </x:c>
      <x:c r="B233" s="20" t="str">
        <x:f>FDOE_Grades_2025_Raw!E233</x:f>
        <x:v>WENDELL WATSON ELEMENTARY SCHOOL</x:v>
      </x:c>
      <x:c r="C233" s="20" t="n">
        <x:v>2025</x:v>
      </x:c>
      <x:c r="D233" s="20" t="str">
        <x:f>FDOE_Grades_2025_Raw!W233</x:f>
        <x:v>C</x:v>
      </x:c>
      <x:c r="E233" s="25">
        <x:f>IF(D233="A",4,IF(D233="B",3,IF(D233="C",2,IF(D233="D",1,IF(D233="F",0,"")))))</x:f>
        <x:v>2</x:v>
      </x:c>
      <x:c r="F233" s="25">
        <x:f>FDOE_Grades_2025_Raw!K233</x:f>
        <x:v>46</x:v>
      </x:c>
      <x:c r="G233" s="25">
        <x:f>FDOE_Grades_2025_Raw!M233</x:f>
        <x:v>47</x:v>
      </x:c>
      <x:c r="H233" s="25">
        <x:f>FDOE_Grades_2025_Raw!L233</x:f>
        <x:v>51</x:v>
      </x:c>
      <x:c r="I233" s="25">
        <x:f>FDOE_Grades_2025_Raw!Q233</x:f>
        <x:v>0</x:v>
      </x:c>
      <x:c r="J233" s="25">
        <x:f>FDOE_Grades_2025_Raw!R233</x:f>
        <x:v>0</x:v>
      </x:c>
      <x:c r="K233" s="25">
        <x:f>IF($A233="","",ROUND((Scoring_Model!$B$9*($E233/4)*100)+(Scoring_Model!$B$10*$F233)+(Scoring_Model!$B$11*$G233)+(Scoring_Model!$B$12*$H233)+(Scoring_Model!$B$13*IF($I233="",0,$I233))+(Scoring_Model!$B$14*IF($J233="",0,$J233)),1))</x:f>
        <x:v>44</x:v>
      </x:c>
      <x:c r="L233" s="20" t="inlineStr">
        <x:is>
          <x:t xml:space="preserve">https://www.fldoe.org/file/18534/SchoolGrades25.xlsx</x:t>
        </x:is>
      </x:c>
      <x:c r="M233" s="20" t="inlineStr">
        <x:is>
          <x:t xml:space="preserve">School type Elementary; growth field currently uses official ELA learning gains in this starter model.</x:t>
        </x:is>
      </x:c>
    </x:row>
    <x:row r="234">
      <x:c r="A234" s="20" t="str">
        <x:f>FDOE_Grades_2025_Raw!A234</x:f>
        <x:v>531891</x:v>
      </x:c>
      <x:c r="B234" s="20" t="str">
        <x:f>FDOE_Grades_2025_Raw!E234</x:f>
        <x:v>VALLEYVIEW ELEMENTARY SCHOOL</x:v>
      </x:c>
      <x:c r="C234" s="20" t="n">
        <x:v>2025</x:v>
      </x:c>
      <x:c r="D234" s="20" t="str">
        <x:f>FDOE_Grades_2025_Raw!W234</x:f>
        <x:v>A</x:v>
      </x:c>
      <x:c r="E234" s="25">
        <x:f>IF(D234="A",4,IF(D234="B",3,IF(D234="C",2,IF(D234="D",1,IF(D234="F",0,"")))))</x:f>
        <x:v>4</x:v>
      </x:c>
      <x:c r="F234" s="25">
        <x:f>FDOE_Grades_2025_Raw!K234</x:f>
        <x:v>69</x:v>
      </x:c>
      <x:c r="G234" s="25">
        <x:f>FDOE_Grades_2025_Raw!M234</x:f>
        <x:v>79</x:v>
      </x:c>
      <x:c r="H234" s="25">
        <x:f>FDOE_Grades_2025_Raw!L234</x:f>
        <x:v>58</x:v>
      </x:c>
      <x:c r="I234" s="25">
        <x:f>FDOE_Grades_2025_Raw!Q234</x:f>
        <x:v>0</x:v>
      </x:c>
      <x:c r="J234" s="25">
        <x:f>FDOE_Grades_2025_Raw!R234</x:f>
        <x:v>0</x:v>
      </x:c>
      <x:c r="K234" s="25">
        <x:f>IF($A234="","",ROUND((Scoring_Model!$B$9*($E234/4)*100)+(Scoring_Model!$B$10*$F234)+(Scoring_Model!$B$11*$G234)+(Scoring_Model!$B$12*$H234)+(Scoring_Model!$B$13*IF($I234="",0,$I234))+(Scoring_Model!$B$14*IF($J234="",0,$J234)),1))</x:f>
        <x:v>77.5</x:v>
      </x:c>
      <x:c r="L234" s="20" t="inlineStr">
        <x:is>
          <x:t xml:space="preserve">https://www.fldoe.org/file/18534/SchoolGrades25.xlsx</x:t>
        </x:is>
      </x:c>
      <x:c r="M234" s="20" t="inlineStr">
        <x:is>
          <x:t xml:space="preserve">School type Elementary; growth field currently uses official ELA learning gains in this starter model.</x:t>
        </x:is>
      </x:c>
    </x:row>
    <x:row r="235">
      <x:c r="A235" s="20" t="str">
        <x:f>FDOE_Grades_2025_Raw!A235</x:f>
        <x:v>531901</x:v>
      </x:c>
      <x:c r="B235" s="20" t="str">
        <x:f>FDOE_Grades_2025_Raw!E235</x:f>
        <x:v>SOCRUM ELEMENTARY SCHOOL</x:v>
      </x:c>
      <x:c r="C235" s="20" t="n">
        <x:v>2025</x:v>
      </x:c>
      <x:c r="D235" s="20" t="str">
        <x:f>FDOE_Grades_2025_Raw!W235</x:f>
        <x:v>B</x:v>
      </x:c>
      <x:c r="E235" s="25">
        <x:f>IF(D235="A",4,IF(D235="B",3,IF(D235="C",2,IF(D235="D",1,IF(D235="F",0,"")))))</x:f>
        <x:v>3</x:v>
      </x:c>
      <x:c r="F235" s="25">
        <x:f>FDOE_Grades_2025_Raw!K235</x:f>
        <x:v>38</x:v>
      </x:c>
      <x:c r="G235" s="25">
        <x:f>FDOE_Grades_2025_Raw!M235</x:f>
        <x:v>56</x:v>
      </x:c>
      <x:c r="H235" s="25">
        <x:f>FDOE_Grades_2025_Raw!L235</x:f>
        <x:v>61</x:v>
      </x:c>
      <x:c r="I235" s="25">
        <x:f>FDOE_Grades_2025_Raw!Q235</x:f>
        <x:v>0</x:v>
      </x:c>
      <x:c r="J235" s="25">
        <x:f>FDOE_Grades_2025_Raw!R235</x:f>
        <x:v>0</x:v>
      </x:c>
      <x:c r="K235" s="25">
        <x:f>IF($A235="","",ROUND((Scoring_Model!$B$9*($E235/4)*100)+(Scoring_Model!$B$10*$F235)+(Scoring_Model!$B$11*$G235)+(Scoring_Model!$B$12*$H235)+(Scoring_Model!$B$13*IF($I235="",0,$I235))+(Scoring_Model!$B$14*IF($J235="",0,$J235)),1))</x:f>
        <x:v>56.8</x:v>
      </x:c>
      <x:c r="L235" s="20" t="inlineStr">
        <x:is>
          <x:t xml:space="preserve">https://www.fldoe.org/file/18534/SchoolGrades25.xlsx</x:t>
        </x:is>
      </x:c>
      <x:c r="M235" s="20" t="inlineStr">
        <x:is>
          <x:t xml:space="preserve">School type Elementary; growth field currently uses official ELA learning gains in this starter model.</x:t>
        </x:is>
      </x:c>
    </x:row>
    <x:row r="236">
      <x:c r="A236" s="20" t="str">
        <x:f>FDOE_Grades_2025_Raw!A236</x:f>
        <x:v>531908</x:v>
      </x:c>
      <x:c r="B236" s="20" t="str">
        <x:f>FDOE_Grades_2025_Raw!E236</x:f>
        <x:v>SPESSARD L HOLLAND ELEMENTARY</x:v>
      </x:c>
      <x:c r="C236" s="20" t="n">
        <x:v>2025</x:v>
      </x:c>
      <x:c r="D236" s="20" t="str">
        <x:f>FDOE_Grades_2025_Raw!W236</x:f>
        <x:v>C</x:v>
      </x:c>
      <x:c r="E236" s="25">
        <x:f>IF(D236="A",4,IF(D236="B",3,IF(D236="C",2,IF(D236="D",1,IF(D236="F",0,"")))))</x:f>
        <x:v>2</x:v>
      </x:c>
      <x:c r="F236" s="25">
        <x:f>FDOE_Grades_2025_Raw!K236</x:f>
        <x:v>52</x:v>
      </x:c>
      <x:c r="G236" s="25">
        <x:f>FDOE_Grades_2025_Raw!M236</x:f>
        <x:v>50</x:v>
      </x:c>
      <x:c r="H236" s="25">
        <x:f>FDOE_Grades_2025_Raw!L236</x:f>
        <x:v>60</x:v>
      </x:c>
      <x:c r="I236" s="25">
        <x:f>FDOE_Grades_2025_Raw!Q236</x:f>
        <x:v>0</x:v>
      </x:c>
      <x:c r="J236" s="25">
        <x:f>FDOE_Grades_2025_Raw!R236</x:f>
        <x:v>0</x:v>
      </x:c>
      <x:c r="K236" s="25">
        <x:f>IF($A236="","",ROUND((Scoring_Model!$B$9*($E236/4)*100)+(Scoring_Model!$B$10*$F236)+(Scoring_Model!$B$11*$G236)+(Scoring_Model!$B$12*$H236)+(Scoring_Model!$B$13*IF($I236="",0,$I236))+(Scoring_Model!$B$14*IF($J236="",0,$J236)),1))</x:f>
        <x:v>46.4</x:v>
      </x:c>
      <x:c r="L236" s="20" t="inlineStr">
        <x:is>
          <x:t xml:space="preserve">https://www.fldoe.org/file/18534/SchoolGrades25.xlsx</x:t>
        </x:is>
      </x:c>
      <x:c r="M236" s="20" t="inlineStr">
        <x:is>
          <x:t xml:space="preserve">School type Elementary; growth field currently uses official ELA learning gains in this starter model.</x:t>
        </x:is>
      </x:c>
    </x:row>
    <x:row r="237">
      <x:c r="A237" s="20" t="str">
        <x:f>FDOE_Grades_2025_Raw!A237</x:f>
        <x:v>531921</x:v>
      </x:c>
      <x:c r="B237" s="20" t="str">
        <x:f>FDOE_Grades_2025_Raw!E237</x:f>
        <x:v>FROSTPROOF BEN HILL GRIFFIN, JR ELEMENTARY SCHOOL</x:v>
      </x:c>
      <x:c r="C237" s="20" t="n">
        <x:v>2025</x:v>
      </x:c>
      <x:c r="D237" s="20" t="str">
        <x:f>FDOE_Grades_2025_Raw!W237</x:f>
        <x:v>C</x:v>
      </x:c>
      <x:c r="E237" s="25">
        <x:f>IF(D237="A",4,IF(D237="B",3,IF(D237="C",2,IF(D237="D",1,IF(D237="F",0,"")))))</x:f>
        <x:v>2</x:v>
      </x:c>
      <x:c r="F237" s="25">
        <x:f>FDOE_Grades_2025_Raw!K237</x:f>
        <x:v>46</x:v>
      </x:c>
      <x:c r="G237" s="25">
        <x:f>FDOE_Grades_2025_Raw!M237</x:f>
        <x:v>51</x:v>
      </x:c>
      <x:c r="H237" s="25">
        <x:f>FDOE_Grades_2025_Raw!L237</x:f>
        <x:v>52</x:v>
      </x:c>
      <x:c r="I237" s="25">
        <x:f>FDOE_Grades_2025_Raw!Q237</x:f>
        <x:v>0</x:v>
      </x:c>
      <x:c r="J237" s="25">
        <x:f>FDOE_Grades_2025_Raw!R237</x:f>
        <x:v>0</x:v>
      </x:c>
      <x:c r="K237" s="25">
        <x:f>IF($A237="","",ROUND((Scoring_Model!$B$9*($E237/4)*100)+(Scoring_Model!$B$10*$F237)+(Scoring_Model!$B$11*$G237)+(Scoring_Model!$B$12*$H237)+(Scoring_Model!$B$13*IF($I237="",0,$I237))+(Scoring_Model!$B$14*IF($J237="",0,$J237)),1))</x:f>
        <x:v>44.5</x:v>
      </x:c>
      <x:c r="L237" s="20" t="inlineStr">
        <x:is>
          <x:t xml:space="preserve">https://www.fldoe.org/file/18534/SchoolGrades25.xlsx</x:t>
        </x:is>
      </x:c>
      <x:c r="M237" s="20" t="inlineStr">
        <x:is>
          <x:t xml:space="preserve">School type Elementary; growth field currently uses official ELA learning gains in this starter model.</x:t>
        </x:is>
      </x:c>
    </x:row>
    <x:row r="238">
      <x:c r="A238" s="20" t="str">
        <x:f>FDOE_Grades_2025_Raw!A238</x:f>
        <x:v>531931</x:v>
      </x:c>
      <x:c r="B238" s="20" t="str">
        <x:f>FDOE_Grades_2025_Raw!E238</x:f>
        <x:v>GEORGE W. JENKINS SENIOR HIGH</x:v>
      </x:c>
      <x:c r="C238" s="20" t="n">
        <x:v>2025</x:v>
      </x:c>
      <x:c r="D238" s="20" t="str">
        <x:f>FDOE_Grades_2025_Raw!W238</x:f>
        <x:v>B</x:v>
      </x:c>
      <x:c r="E238" s="25">
        <x:f>IF(D238="A",4,IF(D238="B",3,IF(D238="C",2,IF(D238="D",1,IF(D238="F",0,"")))))</x:f>
        <x:v>3</x:v>
      </x:c>
      <x:c r="F238" s="25">
        <x:f>FDOE_Grades_2025_Raw!K238</x:f>
        <x:v>60</x:v>
      </x:c>
      <x:c r="G238" s="25">
        <x:f>FDOE_Grades_2025_Raw!M238</x:f>
        <x:v>35</x:v>
      </x:c>
      <x:c r="H238" s="25">
        <x:f>FDOE_Grades_2025_Raw!L238</x:f>
        <x:v>58</x:v>
      </x:c>
      <x:c r="I238" s="25">
        <x:f>FDOE_Grades_2025_Raw!Q238</x:f>
        <x:v>98</x:v>
      </x:c>
      <x:c r="J238" s="25">
        <x:f>FDOE_Grades_2025_Raw!R238</x:f>
        <x:v>80</x:v>
      </x:c>
      <x:c r="K238" s="25">
        <x:f>IF($A238="","",ROUND((Scoring_Model!$B$9*($E238/4)*100)+(Scoring_Model!$B$10*$F238)+(Scoring_Model!$B$11*$G238)+(Scoring_Model!$B$12*$H238)+(Scoring_Model!$B$13*IF($I238="",0,$I238))+(Scoring_Model!$B$14*IF($J238="",0,$J238)),1))</x:f>
        <x:v>67.7</x:v>
      </x:c>
      <x:c r="L238" s="20" t="inlineStr">
        <x:is>
          <x:t xml:space="preserve">https://www.fldoe.org/file/18534/SchoolGrades25.xlsx</x:t>
        </x:is>
      </x:c>
      <x:c r="M238" s="20" t="inlineStr">
        <x:is>
          <x:t xml:space="preserve">School type Senior High; growth field currently uses official ELA learning gains in this starter model.</x:t>
        </x:is>
      </x:c>
    </x:row>
    <x:row r="239">
      <x:c r="A239" s="20" t="str">
        <x:f>FDOE_Grades_2025_Raw!A239</x:f>
        <x:v>531941</x:v>
      </x:c>
      <x:c r="B239" s="20" t="str">
        <x:f>FDOE_Grades_2025_Raw!E239</x:f>
        <x:v>LOUGHMAN OAKS ELEMENTARY SCHOOL</x:v>
      </x:c>
      <x:c r="C239" s="20" t="n">
        <x:v>2025</x:v>
      </x:c>
      <x:c r="D239" s="20" t="str">
        <x:f>FDOE_Grades_2025_Raw!W239</x:f>
        <x:v>C</x:v>
      </x:c>
      <x:c r="E239" s="25">
        <x:f>IF(D239="A",4,IF(D239="B",3,IF(D239="C",2,IF(D239="D",1,IF(D239="F",0,"")))))</x:f>
        <x:v>2</x:v>
      </x:c>
      <x:c r="F239" s="25">
        <x:f>FDOE_Grades_2025_Raw!K239</x:f>
        <x:v>38</x:v>
      </x:c>
      <x:c r="G239" s="25">
        <x:f>FDOE_Grades_2025_Raw!M239</x:f>
        <x:v>41</x:v>
      </x:c>
      <x:c r="H239" s="25">
        <x:f>FDOE_Grades_2025_Raw!L239</x:f>
        <x:v>47</x:v>
      </x:c>
      <x:c r="I239" s="25">
        <x:f>FDOE_Grades_2025_Raw!Q239</x:f>
        <x:v>0</x:v>
      </x:c>
      <x:c r="J239" s="25">
        <x:f>FDOE_Grades_2025_Raw!R239</x:f>
        <x:v>0</x:v>
      </x:c>
      <x:c r="K239" s="25">
        <x:f>IF($A239="","",ROUND((Scoring_Model!$B$9*($E239/4)*100)+(Scoring_Model!$B$10*$F239)+(Scoring_Model!$B$11*$G239)+(Scoring_Model!$B$12*$H239)+(Scoring_Model!$B$13*IF($I239="",0,$I239))+(Scoring_Model!$B$14*IF($J239="",0,$J239)),1))</x:f>
        <x:v>41.4</x:v>
      </x:c>
      <x:c r="L239" s="20" t="inlineStr">
        <x:is>
          <x:t xml:space="preserve">https://www.fldoe.org/file/18534/SchoolGrades25.xlsx</x:t>
        </x:is>
      </x:c>
      <x:c r="M239" s="20" t="inlineStr">
        <x:is>
          <x:t xml:space="preserve">School type Elementary; growth field currently uses official ELA learning gains in this starter model.</x:t>
        </x:is>
      </x:c>
    </x:row>
    <x:row r="240">
      <x:c r="A240" s="20" t="str">
        <x:f>FDOE_Grades_2025_Raw!A240</x:f>
        <x:v>531951</x:v>
      </x:c>
      <x:c r="B240" s="20" t="str">
        <x:f>FDOE_Grades_2025_Raw!E240</x:f>
        <x:v>BERKLEY ELEMENTARY SCHOOL</x:v>
      </x:c>
      <x:c r="C240" s="20" t="n">
        <x:v>2025</x:v>
      </x:c>
      <x:c r="D240" s="20" t="str">
        <x:f>FDOE_Grades_2025_Raw!W240</x:f>
        <x:v>A</x:v>
      </x:c>
      <x:c r="E240" s="25">
        <x:f>IF(D240="A",4,IF(D240="B",3,IF(D240="C",2,IF(D240="D",1,IF(D240="F",0,"")))))</x:f>
        <x:v>4</x:v>
      </x:c>
      <x:c r="F240" s="25">
        <x:f>FDOE_Grades_2025_Raw!K240</x:f>
        <x:v>76</x:v>
      </x:c>
      <x:c r="G240" s="25">
        <x:f>FDOE_Grades_2025_Raw!M240</x:f>
        <x:v>85</x:v>
      </x:c>
      <x:c r="H240" s="25">
        <x:f>FDOE_Grades_2025_Raw!L240</x:f>
        <x:v>58</x:v>
      </x:c>
      <x:c r="I240" s="25">
        <x:f>FDOE_Grades_2025_Raw!Q240</x:f>
        <x:v>0</x:v>
      </x:c>
      <x:c r="J240" s="25">
        <x:f>FDOE_Grades_2025_Raw!R240</x:f>
        <x:v>0</x:v>
      </x:c>
      <x:c r="K240" s="25">
        <x:f>IF($A240="","",ROUND((Scoring_Model!$B$9*($E240/4)*100)+(Scoring_Model!$B$10*$F240)+(Scoring_Model!$B$11*$G240)+(Scoring_Model!$B$12*$H240)+(Scoring_Model!$B$13*IF($I240="",0,$I240))+(Scoring_Model!$B$14*IF($J240="",0,$J240)),1))</x:f>
        <x:v>79.5</x:v>
      </x:c>
      <x:c r="L240" s="20" t="inlineStr">
        <x:is>
          <x:t xml:space="preserve">https://www.fldoe.org/file/18534/SchoolGrades25.xlsx</x:t>
        </x:is>
      </x:c>
      <x:c r="M240" s="20" t="inlineStr">
        <x:is>
          <x:t xml:space="preserve">School type Elementary; growth field currently uses official ELA learning gains in this starter model.</x:t>
        </x:is>
      </x:c>
    </x:row>
    <x:row r="241">
      <x:c r="A241" s="20" t="str">
        <x:f>FDOE_Grades_2025_Raw!A241</x:f>
        <x:v>531961</x:v>
      </x:c>
      <x:c r="B241" s="20" t="str">
        <x:f>FDOE_Grades_2025_Raw!E241</x:f>
        <x:v>DISCOVERY ACADEMY OF LAKE ALFRED</x:v>
      </x:c>
      <x:c r="C241" s="20" t="n">
        <x:v>2025</x:v>
      </x:c>
      <x:c r="D241" s="20" t="str">
        <x:f>FDOE_Grades_2025_Raw!W241</x:f>
        <x:v>B</x:v>
      </x:c>
      <x:c r="E241" s="25">
        <x:f>IF(D241="A",4,IF(D241="B",3,IF(D241="C",2,IF(D241="D",1,IF(D241="F",0,"")))))</x:f>
        <x:v>3</x:v>
      </x:c>
      <x:c r="F241" s="25">
        <x:f>FDOE_Grades_2025_Raw!K241</x:f>
        <x:v>57</x:v>
      </x:c>
      <x:c r="G241" s="25">
        <x:f>FDOE_Grades_2025_Raw!M241</x:f>
        <x:v>54</x:v>
      </x:c>
      <x:c r="H241" s="25">
        <x:f>FDOE_Grades_2025_Raw!L241</x:f>
        <x:v>61</x:v>
      </x:c>
      <x:c r="I241" s="25">
        <x:f>FDOE_Grades_2025_Raw!Q241</x:f>
        <x:v>0</x:v>
      </x:c>
      <x:c r="J241" s="25">
        <x:f>FDOE_Grades_2025_Raw!R241</x:f>
        <x:v>0</x:v>
      </x:c>
      <x:c r="K241" s="25">
        <x:f>IF($A241="","",ROUND((Scoring_Model!$B$9*($E241/4)*100)+(Scoring_Model!$B$10*$F241)+(Scoring_Model!$B$11*$G241)+(Scoring_Model!$B$12*$H241)+(Scoring_Model!$B$13*IF($I241="",0,$I241))+(Scoring_Model!$B$14*IF($J241="",0,$J241)),1))</x:f>
        <x:v>60.4</x:v>
      </x:c>
      <x:c r="L241" s="20" t="inlineStr">
        <x:is>
          <x:t xml:space="preserve">https://www.fldoe.org/file/18534/SchoolGrades25.xlsx</x:t>
        </x:is>
      </x:c>
      <x:c r="M241" s="20" t="inlineStr">
        <x:is>
          <x:t xml:space="preserve">School type Middle/Junior; growth field currently uses official ELA learning gains in this starter model.</x:t>
        </x:is>
      </x:c>
    </x:row>
    <x:row r="242">
      <x:c r="A242" s="20" t="str">
        <x:f>FDOE_Grades_2025_Raw!A242</x:f>
        <x:v>531971</x:v>
      </x:c>
      <x:c r="B242" s="20" t="str">
        <x:f>FDOE_Grades_2025_Raw!E242</x:f>
        <x:v>SLEEPY HILL MIDDLE SCHOOL</x:v>
      </x:c>
      <x:c r="C242" s="20" t="n">
        <x:v>2025</x:v>
      </x:c>
      <x:c r="D242" s="20" t="str">
        <x:f>FDOE_Grades_2025_Raw!W242</x:f>
        <x:v>C</x:v>
      </x:c>
      <x:c r="E242" s="25">
        <x:f>IF(D242="A",4,IF(D242="B",3,IF(D242="C",2,IF(D242="D",1,IF(D242="F",0,"")))))</x:f>
        <x:v>2</x:v>
      </x:c>
      <x:c r="F242" s="25">
        <x:f>FDOE_Grades_2025_Raw!K242</x:f>
        <x:v>29</x:v>
      </x:c>
      <x:c r="G242" s="25">
        <x:f>FDOE_Grades_2025_Raw!M242</x:f>
        <x:v>27</x:v>
      </x:c>
      <x:c r="H242" s="25">
        <x:f>FDOE_Grades_2025_Raw!L242</x:f>
        <x:v>46</x:v>
      </x:c>
      <x:c r="I242" s="25">
        <x:f>FDOE_Grades_2025_Raw!Q242</x:f>
        <x:v>0</x:v>
      </x:c>
      <x:c r="J242" s="25">
        <x:f>FDOE_Grades_2025_Raw!R242</x:f>
        <x:v>0</x:v>
      </x:c>
      <x:c r="K242" s="25">
        <x:f>IF($A242="","",ROUND((Scoring_Model!$B$9*($E242/4)*100)+(Scoring_Model!$B$10*$F242)+(Scoring_Model!$B$11*$G242)+(Scoring_Model!$B$12*$H242)+(Scoring_Model!$B$13*IF($I242="",0,$I242))+(Scoring_Model!$B$14*IF($J242="",0,$J242)),1))</x:f>
        <x:v>38.1</x:v>
      </x:c>
      <x:c r="L242" s="20" t="inlineStr">
        <x:is>
          <x:t xml:space="preserve">https://www.fldoe.org/file/18534/SchoolGrades25.xlsx</x:t>
        </x:is>
      </x:c>
      <x:c r="M242" s="20" t="inlineStr">
        <x:is>
          <x:t xml:space="preserve">School type Middle/Junior; growth field currently uses official ELA learning gains in this starter model.</x:t>
        </x:is>
      </x:c>
    </x:row>
    <x:row r="243">
      <x:c r="A243" s="20" t="str">
        <x:f>FDOE_Grades_2025_Raw!A243</x:f>
        <x:v>531981</x:v>
      </x:c>
      <x:c r="B243" s="20" t="str">
        <x:f>FDOE_Grades_2025_Raw!E243</x:f>
        <x:v>DUNDEE RIDGE MIDDLE ACADEMY</x:v>
      </x:c>
      <x:c r="C243" s="20" t="n">
        <x:v>2025</x:v>
      </x:c>
      <x:c r="D243" s="20" t="str">
        <x:f>FDOE_Grades_2025_Raw!W243</x:f>
        <x:v>B</x:v>
      </x:c>
      <x:c r="E243" s="25">
        <x:f>IF(D243="A",4,IF(D243="B",3,IF(D243="C",2,IF(D243="D",1,IF(D243="F",0,"")))))</x:f>
        <x:v>3</x:v>
      </x:c>
      <x:c r="F243" s="25">
        <x:f>FDOE_Grades_2025_Raw!K243</x:f>
        <x:v>58</x:v>
      </x:c>
      <x:c r="G243" s="25">
        <x:f>FDOE_Grades_2025_Raw!M243</x:f>
        <x:v>58</x:v>
      </x:c>
      <x:c r="H243" s="25">
        <x:f>FDOE_Grades_2025_Raw!L243</x:f>
        <x:v>57</x:v>
      </x:c>
      <x:c r="I243" s="25">
        <x:f>FDOE_Grades_2025_Raw!Q243</x:f>
        <x:v>0</x:v>
      </x:c>
      <x:c r="J243" s="25">
        <x:f>FDOE_Grades_2025_Raw!R243</x:f>
        <x:v>0</x:v>
      </x:c>
      <x:c r="K243" s="25">
        <x:f>IF($A243="","",ROUND((Scoring_Model!$B$9*($E243/4)*100)+(Scoring_Model!$B$10*$F243)+(Scoring_Model!$B$11*$G243)+(Scoring_Model!$B$12*$H243)+(Scoring_Model!$B$13*IF($I243="",0,$I243))+(Scoring_Model!$B$14*IF($J243="",0,$J243)),1))</x:f>
        <x:v>60.6</x:v>
      </x:c>
      <x:c r="L243" s="20" t="inlineStr">
        <x:is>
          <x:t xml:space="preserve">https://www.fldoe.org/file/18534/SchoolGrades25.xlsx</x:t>
        </x:is>
      </x:c>
      <x:c r="M243" s="20" t="inlineStr">
        <x:is>
          <x:t xml:space="preserve">School type Middle/Junior; growth field currently uses official ELA learning gains in this starter model.</x:t>
        </x:is>
      </x:c>
    </x:row>
    <x:row r="244">
      <x:c r="A244" s="20" t="str">
        <x:f>FDOE_Grades_2025_Raw!A244</x:f>
        <x:v>531991</x:v>
      </x:c>
      <x:c r="B244" s="20" t="str">
        <x:f>FDOE_Grades_2025_Raw!E244</x:f>
        <x:v>LAKE REGION HIGH SCHOOL</x:v>
      </x:c>
      <x:c r="C244" s="20" t="n">
        <x:v>2025</x:v>
      </x:c>
      <x:c r="D244" s="20" t="str">
        <x:f>FDOE_Grades_2025_Raw!W244</x:f>
        <x:v>C</x:v>
      </x:c>
      <x:c r="E244" s="25">
        <x:f>IF(D244="A",4,IF(D244="B",3,IF(D244="C",2,IF(D244="D",1,IF(D244="F",0,"")))))</x:f>
        <x:v>2</x:v>
      </x:c>
      <x:c r="F244" s="25">
        <x:f>FDOE_Grades_2025_Raw!K244</x:f>
        <x:v>35</x:v>
      </x:c>
      <x:c r="G244" s="25">
        <x:f>FDOE_Grades_2025_Raw!M244</x:f>
        <x:v>28</x:v>
      </x:c>
      <x:c r="H244" s="25">
        <x:f>FDOE_Grades_2025_Raw!L244</x:f>
        <x:v>45</x:v>
      </x:c>
      <x:c r="I244" s="25">
        <x:f>FDOE_Grades_2025_Raw!Q244</x:f>
        <x:v>80</x:v>
      </x:c>
      <x:c r="J244" s="25">
        <x:f>FDOE_Grades_2025_Raw!R244</x:f>
        <x:v>45</x:v>
      </x:c>
      <x:c r="K244" s="25">
        <x:f>IF($A244="","",ROUND((Scoring_Model!$B$9*($E244/4)*100)+(Scoring_Model!$B$10*$F244)+(Scoring_Model!$B$11*$G244)+(Scoring_Model!$B$12*$H244)+(Scoring_Model!$B$13*IF($I244="",0,$I244))+(Scoring_Model!$B$14*IF($J244="",0,$J244)),1))</x:f>
        <x:v>45.6</x:v>
      </x:c>
      <x:c r="L244" s="20" t="inlineStr">
        <x:is>
          <x:t xml:space="preserve">https://www.fldoe.org/file/18534/SchoolGrades25.xlsx</x:t>
        </x:is>
      </x:c>
      <x:c r="M244" s="20" t="inlineStr">
        <x:is>
          <x:t xml:space="preserve">School type Senior High; growth field currently uses official ELA learning gains in this starter model.</x:t>
        </x:is>
      </x:c>
    </x:row>
    <x:row r="245">
      <x:c r="A245" s="20" t="str">
        <x:f>FDOE_Grades_2025_Raw!A245</x:f>
        <x:v>532002</x:v>
      </x:c>
      <x:c r="B245" s="20" t="str">
        <x:f>FDOE_Grades_2025_Raw!E245</x:f>
        <x:v>DAVENPORT HIGH SCHOOL</x:v>
      </x:c>
      <x:c r="C245" s="20" t="n">
        <x:v>2025</x:v>
      </x:c>
      <x:c r="D245" s="20" t="str">
        <x:f>FDOE_Grades_2025_Raw!W245</x:f>
        <x:v>C</x:v>
      </x:c>
      <x:c r="E245" s="25">
        <x:f>IF(D245="A",4,IF(D245="B",3,IF(D245="C",2,IF(D245="D",1,IF(D245="F",0,"")))))</x:f>
        <x:v>2</x:v>
      </x:c>
      <x:c r="F245" s="25">
        <x:f>FDOE_Grades_2025_Raw!K245</x:f>
        <x:v>49</x:v>
      </x:c>
      <x:c r="G245" s="25">
        <x:f>FDOE_Grades_2025_Raw!M245</x:f>
        <x:v>27</x:v>
      </x:c>
      <x:c r="H245" s="25">
        <x:f>FDOE_Grades_2025_Raw!L245</x:f>
        <x:v>54</x:v>
      </x:c>
      <x:c r="I245" s="25">
        <x:f>FDOE_Grades_2025_Raw!Q245</x:f>
        <x:v>87</x:v>
      </x:c>
      <x:c r="J245" s="25">
        <x:f>FDOE_Grades_2025_Raw!R245</x:f>
        <x:v>58</x:v>
      </x:c>
      <x:c r="K245" s="25">
        <x:f>IF($A245="","",ROUND((Scoring_Model!$B$9*($E245/4)*100)+(Scoring_Model!$B$10*$F245)+(Scoring_Model!$B$11*$G245)+(Scoring_Model!$B$12*$H245)+(Scoring_Model!$B$13*IF($I245="",0,$I245))+(Scoring_Model!$B$14*IF($J245="",0,$J245)),1))</x:f>
        <x:v>50.2</x:v>
      </x:c>
      <x:c r="L245" s="20" t="inlineStr">
        <x:is>
          <x:t xml:space="preserve">https://www.fldoe.org/file/18534/SchoolGrades25.xlsx</x:t>
        </x:is>
      </x:c>
      <x:c r="M245" s="20" t="inlineStr">
        <x:is>
          <x:t xml:space="preserve">School type Senior High; growth field currently uses official ELA learning gains in this starter model.</x:t>
        </x:is>
      </x:c>
    </x:row>
    <x:row r="246">
      <x:c r="A246" s="20" t="str">
        <x:f>FDOE_Grades_2025_Raw!A246</x:f>
        <x:v>532003</x:v>
      </x:c>
      <x:c r="B246" s="20" t="str">
        <x:f>FDOE_Grades_2025_Raw!E246</x:f>
        <x:v>BELLA CITTA</x:v>
      </x:c>
      <x:c r="C246" s="20" t="n">
        <x:v>2025</x:v>
      </x:c>
      <x:c r="D246" s="20" t="str">
        <x:f>FDOE_Grades_2025_Raw!W246</x:f>
        <x:v>C</x:v>
      </x:c>
      <x:c r="E246" s="25">
        <x:f>IF(D246="A",4,IF(D246="B",3,IF(D246="C",2,IF(D246="D",1,IF(D246="F",0,"")))))</x:f>
        <x:v>2</x:v>
      </x:c>
      <x:c r="F246" s="25">
        <x:f>FDOE_Grades_2025_Raw!K246</x:f>
        <x:v>47</x:v>
      </x:c>
      <x:c r="G246" s="25">
        <x:f>FDOE_Grades_2025_Raw!M246</x:f>
        <x:v>46</x:v>
      </x:c>
      <x:c r="H246" s="25">
        <x:f>FDOE_Grades_2025_Raw!L246</x:f>
        <x:v>56</x:v>
      </x:c>
      <x:c r="I246" s="25">
        <x:f>FDOE_Grades_2025_Raw!Q246</x:f>
        <x:v>0</x:v>
      </x:c>
      <x:c r="J246" s="25">
        <x:f>FDOE_Grades_2025_Raw!R246</x:f>
        <x:v>0</x:v>
      </x:c>
      <x:c r="K246" s="25">
        <x:f>IF($A246="","",ROUND((Scoring_Model!$B$9*($E246/4)*100)+(Scoring_Model!$B$10*$F246)+(Scoring_Model!$B$11*$G246)+(Scoring_Model!$B$12*$H246)+(Scoring_Model!$B$13*IF($I246="",0,$I246))+(Scoring_Model!$B$14*IF($J246="",0,$J246)),1))</x:f>
        <x:v>44.6</x:v>
      </x:c>
      <x:c r="L246" s="20" t="inlineStr">
        <x:is>
          <x:t xml:space="preserve">https://www.fldoe.org/file/18534/SchoolGrades25.xlsx</x:t>
        </x:is>
      </x:c>
      <x:c r="M246" s="20" t="inlineStr">
        <x:is>
          <x:t xml:space="preserve">School type Combination; growth field currently uses official ELA learning gains in this starter model.</x:t>
        </x:is>
      </x:c>
    </x:row>
    <x:row r="247">
      <x:c r="A247" s="20" t="str">
        <x:f>FDOE_Grades_2025_Raw!A247</x:f>
        <x:v>537001</x:v>
      </x:c>
      <x:c r="B247" s="20" t="str">
        <x:f>FDOE_Grades_2025_Raw!E247</x:f>
        <x:v>K12 FLORIDA, LLC – GRADES KG-12</x:v>
      </x:c>
      <x:c r="C247" s="20" t="n">
        <x:v>2025</x:v>
      </x:c>
      <x:c r="D247" s="20" t="str">
        <x:f>FDOE_Grades_2025_Raw!W247</x:f>
        <x:v>D</x:v>
      </x:c>
      <x:c r="E247" s="25">
        <x:f>IF(D247="A",4,IF(D247="B",3,IF(D247="C",2,IF(D247="D",1,IF(D247="F",0,"")))))</x:f>
        <x:v>1</x:v>
      </x:c>
      <x:c r="F247" s="25">
        <x:f>FDOE_Grades_2025_Raw!K247</x:f>
        <x:v>45</x:v>
      </x:c>
      <x:c r="G247" s="25">
        <x:f>FDOE_Grades_2025_Raw!M247</x:f>
        <x:v>30</x:v>
      </x:c>
      <x:c r="H247" s="25">
        <x:f>FDOE_Grades_2025_Raw!L247</x:f>
        <x:v>55</x:v>
      </x:c>
      <x:c r="I247" s="25">
        <x:f>FDOE_Grades_2025_Raw!Q247</x:f>
        <x:v>0</x:v>
      </x:c>
      <x:c r="J247" s="25">
        <x:f>FDOE_Grades_2025_Raw!R247</x:f>
        <x:v>0</x:v>
      </x:c>
      <x:c r="K247" s="25">
        <x:f>IF($A247="","",ROUND((Scoring_Model!$B$9*($E247/4)*100)+(Scoring_Model!$B$10*$F247)+(Scoring_Model!$B$11*$G247)+(Scoring_Model!$B$12*$H247)+(Scoring_Model!$B$13*IF($I247="",0,$I247))+(Scoring_Model!$B$14*IF($J247="",0,$J247)),1))</x:f>
        <x:v>30</x:v>
      </x:c>
      <x:c r="L247" s="20" t="inlineStr">
        <x:is>
          <x:t xml:space="preserve">https://www.fldoe.org/file/18534/SchoolGrades25.xlsx</x:t>
        </x:is>
      </x:c>
      <x:c r="M247" s="20" t="inlineStr">
        <x:is>
          <x:t xml:space="preserve">School type Combination; growth field currently uses official ELA learning gains in this starter model.</x:t>
        </x:is>
      </x:c>
    </x:row>
    <x:row r="248">
      <x:c r="A248" s="20" t="str">
        <x:f>FDOE_Grades_2025_Raw!A248</x:f>
        <x:v>537023</x:v>
      </x:c>
      <x:c r="B248" s="20" t="str">
        <x:f>FDOE_Grades_2025_Raw!E248</x:f>
        <x:v>POLK FULL TIME ESCHOOL</x:v>
      </x:c>
      <x:c r="C248" s="20" t="n">
        <x:v>2025</x:v>
      </x:c>
      <x:c r="D248" s="20" t="str">
        <x:f>FDOE_Grades_2025_Raw!W248</x:f>
        <x:v>C</x:v>
      </x:c>
      <x:c r="E248" s="25">
        <x:f>IF(D248="A",4,IF(D248="B",3,IF(D248="C",2,IF(D248="D",1,IF(D248="F",0,"")))))</x:f>
        <x:v>2</x:v>
      </x:c>
      <x:c r="F248" s="25">
        <x:f>FDOE_Grades_2025_Raw!K248</x:f>
        <x:v>52</x:v>
      </x:c>
      <x:c r="G248" s="25">
        <x:f>FDOE_Grades_2025_Raw!M248</x:f>
        <x:v>29</x:v>
      </x:c>
      <x:c r="H248" s="25">
        <x:f>FDOE_Grades_2025_Raw!L248</x:f>
        <x:v>46</x:v>
      </x:c>
      <x:c r="I248" s="25">
        <x:f>FDOE_Grades_2025_Raw!Q248</x:f>
        <x:v>75</x:v>
      </x:c>
      <x:c r="J248" s="25">
        <x:f>FDOE_Grades_2025_Raw!R248</x:f>
        <x:v>43</x:v>
      </x:c>
      <x:c r="K248" s="25">
        <x:f>IF($A248="","",ROUND((Scoring_Model!$B$9*($E248/4)*100)+(Scoring_Model!$B$10*$F248)+(Scoring_Model!$B$11*$G248)+(Scoring_Model!$B$12*$H248)+(Scoring_Model!$B$13*IF($I248="",0,$I248))+(Scoring_Model!$B$14*IF($J248="",0,$J248)),1))</x:f>
        <x:v>48.8</x:v>
      </x:c>
      <x:c r="L248" s="20" t="inlineStr">
        <x:is>
          <x:t xml:space="preserve">https://www.fldoe.org/file/18534/SchoolGrades25.xlsx</x:t>
        </x:is>
      </x:c>
      <x:c r="M248" s="20" t="inlineStr">
        <x:is>
          <x:t xml:space="preserve">School type Combination; growth field currently uses official ELA learning gains in this starter model.</x:t>
        </x:is>
      </x:c>
    </x:row>
    <x:row r="249">
      <x:c r="A249" s="20" t="str">
        <x:f>FDOE_Grades_2025_Raw!A249</x:f>
        <x:v>538003</x:v>
      </x:c>
      <x:c r="B249" s="20" t="str">
        <x:f>FDOE_Grades_2025_Raw!E249</x:f>
        <x:v>POLK STATE LAKELAND GATEWAY TO COLLEGE COLLEGIATE HIGH SCHOOL</x:v>
      </x:c>
      <x:c r="C249" s="20" t="n">
        <x:v>2025</x:v>
      </x:c>
      <x:c r="D249" s="20" t="str">
        <x:f>FDOE_Grades_2025_Raw!W249</x:f>
        <x:v>A</x:v>
      </x:c>
      <x:c r="E249" s="25">
        <x:f>IF(D249="A",4,IF(D249="B",3,IF(D249="C",2,IF(D249="D",1,IF(D249="F",0,"")))))</x:f>
        <x:v>4</x:v>
      </x:c>
      <x:c r="F249" s="25">
        <x:f>FDOE_Grades_2025_Raw!K249</x:f>
        <x:v>0</x:v>
      </x:c>
      <x:c r="G249" s="25">
        <x:f>FDOE_Grades_2025_Raw!M249</x:f>
        <x:v>29</x:v>
      </x:c>
      <x:c r="H249" s="25">
        <x:f>FDOE_Grades_2025_Raw!L249</x:f>
        <x:v>0</x:v>
      </x:c>
      <x:c r="I249" s="25">
        <x:f>FDOE_Grades_2025_Raw!Q249</x:f>
        <x:v>96</x:v>
      </x:c>
      <x:c r="J249" s="25">
        <x:f>FDOE_Grades_2025_Raw!R249</x:f>
        <x:v>96</x:v>
      </x:c>
      <x:c r="K249" s="25">
        <x:f>IF($A249="","",ROUND((Scoring_Model!$B$9*($E249/4)*100)+(Scoring_Model!$B$10*$F249)+(Scoring_Model!$B$11*$G249)+(Scoring_Model!$B$12*$H249)+(Scoring_Model!$B$13*IF($I249="",0,$I249))+(Scoring_Model!$B$14*IF($J249="",0,$J249)),1))</x:f>
        <x:v>62.5</x:v>
      </x:c>
      <x:c r="L249" s="20" t="inlineStr">
        <x:is>
          <x:t xml:space="preserve">https://www.fldoe.org/file/18534/SchoolGrades25.xlsx</x:t>
        </x:is>
      </x:c>
      <x:c r="M249" s="20" t="inlineStr">
        <x:is>
          <x:t xml:space="preserve">School type Senior High; growth field currently uses official ELA learning gains in this starter model.</x:t>
        </x:is>
      </x:c>
    </x:row>
    <x:row r="250">
      <x:c r="A250" s="20" t="str">
        <x:f>FDOE_Grades_2025_Raw!A250</x:f>
        <x:v>538005</x:v>
      </x:c>
      <x:c r="B250" s="20" t="str">
        <x:f>FDOE_Grades_2025_Raw!E250</x:f>
        <x:v>MAGNOLIA MONTESSORI ACADEMY</x:v>
      </x:c>
      <x:c r="C250" s="20" t="n">
        <x:v>2025</x:v>
      </x:c>
      <x:c r="D250" s="20" t="str">
        <x:f>FDOE_Grades_2025_Raw!W250</x:f>
        <x:v>A</x:v>
      </x:c>
      <x:c r="E250" s="25">
        <x:f>IF(D250="A",4,IF(D250="B",3,IF(D250="C",2,IF(D250="D",1,IF(D250="F",0,"")))))</x:f>
        <x:v>4</x:v>
      </x:c>
      <x:c r="F250" s="25">
        <x:f>FDOE_Grades_2025_Raw!K250</x:f>
        <x:v>85</x:v>
      </x:c>
      <x:c r="G250" s="25">
        <x:f>FDOE_Grades_2025_Raw!M250</x:f>
        <x:v>90</x:v>
      </x:c>
      <x:c r="H250" s="25">
        <x:f>FDOE_Grades_2025_Raw!L250</x:f>
        <x:v>70</x:v>
      </x:c>
      <x:c r="I250" s="25">
        <x:f>FDOE_Grades_2025_Raw!Q250</x:f>
        <x:v>0</x:v>
      </x:c>
      <x:c r="J250" s="25">
        <x:f>FDOE_Grades_2025_Raw!R250</x:f>
        <x:v>0</x:v>
      </x:c>
      <x:c r="K250" s="25">
        <x:f>IF($A250="","",ROUND((Scoring_Model!$B$9*($E250/4)*100)+(Scoring_Model!$B$10*$F250)+(Scoring_Model!$B$11*$G250)+(Scoring_Model!$B$12*$H250)+(Scoring_Model!$B$13*IF($I250="",0,$I250))+(Scoring_Model!$B$14*IF($J250="",0,$J250)),1))</x:f>
        <x:v>83</x:v>
      </x:c>
      <x:c r="L250" s="20" t="inlineStr">
        <x:is>
          <x:t xml:space="preserve">https://www.fldoe.org/file/18534/SchoolGrades25.xlsx</x:t>
        </x:is>
      </x:c>
      <x:c r="M250" s="20" t="inlineStr">
        <x:is>
          <x:t xml:space="preserve">School type Combination; growth field currently uses official ELA learning gains in this starter model.</x:t>
        </x:is>
      </x:c>
    </x:row>
    <x:row r="251">
      <x:c r="A251" s="20" t="str">
        <x:f>FDOE_Grades_2025_Raw!A251</x:f>
        <x:v>538007</x:v>
      </x:c>
      <x:c r="B251" s="20" t="str">
        <x:f>FDOE_Grades_2025_Raw!E251</x:f>
        <x:v>NAVIGATOR ACADEMY OF LEADERSHIP DAVENPORT</x:v>
      </x:c>
      <x:c r="C251" s="20" t="n">
        <x:v>2025</x:v>
      </x:c>
      <x:c r="D251" s="20" t="str">
        <x:f>FDOE_Grades_2025_Raw!W251</x:f>
        <x:v>B</x:v>
      </x:c>
      <x:c r="E251" s="25">
        <x:f>IF(D251="A",4,IF(D251="B",3,IF(D251="C",2,IF(D251="D",1,IF(D251="F",0,"")))))</x:f>
        <x:v>3</x:v>
      </x:c>
      <x:c r="F251" s="25">
        <x:f>FDOE_Grades_2025_Raw!K251</x:f>
        <x:v>51</x:v>
      </x:c>
      <x:c r="G251" s="25">
        <x:f>FDOE_Grades_2025_Raw!M251</x:f>
        <x:v>54</x:v>
      </x:c>
      <x:c r="H251" s="25">
        <x:f>FDOE_Grades_2025_Raw!L251</x:f>
        <x:v>61</x:v>
      </x:c>
      <x:c r="I251" s="25">
        <x:f>FDOE_Grades_2025_Raw!Q251</x:f>
        <x:v>0</x:v>
      </x:c>
      <x:c r="J251" s="25">
        <x:f>FDOE_Grades_2025_Raw!R251</x:f>
        <x:v>0</x:v>
      </x:c>
      <x:c r="K251" s="25">
        <x:f>IF($A251="","",ROUND((Scoring_Model!$B$9*($E251/4)*100)+(Scoring_Model!$B$10*$F251)+(Scoring_Model!$B$11*$G251)+(Scoring_Model!$B$12*$H251)+(Scoring_Model!$B$13*IF($I251="",0,$I251))+(Scoring_Model!$B$14*IF($J251="",0,$J251)),1))</x:f>
        <x:v>59.2</x:v>
      </x:c>
      <x:c r="L251" s="20" t="inlineStr">
        <x:is>
          <x:t xml:space="preserve">https://www.fldoe.org/file/18534/SchoolGrades25.xlsx</x:t>
        </x:is>
      </x:c>
      <x:c r="M251" s="20" t="inlineStr">
        <x:is>
          <x:t xml:space="preserve">School type Combination; growth field currently uses official ELA learning gains in this starter model.</x:t>
        </x:is>
      </x:c>
    </x:row>
    <x:row r="252">
      <x:c r="A252" s="20" t="str">
        <x:f>FDOE_Grades_2025_Raw!A252</x:f>
        <x:v>538009</x:v>
      </x:c>
      <x:c r="B252" s="20" t="str">
        <x:f>FDOE_Grades_2025_Raw!E252</x:f>
        <x:v>BRIDGEPREP ACADEMY OF POLK</x:v>
      </x:c>
      <x:c r="C252" s="20" t="n">
        <x:v>2025</x:v>
      </x:c>
      <x:c r="D252" s="20" t="str">
        <x:f>FDOE_Grades_2025_Raw!W252</x:f>
        <x:v>B</x:v>
      </x:c>
      <x:c r="E252" s="25">
        <x:f>IF(D252="A",4,IF(D252="B",3,IF(D252="C",2,IF(D252="D",1,IF(D252="F",0,"")))))</x:f>
        <x:v>3</x:v>
      </x:c>
      <x:c r="F252" s="25">
        <x:f>FDOE_Grades_2025_Raw!K252</x:f>
        <x:v>54</x:v>
      </x:c>
      <x:c r="G252" s="25">
        <x:f>FDOE_Grades_2025_Raw!M252</x:f>
        <x:v>42</x:v>
      </x:c>
      <x:c r="H252" s="25">
        <x:f>FDOE_Grades_2025_Raw!L252</x:f>
        <x:v>68</x:v>
      </x:c>
      <x:c r="I252" s="25">
        <x:f>FDOE_Grades_2025_Raw!Q252</x:f>
        <x:v>0</x:v>
      </x:c>
      <x:c r="J252" s="25">
        <x:f>FDOE_Grades_2025_Raw!R252</x:f>
        <x:v>0</x:v>
      </x:c>
      <x:c r="K252" s="25">
        <x:f>IF($A252="","",ROUND((Scoring_Model!$B$9*($E252/4)*100)+(Scoring_Model!$B$10*$F252)+(Scoring_Model!$B$11*$G252)+(Scoring_Model!$B$12*$H252)+(Scoring_Model!$B$13*IF($I252="",0,$I252))+(Scoring_Model!$B$14*IF($J252="",0,$J252)),1))</x:f>
        <x:v>59.3</x:v>
      </x:c>
      <x:c r="L252" s="20" t="inlineStr">
        <x:is>
          <x:t xml:space="preserve">https://www.fldoe.org/file/18534/SchoolGrades25.xlsx</x:t>
        </x:is>
      </x:c>
      <x:c r="M252" s="20" t="inlineStr">
        <x:is>
          <x:t xml:space="preserve">School type Combination; growth field currently uses official ELA learning gains in this starter model.</x:t>
        </x:is>
      </x:c>
    </x:row>
    <x:row r="253">
      <x:c r="A253" s="20" t="str">
        <x:f>FDOE_Grades_2025_Raw!A253</x:f>
        <x:v>538010</x:v>
      </x:c>
      <x:c r="B253" s="20" t="str">
        <x:f>FDOE_Grades_2025_Raw!E253</x:f>
        <x:v>MATER ACADEMY DAVENPORT</x:v>
      </x:c>
      <x:c r="C253" s="20" t="n">
        <x:v>2025</x:v>
      </x:c>
      <x:c r="D253" s="20" t="str">
        <x:f>FDOE_Grades_2025_Raw!W253</x:f>
        <x:v>B</x:v>
      </x:c>
      <x:c r="E253" s="25">
        <x:f>IF(D253="A",4,IF(D253="B",3,IF(D253="C",2,IF(D253="D",1,IF(D253="F",0,"")))))</x:f>
        <x:v>3</x:v>
      </x:c>
      <x:c r="F253" s="25">
        <x:f>FDOE_Grades_2025_Raw!K253</x:f>
        <x:v>52</x:v>
      </x:c>
      <x:c r="G253" s="25">
        <x:f>FDOE_Grades_2025_Raw!M253</x:f>
        <x:v>60</x:v>
      </x:c>
      <x:c r="H253" s="25">
        <x:f>FDOE_Grades_2025_Raw!L253</x:f>
        <x:v>51</x:v>
      </x:c>
      <x:c r="I253" s="25">
        <x:f>FDOE_Grades_2025_Raw!Q253</x:f>
        <x:v>0</x:v>
      </x:c>
      <x:c r="J253" s="25">
        <x:f>FDOE_Grades_2025_Raw!R253</x:f>
        <x:v>0</x:v>
      </x:c>
      <x:c r="K253" s="25">
        <x:f>IF($A253="","",ROUND((Scoring_Model!$B$9*($E253/4)*100)+(Scoring_Model!$B$10*$F253)+(Scoring_Model!$B$11*$G253)+(Scoring_Model!$B$12*$H253)+(Scoring_Model!$B$13*IF($I253="",0,$I253))+(Scoring_Model!$B$14*IF($J253="",0,$J253)),1))</x:f>
        <x:v>59</x:v>
      </x:c>
      <x:c r="L253" s="20" t="inlineStr">
        <x:is>
          <x:t xml:space="preserve">https://www.fldoe.org/file/18534/SchoolGrades25.xlsx</x:t>
        </x:is>
      </x:c>
      <x:c r="M253" s="20" t="inlineStr">
        <x:is>
          <x:t xml:space="preserve">School type Elementary; growth field currently uses official ELA learning gains in this starter model.</x:t>
        </x:is>
      </x:c>
    </x:row>
    <x:row r="254">
      <x:c r="A254" s="20" t="str">
        <x:f>FDOE_Grades_2025_Raw!A254</x:f>
        <x:v>538020</x:v>
      </x:c>
      <x:c r="B254" s="20" t="str">
        <x:f>FDOE_Grades_2025_Raw!E254</x:f>
        <x:v>MATER ACADEMY DAVENPORT MIDDLE SCHOOL</x:v>
      </x:c>
      <x:c r="C254" s="20" t="n">
        <x:v>2025</x:v>
      </x:c>
      <x:c r="D254" s="20" t="str">
        <x:f>FDOE_Grades_2025_Raw!W254</x:f>
        <x:v>B</x:v>
      </x:c>
      <x:c r="E254" s="25">
        <x:f>IF(D254="A",4,IF(D254="B",3,IF(D254="C",2,IF(D254="D",1,IF(D254="F",0,"")))))</x:f>
        <x:v>3</x:v>
      </x:c>
      <x:c r="F254" s="25">
        <x:f>FDOE_Grades_2025_Raw!K254</x:f>
        <x:v>65</x:v>
      </x:c>
      <x:c r="G254" s="25">
        <x:f>FDOE_Grades_2025_Raw!M254</x:f>
        <x:v>54</x:v>
      </x:c>
      <x:c r="H254" s="25">
        <x:f>FDOE_Grades_2025_Raw!L254</x:f>
        <x:v>62</x:v>
      </x:c>
      <x:c r="I254" s="25">
        <x:f>FDOE_Grades_2025_Raw!Q254</x:f>
        <x:v>0</x:v>
      </x:c>
      <x:c r="J254" s="25">
        <x:f>FDOE_Grades_2025_Raw!R254</x:f>
        <x:v>0</x:v>
      </x:c>
      <x:c r="K254" s="25">
        <x:f>IF($A254="","",ROUND((Scoring_Model!$B$9*($E254/4)*100)+(Scoring_Model!$B$10*$F254)+(Scoring_Model!$B$11*$G254)+(Scoring_Model!$B$12*$H254)+(Scoring_Model!$B$13*IF($I254="",0,$I254))+(Scoring_Model!$B$14*IF($J254="",0,$J254)),1))</x:f>
        <x:v>62.1</x:v>
      </x:c>
      <x:c r="L254" s="20" t="inlineStr">
        <x:is>
          <x:t xml:space="preserve">https://www.fldoe.org/file/18534/SchoolGrades25.xlsx</x:t>
        </x:is>
      </x:c>
      <x:c r="M254" s="20" t="inlineStr">
        <x:is>
          <x:t xml:space="preserve">School type Middle/Junior; growth field currently uses official ELA learning gains in this starter model.</x:t>
        </x:is>
      </x:c>
    </x:row>
    <x:row r="255">
      <x:c r="A255" s="20" t="str">
        <x:f>FDOE_Grades_2025_Raw!A255</x:f>
        <x:v>538121</x:v>
      </x:c>
      <x:c r="B255" s="20" t="str">
        <x:f>FDOE_Grades_2025_Raw!E255</x:f>
        <x:v>HARTRIDGE ACADEMY</x:v>
      </x:c>
      <x:c r="C255" s="20" t="n">
        <x:v>2025</x:v>
      </x:c>
      <x:c r="D255" s="20" t="str">
        <x:f>FDOE_Grades_2025_Raw!W255</x:f>
        <x:v>A</x:v>
      </x:c>
      <x:c r="E255" s="25">
        <x:f>IF(D255="A",4,IF(D255="B",3,IF(D255="C",2,IF(D255="D",1,IF(D255="F",0,"")))))</x:f>
        <x:v>4</x:v>
      </x:c>
      <x:c r="F255" s="25">
        <x:f>FDOE_Grades_2025_Raw!K255</x:f>
        <x:v>70</x:v>
      </x:c>
      <x:c r="G255" s="25">
        <x:f>FDOE_Grades_2025_Raw!M255</x:f>
        <x:v>82</x:v>
      </x:c>
      <x:c r="H255" s="25">
        <x:f>FDOE_Grades_2025_Raw!L255</x:f>
        <x:v>60</x:v>
      </x:c>
      <x:c r="I255" s="25">
        <x:f>FDOE_Grades_2025_Raw!Q255</x:f>
        <x:v>0</x:v>
      </x:c>
      <x:c r="J255" s="25">
        <x:f>FDOE_Grades_2025_Raw!R255</x:f>
        <x:v>0</x:v>
      </x:c>
      <x:c r="K255" s="25">
        <x:f>IF($A255="","",ROUND((Scoring_Model!$B$9*($E255/4)*100)+(Scoring_Model!$B$10*$F255)+(Scoring_Model!$B$11*$G255)+(Scoring_Model!$B$12*$H255)+(Scoring_Model!$B$13*IF($I255="",0,$I255))+(Scoring_Model!$B$14*IF($J255="",0,$J255)),1))</x:f>
        <x:v>78.2</x:v>
      </x:c>
      <x:c r="L255" s="20" t="inlineStr">
        <x:is>
          <x:t xml:space="preserve">https://www.fldoe.org/file/18534/SchoolGrades25.xlsx</x:t>
        </x:is>
      </x:c>
      <x:c r="M255" s="20" t="inlineStr">
        <x:is>
          <x:t xml:space="preserve">School type Elementary; growth field currently uses official ELA learning gains in this starter model.</x:t>
        </x:is>
      </x:c>
    </x:row>
    <x:row r="256">
      <x:c r="A256" s="20" t="str">
        <x:f>FDOE_Grades_2025_Raw!A256</x:f>
        <x:v>538131</x:v>
      </x:c>
      <x:c r="B256" s="20" t="str">
        <x:f>FDOE_Grades_2025_Raw!E256</x:f>
        <x:v>POLK STATE COLLEGE COLLEGIATE HIGH SCHOOL</x:v>
      </x:c>
      <x:c r="C256" s="20" t="n">
        <x:v>2025</x:v>
      </x:c>
      <x:c r="D256" s="20" t="str">
        <x:f>FDOE_Grades_2025_Raw!W256</x:f>
        <x:v>A</x:v>
      </x:c>
      <x:c r="E256" s="25">
        <x:f>IF(D256="A",4,IF(D256="B",3,IF(D256="C",2,IF(D256="D",1,IF(D256="F",0,"")))))</x:f>
        <x:v>4</x:v>
      </x:c>
      <x:c r="F256" s="25">
        <x:f>FDOE_Grades_2025_Raw!K256</x:f>
        <x:v>100</x:v>
      </x:c>
      <x:c r="G256" s="25">
        <x:f>FDOE_Grades_2025_Raw!M256</x:f>
        <x:v>100</x:v>
      </x:c>
      <x:c r="H256" s="25">
        <x:f>FDOE_Grades_2025_Raw!L256</x:f>
        <x:v>93</x:v>
      </x:c>
      <x:c r="I256" s="25">
        <x:f>FDOE_Grades_2025_Raw!Q256</x:f>
        <x:v>100</x:v>
      </x:c>
      <x:c r="J256" s="25">
        <x:f>FDOE_Grades_2025_Raw!R256</x:f>
        <x:v>100</x:v>
      </x:c>
      <x:c r="K256" s="25">
        <x:f>IF($A256="","",ROUND((Scoring_Model!$B$9*($E256/4)*100)+(Scoring_Model!$B$10*$F256)+(Scoring_Model!$B$11*$G256)+(Scoring_Model!$B$12*$H256)+(Scoring_Model!$B$13*IF($I256="",0,$I256))+(Scoring_Model!$B$14*IF($J256="",0,$J256)),1))</x:f>
        <x:v>99.3</x:v>
      </x:c>
      <x:c r="L256" s="20" t="inlineStr">
        <x:is>
          <x:t xml:space="preserve">https://www.fldoe.org/file/18534/SchoolGrades25.xlsx</x:t>
        </x:is>
      </x:c>
      <x:c r="M256" s="20" t="inlineStr">
        <x:is>
          <x:t xml:space="preserve">School type Senior High; growth field currently uses official ELA learning gains in this starter model.</x:t>
        </x:is>
      </x:c>
    </x:row>
    <x:row r="257">
      <x:c r="A257" s="20" t="str">
        <x:f>FDOE_Grades_2025_Raw!A257</x:f>
        <x:v>538133</x:v>
      </x:c>
      <x:c r="B257" s="20" t="str">
        <x:f>FDOE_Grades_2025_Raw!E257</x:f>
        <x:v>CHAIN OF LAKES COLLEGIATE HIGH</x:v>
      </x:c>
      <x:c r="C257" s="20" t="n">
        <x:v>2025</x:v>
      </x:c>
      <x:c r="D257" s="20" t="str">
        <x:f>FDOE_Grades_2025_Raw!W257</x:f>
        <x:v>A</x:v>
      </x:c>
      <x:c r="E257" s="25">
        <x:f>IF(D257="A",4,IF(D257="B",3,IF(D257="C",2,IF(D257="D",1,IF(D257="F",0,"")))))</x:f>
        <x:v>4</x:v>
      </x:c>
      <x:c r="F257" s="25">
        <x:f>FDOE_Grades_2025_Raw!K257</x:f>
        <x:v>95</x:v>
      </x:c>
      <x:c r="G257" s="25">
        <x:f>FDOE_Grades_2025_Raw!M257</x:f>
        <x:v>68</x:v>
      </x:c>
      <x:c r="H257" s="25">
        <x:f>FDOE_Grades_2025_Raw!L257</x:f>
        <x:v>85</x:v>
      </x:c>
      <x:c r="I257" s="25">
        <x:f>FDOE_Grades_2025_Raw!Q257</x:f>
        <x:v>100</x:v>
      </x:c>
      <x:c r="J257" s="25">
        <x:f>FDOE_Grades_2025_Raw!R257</x:f>
        <x:v>100</x:v>
      </x:c>
      <x:c r="K257" s="25">
        <x:f>IF($A257="","",ROUND((Scoring_Model!$B$9*($E257/4)*100)+(Scoring_Model!$B$10*$F257)+(Scoring_Model!$B$11*$G257)+(Scoring_Model!$B$12*$H257)+(Scoring_Model!$B$13*IF($I257="",0,$I257))+(Scoring_Model!$B$14*IF($J257="",0,$J257)),1))</x:f>
        <x:v>94.3</x:v>
      </x:c>
      <x:c r="L257" s="20" t="inlineStr">
        <x:is>
          <x:t xml:space="preserve">https://www.fldoe.org/file/18534/SchoolGrades25.xlsx</x:t>
        </x:is>
      </x:c>
      <x:c r="M257" s="20" t="inlineStr">
        <x:is>
          <x:t xml:space="preserve">School type Senior High; growth field currently uses official ELA learning gains in this starter model.</x:t>
        </x:is>
      </x:c>
    </x:row>
    <x:row r="258">
      <x:c r="A258" s="20" t="str">
        <x:f>FDOE_Grades_2025_Raw!A258</x:f>
        <x:v>538141</x:v>
      </x:c>
      <x:c r="B258" s="20" t="str">
        <x:f>FDOE_Grades_2025_Raw!E258</x:f>
        <x:v>LAKELAND MONTESSORI SCHOOL HOUSE</x:v>
      </x:c>
      <x:c r="C258" s="20" t="n">
        <x:v>2025</x:v>
      </x:c>
      <x:c r="D258" s="20" t="str">
        <x:f>FDOE_Grades_2025_Raw!W258</x:f>
        <x:v>A</x:v>
      </x:c>
      <x:c r="E258" s="25">
        <x:f>IF(D258="A",4,IF(D258="B",3,IF(D258="C",2,IF(D258="D",1,IF(D258="F",0,"")))))</x:f>
        <x:v>4</x:v>
      </x:c>
      <x:c r="F258" s="25">
        <x:f>FDOE_Grades_2025_Raw!K258</x:f>
        <x:v>88</x:v>
      </x:c>
      <x:c r="G258" s="25">
        <x:f>FDOE_Grades_2025_Raw!M258</x:f>
        <x:v>89</x:v>
      </x:c>
      <x:c r="H258" s="25">
        <x:f>FDOE_Grades_2025_Raw!L258</x:f>
        <x:v>68</x:v>
      </x:c>
      <x:c r="I258" s="25">
        <x:f>FDOE_Grades_2025_Raw!Q258</x:f>
        <x:v>0</x:v>
      </x:c>
      <x:c r="J258" s="25">
        <x:f>FDOE_Grades_2025_Raw!R258</x:f>
        <x:v>0</x:v>
      </x:c>
      <x:c r="K258" s="25">
        <x:f>IF($A258="","",ROUND((Scoring_Model!$B$9*($E258/4)*100)+(Scoring_Model!$B$10*$F258)+(Scoring_Model!$B$11*$G258)+(Scoring_Model!$B$12*$H258)+(Scoring_Model!$B$13*IF($I258="",0,$I258))+(Scoring_Model!$B$14*IF($J258="",0,$J258)),1))</x:f>
        <x:v>83.3</x:v>
      </x:c>
      <x:c r="L258" s="20" t="inlineStr">
        <x:is>
          <x:t xml:space="preserve">https://www.fldoe.org/file/18534/SchoolGrades25.xlsx</x:t>
        </x:is>
      </x:c>
      <x:c r="M258" s="20" t="inlineStr">
        <x:is>
          <x:t xml:space="preserve">School type Combination; growth field currently uses official ELA learning gains in this starter model.</x:t>
        </x:is>
      </x:c>
    </x:row>
    <x:row r="259">
      <x:c r="A259" s="20" t="str">
        <x:f>FDOE_Grades_2025_Raw!A259</x:f>
        <x:v>538142</x:v>
      </x:c>
      <x:c r="B259" s="20" t="str">
        <x:f>FDOE_Grades_2025_Raw!E259</x:f>
        <x:v>BERKLEY ACCELERATED</x:v>
      </x:c>
      <x:c r="C259" s="20" t="n">
        <x:v>2025</x:v>
      </x:c>
      <x:c r="D259" s="20" t="str">
        <x:f>FDOE_Grades_2025_Raw!W259</x:f>
        <x:v>A</x:v>
      </x:c>
      <x:c r="E259" s="25">
        <x:f>IF(D259="A",4,IF(D259="B",3,IF(D259="C",2,IF(D259="D",1,IF(D259="F",0,"")))))</x:f>
        <x:v>4</x:v>
      </x:c>
      <x:c r="F259" s="25">
        <x:f>FDOE_Grades_2025_Raw!K259</x:f>
        <x:v>74</x:v>
      </x:c>
      <x:c r="G259" s="25">
        <x:f>FDOE_Grades_2025_Raw!M259</x:f>
        <x:v>73</x:v>
      </x:c>
      <x:c r="H259" s="25">
        <x:f>FDOE_Grades_2025_Raw!L259</x:f>
        <x:v>66</x:v>
      </x:c>
      <x:c r="I259" s="25">
        <x:f>FDOE_Grades_2025_Raw!Q259</x:f>
        <x:v>0</x:v>
      </x:c>
      <x:c r="J259" s="25">
        <x:f>FDOE_Grades_2025_Raw!R259</x:f>
        <x:v>0</x:v>
      </x:c>
      <x:c r="K259" s="25">
        <x:f>IF($A259="","",ROUND((Scoring_Model!$B$9*($E259/4)*100)+(Scoring_Model!$B$10*$F259)+(Scoring_Model!$B$11*$G259)+(Scoring_Model!$B$12*$H259)+(Scoring_Model!$B$13*IF($I259="",0,$I259))+(Scoring_Model!$B$14*IF($J259="",0,$J259)),1))</x:f>
        <x:v>78.7</x:v>
      </x:c>
      <x:c r="L259" s="20" t="inlineStr">
        <x:is>
          <x:t xml:space="preserve">https://www.fldoe.org/file/18534/SchoolGrades25.xlsx</x:t>
        </x:is>
      </x:c>
      <x:c r="M259" s="20" t="inlineStr">
        <x:is>
          <x:t xml:space="preserve">School type Combination; growth field currently uses official ELA learning gains in this starter model.</x:t>
        </x:is>
      </x:c>
    </x:row>
    <x:row r="260">
      <x:c r="A260" s="20" t="str">
        <x:f>FDOE_Grades_2025_Raw!A260</x:f>
        <x:v>538171</x:v>
      </x:c>
      <x:c r="B260" s="20" t="str">
        <x:f>FDOE_Grades_2025_Raw!E260</x:f>
        <x:v>CYPRESS JUNCTION MONTESSORI</x:v>
      </x:c>
      <x:c r="C260" s="20" t="n">
        <x:v>2025</x:v>
      </x:c>
      <x:c r="D260" s="20" t="str">
        <x:f>FDOE_Grades_2025_Raw!W260</x:f>
        <x:v>B</x:v>
      </x:c>
      <x:c r="E260" s="25">
        <x:f>IF(D260="A",4,IF(D260="B",3,IF(D260="C",2,IF(D260="D",1,IF(D260="F",0,"")))))</x:f>
        <x:v>3</x:v>
      </x:c>
      <x:c r="F260" s="25">
        <x:f>FDOE_Grades_2025_Raw!K260</x:f>
        <x:v>57</x:v>
      </x:c>
      <x:c r="G260" s="25">
        <x:f>FDOE_Grades_2025_Raw!M260</x:f>
        <x:v>52</x:v>
      </x:c>
      <x:c r="H260" s="25">
        <x:f>FDOE_Grades_2025_Raw!L260</x:f>
        <x:v>57</x:v>
      </x:c>
      <x:c r="I260" s="25">
        <x:f>FDOE_Grades_2025_Raw!Q260</x:f>
        <x:v>0</x:v>
      </x:c>
      <x:c r="J260" s="25">
        <x:f>FDOE_Grades_2025_Raw!R260</x:f>
        <x:v>0</x:v>
      </x:c>
      <x:c r="K260" s="25">
        <x:f>IF($A260="","",ROUND((Scoring_Model!$B$9*($E260/4)*100)+(Scoring_Model!$B$10*$F260)+(Scoring_Model!$B$11*$G260)+(Scoring_Model!$B$12*$H260)+(Scoring_Model!$B$13*IF($I260="",0,$I260))+(Scoring_Model!$B$14*IF($J260="",0,$J260)),1))</x:f>
        <x:v>59.8</x:v>
      </x:c>
      <x:c r="L260" s="20" t="inlineStr">
        <x:is>
          <x:t xml:space="preserve">https://www.fldoe.org/file/18534/SchoolGrades25.xlsx</x:t>
        </x:is>
      </x:c>
      <x:c r="M260" s="20" t="inlineStr">
        <x:is>
          <x:t xml:space="preserve">School type Combination; growth field currently uses official ELA learning gains in this starter model.</x:t>
        </x:is>
      </x:c>
    </x:row>
    <x:row r="261">
      <x:c r="A261" s="20" t="str">
        <x:f>FDOE_Grades_2025_Raw!A261</x:f>
        <x:v>538181</x:v>
      </x:c>
      <x:c r="B261" s="20" t="str">
        <x:f>FDOE_Grades_2025_Raw!E261</x:f>
        <x:v>DISCOVERY HIGH SCHOOL</x:v>
      </x:c>
      <x:c r="C261" s="20" t="n">
        <x:v>2025</x:v>
      </x:c>
      <x:c r="D261" s="20" t="str">
        <x:f>FDOE_Grades_2025_Raw!W261</x:f>
        <x:v>C</x:v>
      </x:c>
      <x:c r="E261" s="25">
        <x:f>IF(D261="A",4,IF(D261="B",3,IF(D261="C",2,IF(D261="D",1,IF(D261="F",0,"")))))</x:f>
        <x:v>2</x:v>
      </x:c>
      <x:c r="F261" s="25">
        <x:f>FDOE_Grades_2025_Raw!K261</x:f>
        <x:v>42</x:v>
      </x:c>
      <x:c r="G261" s="25">
        <x:f>FDOE_Grades_2025_Raw!M261</x:f>
        <x:v>18</x:v>
      </x:c>
      <x:c r="H261" s="25">
        <x:f>FDOE_Grades_2025_Raw!L261</x:f>
        <x:v>47</x:v>
      </x:c>
      <x:c r="I261" s="25">
        <x:f>FDOE_Grades_2025_Raw!Q261</x:f>
        <x:v>97</x:v>
      </x:c>
      <x:c r="J261" s="25">
        <x:f>FDOE_Grades_2025_Raw!R261</x:f>
        <x:v>37</x:v>
      </x:c>
      <x:c r="K261" s="25">
        <x:f>IF($A261="","",ROUND((Scoring_Model!$B$9*($E261/4)*100)+(Scoring_Model!$B$10*$F261)+(Scoring_Model!$B$11*$G261)+(Scoring_Model!$B$12*$H261)+(Scoring_Model!$B$13*IF($I261="",0,$I261))+(Scoring_Model!$B$14*IF($J261="",0,$J261)),1))</x:f>
        <x:v>46.6</x:v>
      </x:c>
      <x:c r="L261" s="20" t="inlineStr">
        <x:is>
          <x:t xml:space="preserve">https://www.fldoe.org/file/18534/SchoolGrades25.xlsx</x:t>
        </x:is>
      </x:c>
      <x:c r="M261" s="20" t="inlineStr">
        <x:is>
          <x:t xml:space="preserve">School type Senior High; growth field currently uses official ELA learning gains in this starter model.</x:t>
        </x:is>
      </x:c>
    </x:row>
    <x:row r="262">
      <x:c r="A262" s="20" t="str">
        <x:f>FDOE_Grades_2025_Raw!A262</x:f>
        <x:v>538201</x:v>
      </x:c>
      <x:c r="B262" s="20" t="str">
        <x:f>FDOE_Grades_2025_Raw!E262</x:f>
        <x:v>MI ESCUELA MONTESSORI</x:v>
      </x:c>
      <x:c r="C262" s="20" t="n">
        <x:v>2025</x:v>
      </x:c>
      <x:c r="D262" s="20" t="str">
        <x:f>FDOE_Grades_2025_Raw!W262</x:f>
        <x:v>C</x:v>
      </x:c>
      <x:c r="E262" s="25">
        <x:f>IF(D262="A",4,IF(D262="B",3,IF(D262="C",2,IF(D262="D",1,IF(D262="F",0,"")))))</x:f>
        <x:v>2</x:v>
      </x:c>
      <x:c r="F262" s="25">
        <x:f>FDOE_Grades_2025_Raw!K262</x:f>
        <x:v>56</x:v>
      </x:c>
      <x:c r="G262" s="25">
        <x:f>FDOE_Grades_2025_Raw!M262</x:f>
        <x:v>46</x:v>
      </x:c>
      <x:c r="H262" s="25">
        <x:f>FDOE_Grades_2025_Raw!L262</x:f>
        <x:v>56</x:v>
      </x:c>
      <x:c r="I262" s="25">
        <x:f>FDOE_Grades_2025_Raw!Q262</x:f>
        <x:v>0</x:v>
      </x:c>
      <x:c r="J262" s="25">
        <x:f>FDOE_Grades_2025_Raw!R262</x:f>
        <x:v>0</x:v>
      </x:c>
      <x:c r="K262" s="25">
        <x:f>IF($A262="","",ROUND((Scoring_Model!$B$9*($E262/4)*100)+(Scoring_Model!$B$10*$F262)+(Scoring_Model!$B$11*$G262)+(Scoring_Model!$B$12*$H262)+(Scoring_Model!$B$13*IF($I262="",0,$I262))+(Scoring_Model!$B$14*IF($J262="",0,$J262)),1))</x:f>
        <x:v>46.4</x:v>
      </x:c>
      <x:c r="L262" s="20" t="inlineStr">
        <x:is>
          <x:t xml:space="preserve">https://www.fldoe.org/file/18534/SchoolGrades25.xlsx</x:t>
        </x:is>
      </x:c>
      <x:c r="M262" s="20" t="inlineStr">
        <x:is>
          <x:t xml:space="preserve">School type Combination; growth field currently uses official ELA learning gains in this starter model.</x:t>
        </x:is>
      </x:c>
    </x:row>
    <x:row r="263">
      <x:c r="A263" s="20" t="str">
        <x:f>FDOE_Grades_2025_Raw!A263</x:f>
        <x:v>590021</x:v>
      </x:c>
      <x:c r="B263" s="20" t="str">
        <x:f>FDOE_Grades_2025_Raw!E263</x:f>
        <x:v>HAMILTON ELEMENTARY SCHOOL</x:v>
      </x:c>
      <x:c r="C263" s="20" t="n">
        <x:v>2025</x:v>
      </x:c>
      <x:c r="D263" s="20" t="str">
        <x:f>FDOE_Grades_2025_Raw!W263</x:f>
        <x:v>A</x:v>
      </x:c>
      <x:c r="E263" s="25">
        <x:f>IF(D263="A",4,IF(D263="B",3,IF(D263="C",2,IF(D263="D",1,IF(D263="F",0,"")))))</x:f>
        <x:v>4</x:v>
      </x:c>
      <x:c r="F263" s="25">
        <x:f>FDOE_Grades_2025_Raw!K263</x:f>
        <x:v>66</x:v>
      </x:c>
      <x:c r="G263" s="25">
        <x:f>FDOE_Grades_2025_Raw!M263</x:f>
        <x:v>67</x:v>
      </x:c>
      <x:c r="H263" s="25">
        <x:f>FDOE_Grades_2025_Raw!L263</x:f>
        <x:v>63</x:v>
      </x:c>
      <x:c r="I263" s="25">
        <x:f>FDOE_Grades_2025_Raw!Q263</x:f>
        <x:v>0</x:v>
      </x:c>
      <x:c r="J263" s="25">
        <x:f>FDOE_Grades_2025_Raw!R263</x:f>
        <x:v>0</x:v>
      </x:c>
      <x:c r="K263" s="25">
        <x:f>IF($A263="","",ROUND((Scoring_Model!$B$9*($E263/4)*100)+(Scoring_Model!$B$10*$F263)+(Scoring_Model!$B$11*$G263)+(Scoring_Model!$B$12*$H263)+(Scoring_Model!$B$13*IF($I263="",0,$I263))+(Scoring_Model!$B$14*IF($J263="",0,$J263)),1))</x:f>
        <x:v>76.2</x:v>
      </x:c>
      <x:c r="L263" s="20" t="inlineStr">
        <x:is>
          <x:t xml:space="preserve">https://www.fldoe.org/file/18534/SchoolGrades25.xlsx</x:t>
        </x:is>
      </x:c>
      <x:c r="M263" s="20" t="inlineStr">
        <x:is>
          <x:t xml:space="preserve">School type Elementary; growth field currently uses official ELA learning gains in this starter model.</x:t>
        </x:is>
      </x:c>
    </x:row>
    <x:row r="264">
      <x:c r="A264" s="20" t="str">
        <x:f>FDOE_Grades_2025_Raw!A264</x:f>
        <x:v>590031</x:v>
      </x:c>
      <x:c r="B264" s="20" t="str">
        <x:f>FDOE_Grades_2025_Raw!E264</x:f>
        <x:v>BEAR LAKE ELEMENTARY SCHOOL</x:v>
      </x:c>
      <x:c r="C264" s="20" t="n">
        <x:v>2025</x:v>
      </x:c>
      <x:c r="D264" s="20" t="str">
        <x:f>FDOE_Grades_2025_Raw!W264</x:f>
        <x:v>B</x:v>
      </x:c>
      <x:c r="E264" s="25">
        <x:f>IF(D264="A",4,IF(D264="B",3,IF(D264="C",2,IF(D264="D",1,IF(D264="F",0,"")))))</x:f>
        <x:v>3</x:v>
      </x:c>
      <x:c r="F264" s="25">
        <x:f>FDOE_Grades_2025_Raw!K264</x:f>
        <x:v>57</x:v>
      </x:c>
      <x:c r="G264" s="25">
        <x:f>FDOE_Grades_2025_Raw!M264</x:f>
        <x:v>51</x:v>
      </x:c>
      <x:c r="H264" s="25">
        <x:f>FDOE_Grades_2025_Raw!L264</x:f>
        <x:v>62</x:v>
      </x:c>
      <x:c r="I264" s="25">
        <x:f>FDOE_Grades_2025_Raw!Q264</x:f>
        <x:v>0</x:v>
      </x:c>
      <x:c r="J264" s="25">
        <x:f>FDOE_Grades_2025_Raw!R264</x:f>
        <x:v>0</x:v>
      </x:c>
      <x:c r="K264" s="25">
        <x:f>IF($A264="","",ROUND((Scoring_Model!$B$9*($E264/4)*100)+(Scoring_Model!$B$10*$F264)+(Scoring_Model!$B$11*$G264)+(Scoring_Model!$B$12*$H264)+(Scoring_Model!$B$13*IF($I264="",0,$I264))+(Scoring_Model!$B$14*IF($J264="",0,$J264)),1))</x:f>
        <x:v>60.2</x:v>
      </x:c>
      <x:c r="L264" s="20" t="inlineStr">
        <x:is>
          <x:t xml:space="preserve">https://www.fldoe.org/file/18534/SchoolGrades25.xlsx</x:t>
        </x:is>
      </x:c>
      <x:c r="M264" s="20" t="inlineStr">
        <x:is>
          <x:t xml:space="preserve">School type Elementary; growth field currently uses official ELA learning gains in this starter model.</x:t>
        </x:is>
      </x:c>
    </x:row>
    <x:row r="265">
      <x:c r="A265" s="20" t="str">
        <x:f>FDOE_Grades_2025_Raw!A265</x:f>
        <x:v>590041</x:v>
      </x:c>
      <x:c r="B265" s="20" t="str">
        <x:f>FDOE_Grades_2025_Raw!E265</x:f>
        <x:v>ENGLISH ESTATES ELEMENTARY SCHOOL</x:v>
      </x:c>
      <x:c r="C265" s="20" t="n">
        <x:v>2025</x:v>
      </x:c>
      <x:c r="D265" s="20" t="str">
        <x:f>FDOE_Grades_2025_Raw!W265</x:f>
        <x:v>C</x:v>
      </x:c>
      <x:c r="E265" s="25">
        <x:f>IF(D265="A",4,IF(D265="B",3,IF(D265="C",2,IF(D265="D",1,IF(D265="F",0,"")))))</x:f>
        <x:v>2</x:v>
      </x:c>
      <x:c r="F265" s="25">
        <x:f>FDOE_Grades_2025_Raw!K265</x:f>
        <x:v>60</x:v>
      </x:c>
      <x:c r="G265" s="25">
        <x:f>FDOE_Grades_2025_Raw!M265</x:f>
        <x:v>52</x:v>
      </x:c>
      <x:c r="H265" s="25">
        <x:f>FDOE_Grades_2025_Raw!L265</x:f>
        <x:v>55</x:v>
      </x:c>
      <x:c r="I265" s="25">
        <x:f>FDOE_Grades_2025_Raw!Q265</x:f>
        <x:v>0</x:v>
      </x:c>
      <x:c r="J265" s="25">
        <x:f>FDOE_Grades_2025_Raw!R265</x:f>
        <x:v>0</x:v>
      </x:c>
      <x:c r="K265" s="25">
        <x:f>IF($A265="","",ROUND((Scoring_Model!$B$9*($E265/4)*100)+(Scoring_Model!$B$10*$F265)+(Scoring_Model!$B$11*$G265)+(Scoring_Model!$B$12*$H265)+(Scoring_Model!$B$13*IF($I265="",0,$I265))+(Scoring_Model!$B$14*IF($J265="",0,$J265)),1))</x:f>
        <x:v>47.7</x:v>
      </x:c>
      <x:c r="L265" s="20" t="inlineStr">
        <x:is>
          <x:t xml:space="preserve">https://www.fldoe.org/file/18534/SchoolGrades25.xlsx</x:t>
        </x:is>
      </x:c>
      <x:c r="M265" s="20" t="inlineStr">
        <x:is>
          <x:t xml:space="preserve">School type Elementary; growth field currently uses official ELA learning gains in this starter model.</x:t>
        </x:is>
      </x:c>
    </x:row>
    <x:row r="266">
      <x:c r="A266" s="20" t="str">
        <x:f>FDOE_Grades_2025_Raw!A266</x:f>
        <x:v>590051</x:v>
      </x:c>
      <x:c r="B266" s="20" t="str">
        <x:f>FDOE_Grades_2025_Raw!E266</x:f>
        <x:v>GENEVA ELEMENTARY SCHOOL</x:v>
      </x:c>
      <x:c r="C266" s="20" t="n">
        <x:v>2025</x:v>
      </x:c>
      <x:c r="D266" s="20" t="str">
        <x:f>FDOE_Grades_2025_Raw!W266</x:f>
        <x:v>A</x:v>
      </x:c>
      <x:c r="E266" s="25">
        <x:f>IF(D266="A",4,IF(D266="B",3,IF(D266="C",2,IF(D266="D",1,IF(D266="F",0,"")))))</x:f>
        <x:v>4</x:v>
      </x:c>
      <x:c r="F266" s="25">
        <x:f>FDOE_Grades_2025_Raw!K266</x:f>
        <x:v>71</x:v>
      </x:c>
      <x:c r="G266" s="25">
        <x:f>FDOE_Grades_2025_Raw!M266</x:f>
        <x:v>71</x:v>
      </x:c>
      <x:c r="H266" s="25">
        <x:f>FDOE_Grades_2025_Raw!L266</x:f>
        <x:v>64</x:v>
      </x:c>
      <x:c r="I266" s="25">
        <x:f>FDOE_Grades_2025_Raw!Q266</x:f>
        <x:v>0</x:v>
      </x:c>
      <x:c r="J266" s="25">
        <x:f>FDOE_Grades_2025_Raw!R266</x:f>
        <x:v>0</x:v>
      </x:c>
      <x:c r="K266" s="25">
        <x:f>IF($A266="","",ROUND((Scoring_Model!$B$9*($E266/4)*100)+(Scoring_Model!$B$10*$F266)+(Scoring_Model!$B$11*$G266)+(Scoring_Model!$B$12*$H266)+(Scoring_Model!$B$13*IF($I266="",0,$I266))+(Scoring_Model!$B$14*IF($J266="",0,$J266)),1))</x:f>
        <x:v>77.7</x:v>
      </x:c>
      <x:c r="L266" s="20" t="inlineStr">
        <x:is>
          <x:t xml:space="preserve">https://www.fldoe.org/file/18534/SchoolGrades25.xlsx</x:t>
        </x:is>
      </x:c>
      <x:c r="M266" s="20" t="inlineStr">
        <x:is>
          <x:t xml:space="preserve">School type Elementary; growth field currently uses official ELA learning gains in this starter model.</x:t>
        </x:is>
      </x:c>
    </x:row>
    <x:row r="267">
      <x:c r="A267" s="20" t="str">
        <x:f>FDOE_Grades_2025_Raw!A267</x:f>
        <x:v>590071</x:v>
      </x:c>
      <x:c r="B267" s="20" t="str">
        <x:f>FDOE_Grades_2025_Raw!E267</x:f>
        <x:v>LAKE MARY HIGH SCHOOL</x:v>
      </x:c>
      <x:c r="C267" s="20" t="n">
        <x:v>2025</x:v>
      </x:c>
      <x:c r="D267" s="20" t="str">
        <x:f>FDOE_Grades_2025_Raw!W267</x:f>
        <x:v>B</x:v>
      </x:c>
      <x:c r="E267" s="25">
        <x:f>IF(D267="A",4,IF(D267="B",3,IF(D267="C",2,IF(D267="D",1,IF(D267="F",0,"")))))</x:f>
        <x:v>3</x:v>
      </x:c>
      <x:c r="F267" s="25">
        <x:f>FDOE_Grades_2025_Raw!K267</x:f>
        <x:v>62</x:v>
      </x:c>
      <x:c r="G267" s="25">
        <x:f>FDOE_Grades_2025_Raw!M267</x:f>
        <x:v>45</x:v>
      </x:c>
      <x:c r="H267" s="25">
        <x:f>FDOE_Grades_2025_Raw!L267</x:f>
        <x:v>58</x:v>
      </x:c>
      <x:c r="I267" s="25">
        <x:f>FDOE_Grades_2025_Raw!Q267</x:f>
        <x:v>92</x:v>
      </x:c>
      <x:c r="J267" s="25">
        <x:f>FDOE_Grades_2025_Raw!R267</x:f>
        <x:v>62</x:v>
      </x:c>
      <x:c r="K267" s="25">
        <x:f>IF($A267="","",ROUND((Scoring_Model!$B$9*($E267/4)*100)+(Scoring_Model!$B$10*$F267)+(Scoring_Model!$B$11*$G267)+(Scoring_Model!$B$12*$H267)+(Scoring_Model!$B$13*IF($I267="",0,$I267))+(Scoring_Model!$B$14*IF($J267="",0,$J267)),1))</x:f>
        <x:v>67.9</x:v>
      </x:c>
      <x:c r="L267" s="20" t="inlineStr">
        <x:is>
          <x:t xml:space="preserve">https://www.fldoe.org/file/18534/SchoolGrades25.xlsx</x:t>
        </x:is>
      </x:c>
      <x:c r="M267" s="20" t="inlineStr">
        <x:is>
          <x:t xml:space="preserve">School type Senior High; growth field currently uses official ELA learning gains in this starter model.</x:t>
        </x:is>
      </x:c>
    </x:row>
    <x:row r="268">
      <x:c r="A268" s="20" t="str">
        <x:f>FDOE_Grades_2025_Raw!A268</x:f>
        <x:v>590081</x:v>
      </x:c>
      <x:c r="B268" s="20" t="str">
        <x:f>FDOE_Grades_2025_Raw!E268</x:f>
        <x:v>LAKE MARY ELEMENTARY SCHOOL</x:v>
      </x:c>
      <x:c r="C268" s="20" t="n">
        <x:v>2025</x:v>
      </x:c>
      <x:c r="D268" s="20" t="str">
        <x:f>FDOE_Grades_2025_Raw!W268</x:f>
        <x:v>B</x:v>
      </x:c>
      <x:c r="E268" s="25">
        <x:f>IF(D268="A",4,IF(D268="B",3,IF(D268="C",2,IF(D268="D",1,IF(D268="F",0,"")))))</x:f>
        <x:v>3</x:v>
      </x:c>
      <x:c r="F268" s="25">
        <x:f>FDOE_Grades_2025_Raw!K268</x:f>
        <x:v>68</x:v>
      </x:c>
      <x:c r="G268" s="25">
        <x:f>FDOE_Grades_2025_Raw!M268</x:f>
        <x:v>68</x:v>
      </x:c>
      <x:c r="H268" s="25">
        <x:f>FDOE_Grades_2025_Raw!L268</x:f>
        <x:v>62</x:v>
      </x:c>
      <x:c r="I268" s="25">
        <x:f>FDOE_Grades_2025_Raw!Q268</x:f>
        <x:v>0</x:v>
      </x:c>
      <x:c r="J268" s="25">
        <x:f>FDOE_Grades_2025_Raw!R268</x:f>
        <x:v>0</x:v>
      </x:c>
      <x:c r="K268" s="25">
        <x:f>IF($A268="","",ROUND((Scoring_Model!$B$9*($E268/4)*100)+(Scoring_Model!$B$10*$F268)+(Scoring_Model!$B$11*$G268)+(Scoring_Model!$B$12*$H268)+(Scoring_Model!$B$13*IF($I268="",0,$I268))+(Scoring_Model!$B$14*IF($J268="",0,$J268)),1))</x:f>
        <x:v>64.1</x:v>
      </x:c>
      <x:c r="L268" s="20" t="inlineStr">
        <x:is>
          <x:t xml:space="preserve">https://www.fldoe.org/file/18534/SchoolGrades25.xlsx</x:t>
        </x:is>
      </x:c>
      <x:c r="M268" s="20" t="inlineStr">
        <x:is>
          <x:t xml:space="preserve">School type Elementary; growth field currently uses official ELA learning gains in this starter model.</x:t>
        </x:is>
      </x:c>
    </x:row>
    <x:row r="269">
      <x:c r="A269" s="20" t="str">
        <x:f>FDOE_Grades_2025_Raw!A269</x:f>
        <x:v>590091</x:v>
      </x:c>
      <x:c r="B269" s="20" t="str">
        <x:f>FDOE_Grades_2025_Raw!E269</x:f>
        <x:v>LONGWOOD ELEMENTARY SCHOOL</x:v>
      </x:c>
      <x:c r="C269" s="20" t="n">
        <x:v>2025</x:v>
      </x:c>
      <x:c r="D269" s="20" t="str">
        <x:f>FDOE_Grades_2025_Raw!W269</x:f>
        <x:v>B</x:v>
      </x:c>
      <x:c r="E269" s="25">
        <x:f>IF(D269="A",4,IF(D269="B",3,IF(D269="C",2,IF(D269="D",1,IF(D269="F",0,"")))))</x:f>
        <x:v>3</x:v>
      </x:c>
      <x:c r="F269" s="25">
        <x:f>FDOE_Grades_2025_Raw!K269</x:f>
        <x:v>63</x:v>
      </x:c>
      <x:c r="G269" s="25">
        <x:f>FDOE_Grades_2025_Raw!M269</x:f>
        <x:v>63</x:v>
      </x:c>
      <x:c r="H269" s="25">
        <x:f>FDOE_Grades_2025_Raw!L269</x:f>
        <x:v>52</x:v>
      </x:c>
      <x:c r="I269" s="25">
        <x:f>FDOE_Grades_2025_Raw!Q269</x:f>
        <x:v>0</x:v>
      </x:c>
      <x:c r="J269" s="25">
        <x:f>FDOE_Grades_2025_Raw!R269</x:f>
        <x:v>0</x:v>
      </x:c>
      <x:c r="K269" s="25">
        <x:f>IF($A269="","",ROUND((Scoring_Model!$B$9*($E269/4)*100)+(Scoring_Model!$B$10*$F269)+(Scoring_Model!$B$11*$G269)+(Scoring_Model!$B$12*$H269)+(Scoring_Model!$B$13*IF($I269="",0,$I269))+(Scoring_Model!$B$14*IF($J269="",0,$J269)),1))</x:f>
        <x:v>61.6</x:v>
      </x:c>
      <x:c r="L269" s="20" t="inlineStr">
        <x:is>
          <x:t xml:space="preserve">https://www.fldoe.org/file/18534/SchoolGrades25.xlsx</x:t>
        </x:is>
      </x:c>
      <x:c r="M269" s="20" t="inlineStr">
        <x:is>
          <x:t xml:space="preserve">School type Elementary; growth field currently uses official ELA learning gains in this starter model.</x:t>
        </x:is>
      </x:c>
    </x:row>
    <x:row r="270">
      <x:c r="A270" s="20" t="str">
        <x:f>FDOE_Grades_2025_Raw!A270</x:f>
        <x:v>590101</x:v>
      </x:c>
      <x:c r="B270" s="20" t="str">
        <x:f>FDOE_Grades_2025_Raw!E270</x:f>
        <x:v>MILWEE MIDDLE SCHOOL</x:v>
      </x:c>
      <x:c r="C270" s="20" t="n">
        <x:v>2025</x:v>
      </x:c>
      <x:c r="D270" s="20" t="str">
        <x:f>FDOE_Grades_2025_Raw!W270</x:f>
        <x:v>B</x:v>
      </x:c>
      <x:c r="E270" s="25">
        <x:f>IF(D270="A",4,IF(D270="B",3,IF(D270="C",2,IF(D270="D",1,IF(D270="F",0,"")))))</x:f>
        <x:v>3</x:v>
      </x:c>
      <x:c r="F270" s="25">
        <x:f>FDOE_Grades_2025_Raw!K270</x:f>
        <x:v>62</x:v>
      </x:c>
      <x:c r="G270" s="25">
        <x:f>FDOE_Grades_2025_Raw!M270</x:f>
        <x:v>59</x:v>
      </x:c>
      <x:c r="H270" s="25">
        <x:f>FDOE_Grades_2025_Raw!L270</x:f>
        <x:v>62</x:v>
      </x:c>
      <x:c r="I270" s="25">
        <x:f>FDOE_Grades_2025_Raw!Q270</x:f>
        <x:v>0</x:v>
      </x:c>
      <x:c r="J270" s="25">
        <x:f>FDOE_Grades_2025_Raw!R270</x:f>
        <x:v>0</x:v>
      </x:c>
      <x:c r="K270" s="25">
        <x:f>IF($A270="","",ROUND((Scoring_Model!$B$9*($E270/4)*100)+(Scoring_Model!$B$10*$F270)+(Scoring_Model!$B$11*$G270)+(Scoring_Model!$B$12*$H270)+(Scoring_Model!$B$13*IF($I270="",0,$I270))+(Scoring_Model!$B$14*IF($J270="",0,$J270)),1))</x:f>
        <x:v>62</x:v>
      </x:c>
      <x:c r="L270" s="20" t="inlineStr">
        <x:is>
          <x:t xml:space="preserve">https://www.fldoe.org/file/18534/SchoolGrades25.xlsx</x:t>
        </x:is>
      </x:c>
      <x:c r="M270" s="20" t="inlineStr">
        <x:is>
          <x:t xml:space="preserve">School type Middle/Junior; growth field currently uses official ELA learning gains in this starter model.</x:t>
        </x:is>
      </x:c>
    </x:row>
    <x:row r="271">
      <x:c r="A271" s="20" t="str">
        <x:f>FDOE_Grades_2025_Raw!A271</x:f>
        <x:v>590111</x:v>
      </x:c>
      <x:c r="B271" s="20" t="str">
        <x:f>FDOE_Grades_2025_Raw!E271</x:f>
        <x:v>EVANS ELEMENTARY SCHOOL</x:v>
      </x:c>
      <x:c r="C271" s="20" t="n">
        <x:v>2025</x:v>
      </x:c>
      <x:c r="D271" s="20" t="str">
        <x:f>FDOE_Grades_2025_Raw!W271</x:f>
        <x:v>A</x:v>
      </x:c>
      <x:c r="E271" s="25">
        <x:f>IF(D271="A",4,IF(D271="B",3,IF(D271="C",2,IF(D271="D",1,IF(D271="F",0,"")))))</x:f>
        <x:v>4</x:v>
      </x:c>
      <x:c r="F271" s="25">
        <x:f>FDOE_Grades_2025_Raw!K271</x:f>
        <x:v>73</x:v>
      </x:c>
      <x:c r="G271" s="25">
        <x:f>FDOE_Grades_2025_Raw!M271</x:f>
        <x:v>78</x:v>
      </x:c>
      <x:c r="H271" s="25">
        <x:f>FDOE_Grades_2025_Raw!L271</x:f>
        <x:v>68</x:v>
      </x:c>
      <x:c r="I271" s="25">
        <x:f>FDOE_Grades_2025_Raw!Q271</x:f>
        <x:v>0</x:v>
      </x:c>
      <x:c r="J271" s="25">
        <x:f>FDOE_Grades_2025_Raw!R271</x:f>
        <x:v>0</x:v>
      </x:c>
      <x:c r="K271" s="25">
        <x:f>IF($A271="","",ROUND((Scoring_Model!$B$9*($E271/4)*100)+(Scoring_Model!$B$10*$F271)+(Scoring_Model!$B$11*$G271)+(Scoring_Model!$B$12*$H271)+(Scoring_Model!$B$13*IF($I271="",0,$I271))+(Scoring_Model!$B$14*IF($J271="",0,$J271)),1))</x:f>
        <x:v>79.2</x:v>
      </x:c>
      <x:c r="L271" s="20" t="inlineStr">
        <x:is>
          <x:t xml:space="preserve">https://www.fldoe.org/file/18534/SchoolGrades25.xlsx</x:t>
        </x:is>
      </x:c>
      <x:c r="M271" s="20" t="inlineStr">
        <x:is>
          <x:t xml:space="preserve">School type Elementary; growth field currently uses official ELA learning gains in this starter model.</x:t>
        </x:is>
      </x:c>
    </x:row>
    <x:row r="272">
      <x:c r="A272" s="20" t="str">
        <x:f>FDOE_Grades_2025_Raw!A272</x:f>
        <x:v>590121</x:v>
      </x:c>
      <x:c r="B272" s="20" t="str">
        <x:f>FDOE_Grades_2025_Raw!E272</x:f>
        <x:v>LAYER ELEMENTARY SCHOOL</x:v>
      </x:c>
      <x:c r="C272" s="20" t="n">
        <x:v>2025</x:v>
      </x:c>
      <x:c r="D272" s="20" t="str">
        <x:f>FDOE_Grades_2025_Raw!W272</x:f>
        <x:v>A</x:v>
      </x:c>
      <x:c r="E272" s="25">
        <x:f>IF(D272="A",4,IF(D272="B",3,IF(D272="C",2,IF(D272="D",1,IF(D272="F",0,"")))))</x:f>
        <x:v>4</x:v>
      </x:c>
      <x:c r="F272" s="25">
        <x:f>FDOE_Grades_2025_Raw!K272</x:f>
        <x:v>75</x:v>
      </x:c>
      <x:c r="G272" s="25">
        <x:f>FDOE_Grades_2025_Raw!M272</x:f>
        <x:v>71</x:v>
      </x:c>
      <x:c r="H272" s="25">
        <x:f>FDOE_Grades_2025_Raw!L272</x:f>
        <x:v>75</x:v>
      </x:c>
      <x:c r="I272" s="25">
        <x:f>FDOE_Grades_2025_Raw!Q272</x:f>
        <x:v>0</x:v>
      </x:c>
      <x:c r="J272" s="25">
        <x:f>FDOE_Grades_2025_Raw!R272</x:f>
        <x:v>0</x:v>
      </x:c>
      <x:c r="K272" s="25">
        <x:f>IF($A272="","",ROUND((Scoring_Model!$B$9*($E272/4)*100)+(Scoring_Model!$B$10*$F272)+(Scoring_Model!$B$11*$G272)+(Scoring_Model!$B$12*$H272)+(Scoring_Model!$B$13*IF($I272="",0,$I272))+(Scoring_Model!$B$14*IF($J272="",0,$J272)),1))</x:f>
        <x:v>79.6</x:v>
      </x:c>
      <x:c r="L272" s="20" t="inlineStr">
        <x:is>
          <x:t xml:space="preserve">https://www.fldoe.org/file/18534/SchoolGrades25.xlsx</x:t>
        </x:is>
      </x:c>
      <x:c r="M272" s="20" t="inlineStr">
        <x:is>
          <x:t xml:space="preserve">School type Elementary; growth field currently uses official ELA learning gains in this starter model.</x:t>
        </x:is>
      </x:c>
    </x:row>
    <x:row r="273">
      <x:c r="A273" s="20" t="str">
        <x:f>FDOE_Grades_2025_Raw!A273</x:f>
        <x:v>590131</x:v>
      </x:c>
      <x:c r="B273" s="20" t="str">
        <x:f>FDOE_Grades_2025_Raw!E273</x:f>
        <x:v>LAWTON ELEMENTARY SCHOOL</x:v>
      </x:c>
      <x:c r="C273" s="20" t="n">
        <x:v>2025</x:v>
      </x:c>
      <x:c r="D273" s="20" t="str">
        <x:f>FDOE_Grades_2025_Raw!W273</x:f>
        <x:v>A</x:v>
      </x:c>
      <x:c r="E273" s="25">
        <x:f>IF(D273="A",4,IF(D273="B",3,IF(D273="C",2,IF(D273="D",1,IF(D273="F",0,"")))))</x:f>
        <x:v>4</x:v>
      </x:c>
      <x:c r="F273" s="25">
        <x:f>FDOE_Grades_2025_Raw!K273</x:f>
        <x:v>78</x:v>
      </x:c>
      <x:c r="G273" s="25">
        <x:f>FDOE_Grades_2025_Raw!M273</x:f>
        <x:v>79</x:v>
      </x:c>
      <x:c r="H273" s="25">
        <x:f>FDOE_Grades_2025_Raw!L273</x:f>
        <x:v>58</x:v>
      </x:c>
      <x:c r="I273" s="25">
        <x:f>FDOE_Grades_2025_Raw!Q273</x:f>
        <x:v>0</x:v>
      </x:c>
      <x:c r="J273" s="25">
        <x:f>FDOE_Grades_2025_Raw!R273</x:f>
        <x:v>0</x:v>
      </x:c>
      <x:c r="K273" s="25">
        <x:f>IF($A273="","",ROUND((Scoring_Model!$B$9*($E273/4)*100)+(Scoring_Model!$B$10*$F273)+(Scoring_Model!$B$11*$G273)+(Scoring_Model!$B$12*$H273)+(Scoring_Model!$B$13*IF($I273="",0,$I273))+(Scoring_Model!$B$14*IF($J273="",0,$J273)),1))</x:f>
        <x:v>79.3</x:v>
      </x:c>
      <x:c r="L273" s="20" t="inlineStr">
        <x:is>
          <x:t xml:space="preserve">https://www.fldoe.org/file/18534/SchoolGrades25.xlsx</x:t>
        </x:is>
      </x:c>
      <x:c r="M273" s="20" t="inlineStr">
        <x:is>
          <x:t xml:space="preserve">School type Elementary; growth field currently uses official ELA learning gains in this starter model.</x:t>
        </x:is>
      </x:c>
    </x:row>
    <x:row r="274">
      <x:c r="A274" s="20" t="str">
        <x:f>FDOE_Grades_2025_Raw!A274</x:f>
        <x:v>590141</x:v>
      </x:c>
      <x:c r="B274" s="20" t="str">
        <x:f>FDOE_Grades_2025_Raw!E274</x:f>
        <x:v>PINE CREST ELEMENTARY SCHOOL</x:v>
      </x:c>
      <x:c r="C274" s="20" t="n">
        <x:v>2025</x:v>
      </x:c>
      <x:c r="D274" s="20" t="str">
        <x:f>FDOE_Grades_2025_Raw!W274</x:f>
        <x:v>C</x:v>
      </x:c>
      <x:c r="E274" s="25">
        <x:f>IF(D274="A",4,IF(D274="B",3,IF(D274="C",2,IF(D274="D",1,IF(D274="F",0,"")))))</x:f>
        <x:v>2</x:v>
      </x:c>
      <x:c r="F274" s="25">
        <x:f>FDOE_Grades_2025_Raw!K274</x:f>
        <x:v>40</x:v>
      </x:c>
      <x:c r="G274" s="25">
        <x:f>FDOE_Grades_2025_Raw!M274</x:f>
        <x:v>48</x:v>
      </x:c>
      <x:c r="H274" s="25">
        <x:f>FDOE_Grades_2025_Raw!L274</x:f>
        <x:v>51</x:v>
      </x:c>
      <x:c r="I274" s="25">
        <x:f>FDOE_Grades_2025_Raw!Q274</x:f>
        <x:v>0</x:v>
      </x:c>
      <x:c r="J274" s="25">
        <x:f>FDOE_Grades_2025_Raw!R274</x:f>
        <x:v>0</x:v>
      </x:c>
      <x:c r="K274" s="25">
        <x:f>IF($A274="","",ROUND((Scoring_Model!$B$9*($E274/4)*100)+(Scoring_Model!$B$10*$F274)+(Scoring_Model!$B$11*$G274)+(Scoring_Model!$B$12*$H274)+(Scoring_Model!$B$13*IF($I274="",0,$I274))+(Scoring_Model!$B$14*IF($J274="",0,$J274)),1))</x:f>
        <x:v>42.9</x:v>
      </x:c>
      <x:c r="L274" s="20" t="inlineStr">
        <x:is>
          <x:t xml:space="preserve">https://www.fldoe.org/file/18534/SchoolGrades25.xlsx</x:t>
        </x:is>
      </x:c>
      <x:c r="M274" s="20" t="inlineStr">
        <x:is>
          <x:t xml:space="preserve">School type Elementary; growth field currently uses official ELA learning gains in this starter model.</x:t>
        </x:is>
      </x:c>
    </x:row>
    <x:row r="275">
      <x:c r="A275" s="20" t="str">
        <x:f>FDOE_Grades_2025_Raw!A275</x:f>
        <x:v>590151</x:v>
      </x:c>
      <x:c r="B275" s="20" t="str">
        <x:f>FDOE_Grades_2025_Raw!E275</x:f>
        <x:v>SANFORD MIDDLE SCHOOL</x:v>
      </x:c>
      <x:c r="C275" s="20" t="n">
        <x:v>2025</x:v>
      </x:c>
      <x:c r="D275" s="20" t="str">
        <x:f>FDOE_Grades_2025_Raw!W275</x:f>
        <x:v>A</x:v>
      </x:c>
      <x:c r="E275" s="25">
        <x:f>IF(D275="A",4,IF(D275="B",3,IF(D275="C",2,IF(D275="D",1,IF(D275="F",0,"")))))</x:f>
        <x:v>4</x:v>
      </x:c>
      <x:c r="F275" s="25">
        <x:f>FDOE_Grades_2025_Raw!K275</x:f>
        <x:v>72</x:v>
      </x:c>
      <x:c r="G275" s="25">
        <x:f>FDOE_Grades_2025_Raw!M275</x:f>
        <x:v>80</x:v>
      </x:c>
      <x:c r="H275" s="25">
        <x:f>FDOE_Grades_2025_Raw!L275</x:f>
        <x:v>69</x:v>
      </x:c>
      <x:c r="I275" s="25">
        <x:f>FDOE_Grades_2025_Raw!Q275</x:f>
        <x:v>0</x:v>
      </x:c>
      <x:c r="J275" s="25">
        <x:f>FDOE_Grades_2025_Raw!R275</x:f>
        <x:v>0</x:v>
      </x:c>
      <x:c r="K275" s="25">
        <x:f>IF($A275="","",ROUND((Scoring_Model!$B$9*($E275/4)*100)+(Scoring_Model!$B$10*$F275)+(Scoring_Model!$B$11*$G275)+(Scoring_Model!$B$12*$H275)+(Scoring_Model!$B$13*IF($I275="",0,$I275))+(Scoring_Model!$B$14*IF($J275="",0,$J275)),1))</x:f>
        <x:v>79.3</x:v>
      </x:c>
      <x:c r="L275" s="20" t="inlineStr">
        <x:is>
          <x:t xml:space="preserve">https://www.fldoe.org/file/18534/SchoolGrades25.xlsx</x:t>
        </x:is>
      </x:c>
      <x:c r="M275" s="20" t="inlineStr">
        <x:is>
          <x:t xml:space="preserve">School type Middle/Junior; growth field currently uses official ELA learning gains in this starter model.</x:t>
        </x:is>
      </x:c>
    </x:row>
    <x:row r="276">
      <x:c r="A276" s="20" t="str">
        <x:f>FDOE_Grades_2025_Raw!A276</x:f>
        <x:v>590171</x:v>
      </x:c>
      <x:c r="B276" s="20" t="str">
        <x:f>FDOE_Grades_2025_Raw!E276</x:f>
        <x:v>WALKER ELEMENTARY SCHOOL</x:v>
      </x:c>
      <x:c r="C276" s="20" t="n">
        <x:v>2025</x:v>
      </x:c>
      <x:c r="D276" s="20" t="str">
        <x:f>FDOE_Grades_2025_Raw!W276</x:f>
        <x:v>A</x:v>
      </x:c>
      <x:c r="E276" s="25">
        <x:f>IF(D276="A",4,IF(D276="B",3,IF(D276="C",2,IF(D276="D",1,IF(D276="F",0,"")))))</x:f>
        <x:v>4</x:v>
      </x:c>
      <x:c r="F276" s="25">
        <x:f>FDOE_Grades_2025_Raw!K276</x:f>
        <x:v>74</x:v>
      </x:c>
      <x:c r="G276" s="25">
        <x:f>FDOE_Grades_2025_Raw!M276</x:f>
        <x:v>80</x:v>
      </x:c>
      <x:c r="H276" s="25">
        <x:f>FDOE_Grades_2025_Raw!L276</x:f>
        <x:v>66</x:v>
      </x:c>
      <x:c r="I276" s="25">
        <x:f>FDOE_Grades_2025_Raw!Q276</x:f>
        <x:v>0</x:v>
      </x:c>
      <x:c r="J276" s="25">
        <x:f>FDOE_Grades_2025_Raw!R276</x:f>
        <x:v>0</x:v>
      </x:c>
      <x:c r="K276" s="25">
        <x:f>IF($A276="","",ROUND((Scoring_Model!$B$9*($E276/4)*100)+(Scoring_Model!$B$10*$F276)+(Scoring_Model!$B$11*$G276)+(Scoring_Model!$B$12*$H276)+(Scoring_Model!$B$13*IF($I276="",0,$I276))+(Scoring_Model!$B$14*IF($J276="",0,$J276)),1))</x:f>
        <x:v>79.4</x:v>
      </x:c>
      <x:c r="L276" s="20" t="inlineStr">
        <x:is>
          <x:t xml:space="preserve">https://www.fldoe.org/file/18534/SchoolGrades25.xlsx</x:t>
        </x:is>
      </x:c>
      <x:c r="M276" s="20" t="inlineStr">
        <x:is>
          <x:t xml:space="preserve">School type Elementary; growth field currently uses official ELA learning gains in this starter model.</x:t>
        </x:is>
      </x:c>
    </x:row>
    <x:row r="277">
      <x:c r="A277" s="20" t="str">
        <x:f>FDOE_Grades_2025_Raw!A277</x:f>
        <x:v>590181</x:v>
      </x:c>
      <x:c r="B277" s="20" t="str">
        <x:f>FDOE_Grades_2025_Raw!E277</x:f>
        <x:v>SEMINOLE HIGH SCHOOL</x:v>
      </x:c>
      <x:c r="C277" s="20" t="n">
        <x:v>2025</x:v>
      </x:c>
      <x:c r="D277" s="20" t="str">
        <x:f>FDOE_Grades_2025_Raw!W277</x:f>
        <x:v>B</x:v>
      </x:c>
      <x:c r="E277" s="25">
        <x:f>IF(D277="A",4,IF(D277="B",3,IF(D277="C",2,IF(D277="D",1,IF(D277="F",0,"")))))</x:f>
        <x:v>3</x:v>
      </x:c>
      <x:c r="F277" s="25">
        <x:f>FDOE_Grades_2025_Raw!K277</x:f>
        <x:v>59</x:v>
      </x:c>
      <x:c r="G277" s="25">
        <x:f>FDOE_Grades_2025_Raw!M277</x:f>
        <x:v>43</x:v>
      </x:c>
      <x:c r="H277" s="25">
        <x:f>FDOE_Grades_2025_Raw!L277</x:f>
        <x:v>62</x:v>
      </x:c>
      <x:c r="I277" s="25">
        <x:f>FDOE_Grades_2025_Raw!Q277</x:f>
        <x:v>88</x:v>
      </x:c>
      <x:c r="J277" s="25">
        <x:f>FDOE_Grades_2025_Raw!R277</x:f>
        <x:v>56</x:v>
      </x:c>
      <x:c r="K277" s="25">
        <x:f>IF($A277="","",ROUND((Scoring_Model!$B$9*($E277/4)*100)+(Scoring_Model!$B$10*$F277)+(Scoring_Model!$B$11*$G277)+(Scoring_Model!$B$12*$H277)+(Scoring_Model!$B$13*IF($I277="",0,$I277))+(Scoring_Model!$B$14*IF($J277="",0,$J277)),1))</x:f>
        <x:v>67</x:v>
      </x:c>
      <x:c r="L277" s="20" t="inlineStr">
        <x:is>
          <x:t xml:space="preserve">https://www.fldoe.org/file/18534/SchoolGrades25.xlsx</x:t>
        </x:is>
      </x:c>
      <x:c r="M277" s="20" t="inlineStr">
        <x:is>
          <x:t xml:space="preserve">School type Senior High; growth field currently uses official ELA learning gains in this starter model.</x:t>
        </x:is>
      </x:c>
    </x:row>
    <x:row r="278">
      <x:c r="A278" s="20" t="str">
        <x:f>FDOE_Grades_2025_Raw!A278</x:f>
        <x:v>590182</x:v>
      </x:c>
      <x:c r="B278" s="20" t="str">
        <x:f>FDOE_Grades_2025_Raw!E278</x:f>
        <x:v>MILLENNIUM MIDDLE SCHOOL</x:v>
      </x:c>
      <x:c r="C278" s="20" t="n">
        <x:v>2025</x:v>
      </x:c>
      <x:c r="D278" s="20" t="str">
        <x:f>FDOE_Grades_2025_Raw!W278</x:f>
        <x:v>C</x:v>
      </x:c>
      <x:c r="E278" s="25">
        <x:f>IF(D278="A",4,IF(D278="B",3,IF(D278="C",2,IF(D278="D",1,IF(D278="F",0,"")))))</x:f>
        <x:v>2</x:v>
      </x:c>
      <x:c r="F278" s="25">
        <x:f>FDOE_Grades_2025_Raw!K278</x:f>
        <x:v>47</x:v>
      </x:c>
      <x:c r="G278" s="25">
        <x:f>FDOE_Grades_2025_Raw!M278</x:f>
        <x:v>49</x:v>
      </x:c>
      <x:c r="H278" s="25">
        <x:f>FDOE_Grades_2025_Raw!L278</x:f>
        <x:v>53</x:v>
      </x:c>
      <x:c r="I278" s="25">
        <x:f>FDOE_Grades_2025_Raw!Q278</x:f>
        <x:v>0</x:v>
      </x:c>
      <x:c r="J278" s="25">
        <x:f>FDOE_Grades_2025_Raw!R278</x:f>
        <x:v>0</x:v>
      </x:c>
      <x:c r="K278" s="25">
        <x:f>IF($A278="","",ROUND((Scoring_Model!$B$9*($E278/4)*100)+(Scoring_Model!$B$10*$F278)+(Scoring_Model!$B$11*$G278)+(Scoring_Model!$B$12*$H278)+(Scoring_Model!$B$13*IF($I278="",0,$I278))+(Scoring_Model!$B$14*IF($J278="",0,$J278)),1))</x:f>
        <x:v>44.6</x:v>
      </x:c>
      <x:c r="L278" s="20" t="inlineStr">
        <x:is>
          <x:t xml:space="preserve">https://www.fldoe.org/file/18534/SchoolGrades25.xlsx</x:t>
        </x:is>
      </x:c>
      <x:c r="M278" s="20" t="inlineStr">
        <x:is>
          <x:t xml:space="preserve">School type Middle/Junior; growth field currently uses official ELA learning gains in this starter model.</x:t>
        </x:is>
      </x:c>
    </x:row>
    <x:row r="279">
      <x:c r="A279" s="20" t="str">
        <x:f>FDOE_Grades_2025_Raw!A279</x:f>
        <x:v>590201</x:v>
      </x:c>
      <x:c r="B279" s="20" t="str">
        <x:f>FDOE_Grades_2025_Raw!E279</x:f>
        <x:v>SOUTH SEMINOLE MIDDLE SCHOOL</x:v>
      </x:c>
      <x:c r="C279" s="20" t="n">
        <x:v>2025</x:v>
      </x:c>
      <x:c r="D279" s="20" t="str">
        <x:f>FDOE_Grades_2025_Raw!W279</x:f>
        <x:v>C</x:v>
      </x:c>
      <x:c r="E279" s="25">
        <x:f>IF(D279="A",4,IF(D279="B",3,IF(D279="C",2,IF(D279="D",1,IF(D279="F",0,"")))))</x:f>
        <x:v>2</x:v>
      </x:c>
      <x:c r="F279" s="25">
        <x:f>FDOE_Grades_2025_Raw!K279</x:f>
        <x:v>57</x:v>
      </x:c>
      <x:c r="G279" s="25">
        <x:f>FDOE_Grades_2025_Raw!M279</x:f>
        <x:v>50</x:v>
      </x:c>
      <x:c r="H279" s="25">
        <x:f>FDOE_Grades_2025_Raw!L279</x:f>
        <x:v>58</x:v>
      </x:c>
      <x:c r="I279" s="25">
        <x:f>FDOE_Grades_2025_Raw!Q279</x:f>
        <x:v>0</x:v>
      </x:c>
      <x:c r="J279" s="25">
        <x:f>FDOE_Grades_2025_Raw!R279</x:f>
        <x:v>0</x:v>
      </x:c>
      <x:c r="K279" s="25">
        <x:f>IF($A279="","",ROUND((Scoring_Model!$B$9*($E279/4)*100)+(Scoring_Model!$B$10*$F279)+(Scoring_Model!$B$11*$G279)+(Scoring_Model!$B$12*$H279)+(Scoring_Model!$B$13*IF($I279="",0,$I279))+(Scoring_Model!$B$14*IF($J279="",0,$J279)),1))</x:f>
        <x:v>47.2</x:v>
      </x:c>
      <x:c r="L279" s="20" t="inlineStr">
        <x:is>
          <x:t xml:space="preserve">https://www.fldoe.org/file/18534/SchoolGrades25.xlsx</x:t>
        </x:is>
      </x:c>
      <x:c r="M279" s="20" t="inlineStr">
        <x:is>
          <x:t xml:space="preserve">School type Middle/Junior; growth field currently uses official ELA learning gains in this starter model.</x:t>
        </x:is>
      </x:c>
    </x:row>
    <x:row r="280">
      <x:c r="A280" s="20" t="str">
        <x:f>FDOE_Grades_2025_Raw!A280</x:f>
        <x:v>590202</x:v>
      </x:c>
      <x:c r="B280" s="20" t="str">
        <x:f>FDOE_Grades_2025_Raw!E280</x:f>
        <x:v>CASSELBERRY ELEMENTARY SCHOOL</x:v>
      </x:c>
      <x:c r="C280" s="20" t="n">
        <x:v>2025</x:v>
      </x:c>
      <x:c r="D280" s="20" t="str">
        <x:f>FDOE_Grades_2025_Raw!W280</x:f>
        <x:v>A</x:v>
      </x:c>
      <x:c r="E280" s="25">
        <x:f>IF(D280="A",4,IF(D280="B",3,IF(D280="C",2,IF(D280="D",1,IF(D280="F",0,"")))))</x:f>
        <x:v>4</x:v>
      </x:c>
      <x:c r="F280" s="25">
        <x:f>FDOE_Grades_2025_Raw!K280</x:f>
        <x:v>68</x:v>
      </x:c>
      <x:c r="G280" s="25">
        <x:f>FDOE_Grades_2025_Raw!M280</x:f>
        <x:v>77</x:v>
      </x:c>
      <x:c r="H280" s="25">
        <x:f>FDOE_Grades_2025_Raw!L280</x:f>
        <x:v>63</x:v>
      </x:c>
      <x:c r="I280" s="25">
        <x:f>FDOE_Grades_2025_Raw!Q280</x:f>
        <x:v>0</x:v>
      </x:c>
      <x:c r="J280" s="25">
        <x:f>FDOE_Grades_2025_Raw!R280</x:f>
        <x:v>0</x:v>
      </x:c>
      <x:c r="K280" s="25">
        <x:f>IF($A280="","",ROUND((Scoring_Model!$B$9*($E280/4)*100)+(Scoring_Model!$B$10*$F280)+(Scoring_Model!$B$11*$G280)+(Scoring_Model!$B$12*$H280)+(Scoring_Model!$B$13*IF($I280="",0,$I280))+(Scoring_Model!$B$14*IF($J280="",0,$J280)),1))</x:f>
        <x:v>77.6</x:v>
      </x:c>
      <x:c r="L280" s="20" t="inlineStr">
        <x:is>
          <x:t xml:space="preserve">https://www.fldoe.org/file/18534/SchoolGrades25.xlsx</x:t>
        </x:is>
      </x:c>
      <x:c r="M280" s="20" t="inlineStr">
        <x:is>
          <x:t xml:space="preserve">School type Elementary; growth field currently uses official ELA learning gains in this starter model.</x:t>
        </x:is>
      </x:c>
    </x:row>
    <x:row r="281">
      <x:c r="A281" s="20" t="str">
        <x:f>FDOE_Grades_2025_Raw!A281</x:f>
        <x:v>590231</x:v>
      </x:c>
      <x:c r="B281" s="20" t="str">
        <x:f>FDOE_Grades_2025_Raw!E281</x:f>
        <x:v>WILSON ELEMENTARY SCHOOL</x:v>
      </x:c>
      <x:c r="C281" s="20" t="n">
        <x:v>2025</x:v>
      </x:c>
      <x:c r="D281" s="20" t="str">
        <x:f>FDOE_Grades_2025_Raw!W281</x:f>
        <x:v>A</x:v>
      </x:c>
      <x:c r="E281" s="25">
        <x:f>IF(D281="A",4,IF(D281="B",3,IF(D281="C",2,IF(D281="D",1,IF(D281="F",0,"")))))</x:f>
        <x:v>4</x:v>
      </x:c>
      <x:c r="F281" s="25">
        <x:f>FDOE_Grades_2025_Raw!K281</x:f>
        <x:v>78</x:v>
      </x:c>
      <x:c r="G281" s="25">
        <x:f>FDOE_Grades_2025_Raw!M281</x:f>
        <x:v>81</x:v>
      </x:c>
      <x:c r="H281" s="25">
        <x:f>FDOE_Grades_2025_Raw!L281</x:f>
        <x:v>68</x:v>
      </x:c>
      <x:c r="I281" s="25">
        <x:f>FDOE_Grades_2025_Raw!Q281</x:f>
        <x:v>0</x:v>
      </x:c>
      <x:c r="J281" s="25">
        <x:f>FDOE_Grades_2025_Raw!R281</x:f>
        <x:v>0</x:v>
      </x:c>
      <x:c r="K281" s="25">
        <x:f>IF($A281="","",ROUND((Scoring_Model!$B$9*($E281/4)*100)+(Scoring_Model!$B$10*$F281)+(Scoring_Model!$B$11*$G281)+(Scoring_Model!$B$12*$H281)+(Scoring_Model!$B$13*IF($I281="",0,$I281))+(Scoring_Model!$B$14*IF($J281="",0,$J281)),1))</x:f>
        <x:v>80.5</x:v>
      </x:c>
      <x:c r="L281" s="20" t="inlineStr">
        <x:is>
          <x:t xml:space="preserve">https://www.fldoe.org/file/18534/SchoolGrades25.xlsx</x:t>
        </x:is>
      </x:c>
      <x:c r="M281" s="20" t="inlineStr">
        <x:is>
          <x:t xml:space="preserve">School type Elementary; growth field currently uses official ELA learning gains in this starter model.</x:t>
        </x:is>
      </x:c>
    </x:row>
    <x:row r="282">
      <x:c r="A282" s="20" t="str">
        <x:f>FDOE_Grades_2025_Raw!A282</x:f>
        <x:v>590251</x:v>
      </x:c>
      <x:c r="B282" s="20" t="str">
        <x:f>FDOE_Grades_2025_Raw!E282</x:f>
        <x:v>CROOMS ACADEMY OF INFORMATION TECHNOLOGY</x:v>
      </x:c>
      <x:c r="C282" s="20" t="n">
        <x:v>2025</x:v>
      </x:c>
      <x:c r="D282" s="20" t="str">
        <x:f>FDOE_Grades_2025_Raw!W282</x:f>
        <x:v>A</x:v>
      </x:c>
      <x:c r="E282" s="25">
        <x:f>IF(D282="A",4,IF(D282="B",3,IF(D282="C",2,IF(D282="D",1,IF(D282="F",0,"")))))</x:f>
        <x:v>4</x:v>
      </x:c>
      <x:c r="F282" s="25">
        <x:f>FDOE_Grades_2025_Raw!K282</x:f>
        <x:v>80</x:v>
      </x:c>
      <x:c r="G282" s="25">
        <x:f>FDOE_Grades_2025_Raw!M282</x:f>
        <x:v>66</x:v>
      </x:c>
      <x:c r="H282" s="25">
        <x:f>FDOE_Grades_2025_Raw!L282</x:f>
        <x:v>74</x:v>
      </x:c>
      <x:c r="I282" s="25">
        <x:f>FDOE_Grades_2025_Raw!Q282</x:f>
        <x:v>100</x:v>
      </x:c>
      <x:c r="J282" s="25">
        <x:f>FDOE_Grades_2025_Raw!R282</x:f>
        <x:v>83</x:v>
      </x:c>
      <x:c r="K282" s="25">
        <x:f>IF($A282="","",ROUND((Scoring_Model!$B$9*($E282/4)*100)+(Scoring_Model!$B$10*$F282)+(Scoring_Model!$B$11*$G282)+(Scoring_Model!$B$12*$H282)+(Scoring_Model!$B$13*IF($I282="",0,$I282))+(Scoring_Model!$B$14*IF($J282="",0,$J282)),1))</x:f>
        <x:v>89.2</x:v>
      </x:c>
      <x:c r="L282" s="20" t="inlineStr">
        <x:is>
          <x:t xml:space="preserve">https://www.fldoe.org/file/18534/SchoolGrades25.xlsx</x:t>
        </x:is>
      </x:c>
      <x:c r="M282" s="20" t="inlineStr">
        <x:is>
          <x:t xml:space="preserve">School type Senior High; growth field currently uses official ELA learning gains in this starter model.</x:t>
        </x:is>
      </x:c>
    </x:row>
    <x:row r="283">
      <x:c r="A283" s="20" t="str">
        <x:f>FDOE_Grades_2025_Raw!A283</x:f>
        <x:v>590271</x:v>
      </x:c>
      <x:c r="B283" s="20" t="str">
        <x:f>FDOE_Grades_2025_Raw!E283</x:f>
        <x:v>GOLDSBORO ELEMENTARY MAGNET</x:v>
      </x:c>
      <x:c r="C283" s="20" t="n">
        <x:v>2025</x:v>
      </x:c>
      <x:c r="D283" s="20" t="str">
        <x:f>FDOE_Grades_2025_Raw!W283</x:f>
        <x:v>A</x:v>
      </x:c>
      <x:c r="E283" s="25">
        <x:f>IF(D283="A",4,IF(D283="B",3,IF(D283="C",2,IF(D283="D",1,IF(D283="F",0,"")))))</x:f>
        <x:v>4</x:v>
      </x:c>
      <x:c r="F283" s="25">
        <x:f>FDOE_Grades_2025_Raw!K283</x:f>
        <x:v>78</x:v>
      </x:c>
      <x:c r="G283" s="25">
        <x:f>FDOE_Grades_2025_Raw!M283</x:f>
        <x:v>76</x:v>
      </x:c>
      <x:c r="H283" s="25">
        <x:f>FDOE_Grades_2025_Raw!L283</x:f>
        <x:v>72</x:v>
      </x:c>
      <x:c r="I283" s="25">
        <x:f>FDOE_Grades_2025_Raw!Q283</x:f>
        <x:v>0</x:v>
      </x:c>
      <x:c r="J283" s="25">
        <x:f>FDOE_Grades_2025_Raw!R283</x:f>
        <x:v>0</x:v>
      </x:c>
      <x:c r="K283" s="25">
        <x:f>IF($A283="","",ROUND((Scoring_Model!$B$9*($E283/4)*100)+(Scoring_Model!$B$10*$F283)+(Scoring_Model!$B$11*$G283)+(Scoring_Model!$B$12*$H283)+(Scoring_Model!$B$13*IF($I283="",0,$I283))+(Scoring_Model!$B$14*IF($J283="",0,$J283)),1))</x:f>
        <x:v>80.4</x:v>
      </x:c>
      <x:c r="L283" s="20" t="inlineStr">
        <x:is>
          <x:t xml:space="preserve">https://www.fldoe.org/file/18534/SchoolGrades25.xlsx</x:t>
        </x:is>
      </x:c>
      <x:c r="M283" s="20" t="inlineStr">
        <x:is>
          <x:t xml:space="preserve">School type Elementary; growth field currently uses official ELA learning gains in this starter model.</x:t>
        </x:is>
      </x:c>
    </x:row>
    <x:row r="284">
      <x:c r="A284" s="20" t="str">
        <x:f>FDOE_Grades_2025_Raw!A284</x:f>
        <x:v>590291</x:v>
      </x:c>
      <x:c r="B284" s="20" t="str">
        <x:f>FDOE_Grades_2025_Raw!E284</x:f>
        <x:v>JACKSON HEIGHTS MIDDLE SCHOOL</x:v>
      </x:c>
      <x:c r="C284" s="20" t="n">
        <x:v>2025</x:v>
      </x:c>
      <x:c r="D284" s="20" t="str">
        <x:f>FDOE_Grades_2025_Raw!W284</x:f>
        <x:v>A</x:v>
      </x:c>
      <x:c r="E284" s="25">
        <x:f>IF(D284="A",4,IF(D284="B",3,IF(D284="C",2,IF(D284="D",1,IF(D284="F",0,"")))))</x:f>
        <x:v>4</x:v>
      </x:c>
      <x:c r="F284" s="25">
        <x:f>FDOE_Grades_2025_Raw!K284</x:f>
        <x:v>72</x:v>
      </x:c>
      <x:c r="G284" s="25">
        <x:f>FDOE_Grades_2025_Raw!M284</x:f>
        <x:v>81</x:v>
      </x:c>
      <x:c r="H284" s="25">
        <x:f>FDOE_Grades_2025_Raw!L284</x:f>
        <x:v>63</x:v>
      </x:c>
      <x:c r="I284" s="25">
        <x:f>FDOE_Grades_2025_Raw!Q284</x:f>
        <x:v>0</x:v>
      </x:c>
      <x:c r="J284" s="25">
        <x:f>FDOE_Grades_2025_Raw!R284</x:f>
        <x:v>0</x:v>
      </x:c>
      <x:c r="K284" s="25">
        <x:f>IF($A284="","",ROUND((Scoring_Model!$B$9*($E284/4)*100)+(Scoring_Model!$B$10*$F284)+(Scoring_Model!$B$11*$G284)+(Scoring_Model!$B$12*$H284)+(Scoring_Model!$B$13*IF($I284="",0,$I284))+(Scoring_Model!$B$14*IF($J284="",0,$J284)),1))</x:f>
        <x:v>78.8</x:v>
      </x:c>
      <x:c r="L284" s="20" t="inlineStr">
        <x:is>
          <x:t xml:space="preserve">https://www.fldoe.org/file/18534/SchoolGrades25.xlsx</x:t>
        </x:is>
      </x:c>
      <x:c r="M284" s="20" t="inlineStr">
        <x:is>
          <x:t xml:space="preserve">School type Middle/Junior; growth field currently uses official ELA learning gains in this starter model.</x:t>
        </x:is>
      </x:c>
    </x:row>
    <x:row r="285">
      <x:c r="A285" s="20" t="str">
        <x:f>FDOE_Grades_2025_Raw!A285</x:f>
        <x:v>590301</x:v>
      </x:c>
      <x:c r="B285" s="20" t="str">
        <x:f>FDOE_Grades_2025_Raw!E285</x:f>
        <x:v>MIDWAY ELEMENTARY SCHOOL</x:v>
      </x:c>
      <x:c r="C285" s="20" t="n">
        <x:v>2025</x:v>
      </x:c>
      <x:c r="D285" s="20" t="str">
        <x:f>FDOE_Grades_2025_Raw!W285</x:f>
        <x:v>C</x:v>
      </x:c>
      <x:c r="E285" s="25">
        <x:f>IF(D285="A",4,IF(D285="B",3,IF(D285="C",2,IF(D285="D",1,IF(D285="F",0,"")))))</x:f>
        <x:v>2</x:v>
      </x:c>
      <x:c r="F285" s="25">
        <x:f>FDOE_Grades_2025_Raw!K285</x:f>
        <x:v>54</x:v>
      </x:c>
      <x:c r="G285" s="25">
        <x:f>FDOE_Grades_2025_Raw!M285</x:f>
        <x:v>53</x:v>
      </x:c>
      <x:c r="H285" s="25">
        <x:f>FDOE_Grades_2025_Raw!L285</x:f>
        <x:v>50</x:v>
      </x:c>
      <x:c r="I285" s="25">
        <x:f>FDOE_Grades_2025_Raw!Q285</x:f>
        <x:v>0</x:v>
      </x:c>
      <x:c r="J285" s="25">
        <x:f>FDOE_Grades_2025_Raw!R285</x:f>
        <x:v>0</x:v>
      </x:c>
      <x:c r="K285" s="25">
        <x:f>IF($A285="","",ROUND((Scoring_Model!$B$9*($E285/4)*100)+(Scoring_Model!$B$10*$F285)+(Scoring_Model!$B$11*$G285)+(Scoring_Model!$B$12*$H285)+(Scoring_Model!$B$13*IF($I285="",0,$I285))+(Scoring_Model!$B$14*IF($J285="",0,$J285)),1))</x:f>
        <x:v>46.1</x:v>
      </x:c>
      <x:c r="L285" s="20" t="inlineStr">
        <x:is>
          <x:t xml:space="preserve">https://www.fldoe.org/file/18534/SchoolGrades25.xlsx</x:t>
        </x:is>
      </x:c>
      <x:c r="M285" s="20" t="inlineStr">
        <x:is>
          <x:t xml:space="preserve">School type Elementary; growth field currently uses official ELA learning gains in this starter model.</x:t>
        </x:is>
      </x:c>
    </x:row>
    <x:row r="286">
      <x:c r="A286" s="20" t="str">
        <x:f>FDOE_Grades_2025_Raw!A286</x:f>
        <x:v>590331</x:v>
      </x:c>
      <x:c r="B286" s="20" t="str">
        <x:f>FDOE_Grades_2025_Raw!E286</x:f>
        <x:v>HIGHLANDS ELEMENTARY SCHOOL</x:v>
      </x:c>
      <x:c r="C286" s="20" t="n">
        <x:v>2025</x:v>
      </x:c>
      <x:c r="D286" s="20" t="str">
        <x:f>FDOE_Grades_2025_Raw!W286</x:f>
        <x:v>B</x:v>
      </x:c>
      <x:c r="E286" s="25">
        <x:f>IF(D286="A",4,IF(D286="B",3,IF(D286="C",2,IF(D286="D",1,IF(D286="F",0,"")))))</x:f>
        <x:v>3</x:v>
      </x:c>
      <x:c r="F286" s="25">
        <x:f>FDOE_Grades_2025_Raw!K286</x:f>
        <x:v>69</x:v>
      </x:c>
      <x:c r="G286" s="25">
        <x:f>FDOE_Grades_2025_Raw!M286</x:f>
        <x:v>71</x:v>
      </x:c>
      <x:c r="H286" s="25">
        <x:f>FDOE_Grades_2025_Raw!L286</x:f>
        <x:v>63</x:v>
      </x:c>
      <x:c r="I286" s="25">
        <x:f>FDOE_Grades_2025_Raw!Q286</x:f>
        <x:v>0</x:v>
      </x:c>
      <x:c r="J286" s="25">
        <x:f>FDOE_Grades_2025_Raw!R286</x:f>
        <x:v>0</x:v>
      </x:c>
      <x:c r="K286" s="25">
        <x:f>IF($A286="","",ROUND((Scoring_Model!$B$9*($E286/4)*100)+(Scoring_Model!$B$10*$F286)+(Scoring_Model!$B$11*$G286)+(Scoring_Model!$B$12*$H286)+(Scoring_Model!$B$13*IF($I286="",0,$I286))+(Scoring_Model!$B$14*IF($J286="",0,$J286)),1))</x:f>
        <x:v>64.7</x:v>
      </x:c>
      <x:c r="L286" s="20" t="inlineStr">
        <x:is>
          <x:t xml:space="preserve">https://www.fldoe.org/file/18534/SchoolGrades25.xlsx</x:t>
        </x:is>
      </x:c>
      <x:c r="M286" s="20" t="inlineStr">
        <x:is>
          <x:t xml:space="preserve">School type Elementary; growth field currently uses official ELA learning gains in this starter model.</x:t>
        </x:is>
      </x:c>
    </x:row>
    <x:row r="287">
      <x:c r="A287" s="20" t="str">
        <x:f>FDOE_Grades_2025_Raw!A287</x:f>
        <x:v>590361</x:v>
      </x:c>
      <x:c r="B287" s="20" t="str">
        <x:f>FDOE_Grades_2025_Raw!E287</x:f>
        <x:v>RAINBOW ELEMENTARY SCHOOL</x:v>
      </x:c>
      <x:c r="C287" s="20" t="n">
        <x:v>2025</x:v>
      </x:c>
      <x:c r="D287" s="20" t="str">
        <x:f>FDOE_Grades_2025_Raw!W287</x:f>
        <x:v>A</x:v>
      </x:c>
      <x:c r="E287" s="25">
        <x:f>IF(D287="A",4,IF(D287="B",3,IF(D287="C",2,IF(D287="D",1,IF(D287="F",0,"")))))</x:f>
        <x:v>4</x:v>
      </x:c>
      <x:c r="F287" s="25">
        <x:f>FDOE_Grades_2025_Raw!K287</x:f>
        <x:v>88</x:v>
      </x:c>
      <x:c r="G287" s="25">
        <x:f>FDOE_Grades_2025_Raw!M287</x:f>
        <x:v>88</x:v>
      </x:c>
      <x:c r="H287" s="25">
        <x:f>FDOE_Grades_2025_Raw!L287</x:f>
        <x:v>80</x:v>
      </x:c>
      <x:c r="I287" s="25">
        <x:f>FDOE_Grades_2025_Raw!Q287</x:f>
        <x:v>0</x:v>
      </x:c>
      <x:c r="J287" s="25">
        <x:f>FDOE_Grades_2025_Raw!R287</x:f>
        <x:v>0</x:v>
      </x:c>
      <x:c r="K287" s="25">
        <x:f>IF($A287="","",ROUND((Scoring_Model!$B$9*($E287/4)*100)+(Scoring_Model!$B$10*$F287)+(Scoring_Model!$B$11*$G287)+(Scoring_Model!$B$12*$H287)+(Scoring_Model!$B$13*IF($I287="",0,$I287))+(Scoring_Model!$B$14*IF($J287="",0,$J287)),1))</x:f>
        <x:v>84.4</x:v>
      </x:c>
      <x:c r="L287" s="20" t="inlineStr">
        <x:is>
          <x:t xml:space="preserve">https://www.fldoe.org/file/18534/SchoolGrades25.xlsx</x:t>
        </x:is>
      </x:c>
      <x:c r="M287" s="20" t="inlineStr">
        <x:is>
          <x:t xml:space="preserve">School type Elementary; growth field currently uses official ELA learning gains in this starter model.</x:t>
        </x:is>
      </x:c>
    </x:row>
    <x:row r="288">
      <x:c r="A288" s="20" t="str">
        <x:f>FDOE_Grades_2025_Raw!A288</x:f>
        <x:v>590391</x:v>
      </x:c>
      <x:c r="B288" s="20" t="str">
        <x:f>FDOE_Grades_2025_Raw!E288</x:f>
        <x:v>WINTER SPRINGS ELEMENTARY SCHOOL</x:v>
      </x:c>
      <x:c r="C288" s="20" t="n">
        <x:v>2025</x:v>
      </x:c>
      <x:c r="D288" s="20" t="str">
        <x:f>FDOE_Grades_2025_Raw!W288</x:f>
        <x:v>B</x:v>
      </x:c>
      <x:c r="E288" s="25">
        <x:f>IF(D288="A",4,IF(D288="B",3,IF(D288="C",2,IF(D288="D",1,IF(D288="F",0,"")))))</x:f>
        <x:v>3</x:v>
      </x:c>
      <x:c r="F288" s="25">
        <x:f>FDOE_Grades_2025_Raw!K288</x:f>
        <x:v>53</x:v>
      </x:c>
      <x:c r="G288" s="25">
        <x:f>FDOE_Grades_2025_Raw!M288</x:f>
        <x:v>57</x:v>
      </x:c>
      <x:c r="H288" s="25">
        <x:f>FDOE_Grades_2025_Raw!L288</x:f>
        <x:v>51</x:v>
      </x:c>
      <x:c r="I288" s="25">
        <x:f>FDOE_Grades_2025_Raw!Q288</x:f>
        <x:v>0</x:v>
      </x:c>
      <x:c r="J288" s="25">
        <x:f>FDOE_Grades_2025_Raw!R288</x:f>
        <x:v>0</x:v>
      </x:c>
      <x:c r="K288" s="25">
        <x:f>IF($A288="","",ROUND((Scoring_Model!$B$9*($E288/4)*100)+(Scoring_Model!$B$10*$F288)+(Scoring_Model!$B$11*$G288)+(Scoring_Model!$B$12*$H288)+(Scoring_Model!$B$13*IF($I288="",0,$I288))+(Scoring_Model!$B$14*IF($J288="",0,$J288)),1))</x:f>
        <x:v>58.9</x:v>
      </x:c>
      <x:c r="L288" s="20" t="inlineStr">
        <x:is>
          <x:t xml:space="preserve">https://www.fldoe.org/file/18534/SchoolGrades25.xlsx</x:t>
        </x:is>
      </x:c>
      <x:c r="M288" s="20" t="inlineStr">
        <x:is>
          <x:t xml:space="preserve">School type Elementary; growth field currently uses official ELA learning gains in this starter model.</x:t>
        </x:is>
      </x:c>
    </x:row>
    <x:row r="289">
      <x:c r="A289" s="20" t="str">
        <x:f>FDOE_Grades_2025_Raw!A289</x:f>
        <x:v>590401</x:v>
      </x:c>
      <x:c r="B289" s="20" t="str">
        <x:f>FDOE_Grades_2025_Raw!E289</x:f>
        <x:v>SPRING LAKE ELEMENTARY SCHOOL</x:v>
      </x:c>
      <x:c r="C289" s="20" t="n">
        <x:v>2025</x:v>
      </x:c>
      <x:c r="D289" s="20" t="str">
        <x:f>FDOE_Grades_2025_Raw!W289</x:f>
        <x:v>C</x:v>
      </x:c>
      <x:c r="E289" s="25">
        <x:f>IF(D289="A",4,IF(D289="B",3,IF(D289="C",2,IF(D289="D",1,IF(D289="F",0,"")))))</x:f>
        <x:v>2</x:v>
      </x:c>
      <x:c r="F289" s="25">
        <x:f>FDOE_Grades_2025_Raw!K289</x:f>
        <x:v>50</x:v>
      </x:c>
      <x:c r="G289" s="25">
        <x:f>FDOE_Grades_2025_Raw!M289</x:f>
        <x:v>50</x:v>
      </x:c>
      <x:c r="H289" s="25">
        <x:f>FDOE_Grades_2025_Raw!L289</x:f>
        <x:v>56</x:v>
      </x:c>
      <x:c r="I289" s="25">
        <x:f>FDOE_Grades_2025_Raw!Q289</x:f>
        <x:v>0</x:v>
      </x:c>
      <x:c r="J289" s="25">
        <x:f>FDOE_Grades_2025_Raw!R289</x:f>
        <x:v>0</x:v>
      </x:c>
      <x:c r="K289" s="25">
        <x:f>IF($A289="","",ROUND((Scoring_Model!$B$9*($E289/4)*100)+(Scoring_Model!$B$10*$F289)+(Scoring_Model!$B$11*$G289)+(Scoring_Model!$B$12*$H289)+(Scoring_Model!$B$13*IF($I289="",0,$I289))+(Scoring_Model!$B$14*IF($J289="",0,$J289)),1))</x:f>
        <x:v>45.6</x:v>
      </x:c>
      <x:c r="L289" s="20" t="inlineStr">
        <x:is>
          <x:t xml:space="preserve">https://www.fldoe.org/file/18534/SchoolGrades25.xlsx</x:t>
        </x:is>
      </x:c>
      <x:c r="M289" s="20" t="inlineStr">
        <x:is>
          <x:t xml:space="preserve">School type Elementary; growth field currently uses official ELA learning gains in this starter model.</x:t>
        </x:is>
      </x:c>
    </x:row>
    <x:row r="290">
      <x:c r="A290" s="20" t="str">
        <x:f>FDOE_Grades_2025_Raw!A290</x:f>
        <x:v>590421</x:v>
      </x:c>
      <x:c r="B290" s="20" t="str">
        <x:f>FDOE_Grades_2025_Raw!E290</x:f>
        <x:v>OVIEDO HIGH SCHOOL</x:v>
      </x:c>
      <x:c r="C290" s="20" t="n">
        <x:v>2025</x:v>
      </x:c>
      <x:c r="D290" s="20" t="str">
        <x:f>FDOE_Grades_2025_Raw!W290</x:f>
        <x:v>A</x:v>
      </x:c>
      <x:c r="E290" s="25">
        <x:f>IF(D290="A",4,IF(D290="B",3,IF(D290="C",2,IF(D290="D",1,IF(D290="F",0,"")))))</x:f>
        <x:v>4</x:v>
      </x:c>
      <x:c r="F290" s="25">
        <x:f>FDOE_Grades_2025_Raw!K290</x:f>
        <x:v>71</x:v>
      </x:c>
      <x:c r="G290" s="25">
        <x:f>FDOE_Grades_2025_Raw!M290</x:f>
        <x:v>62</x:v>
      </x:c>
      <x:c r="H290" s="25">
        <x:f>FDOE_Grades_2025_Raw!L290</x:f>
        <x:v>64</x:v>
      </x:c>
      <x:c r="I290" s="25">
        <x:f>FDOE_Grades_2025_Raw!Q290</x:f>
        <x:v>97</x:v>
      </x:c>
      <x:c r="J290" s="25">
        <x:f>FDOE_Grades_2025_Raw!R290</x:f>
        <x:v>75</x:v>
      </x:c>
      <x:c r="K290" s="25">
        <x:f>IF($A290="","",ROUND((Scoring_Model!$B$9*($E290/4)*100)+(Scoring_Model!$B$10*$F290)+(Scoring_Model!$B$11*$G290)+(Scoring_Model!$B$12*$H290)+(Scoring_Model!$B$13*IF($I290="",0,$I290))+(Scoring_Model!$B$14*IF($J290="",0,$J290)),1))</x:f>
        <x:v>85.4</x:v>
      </x:c>
      <x:c r="L290" s="20" t="inlineStr">
        <x:is>
          <x:t xml:space="preserve">https://www.fldoe.org/file/18534/SchoolGrades25.xlsx</x:t>
        </x:is>
      </x:c>
      <x:c r="M290" s="20" t="inlineStr">
        <x:is>
          <x:t xml:space="preserve">School type Senior High; growth field currently uses official ELA learning gains in this starter model.</x:t>
        </x:is>
      </x:c>
    </x:row>
    <x:row r="291">
      <x:c r="A291" s="20" t="str">
        <x:f>FDOE_Grades_2025_Raw!A291</x:f>
        <x:v>590431</x:v>
      </x:c>
      <x:c r="B291" s="20" t="str">
        <x:f>FDOE_Grades_2025_Raw!E291</x:f>
        <x:v>LYMAN HIGH SCHOOL</x:v>
      </x:c>
      <x:c r="C291" s="20" t="n">
        <x:v>2025</x:v>
      </x:c>
      <x:c r="D291" s="20" t="str">
        <x:f>FDOE_Grades_2025_Raw!W291</x:f>
        <x:v>B</x:v>
      </x:c>
      <x:c r="E291" s="25">
        <x:f>IF(D291="A",4,IF(D291="B",3,IF(D291="C",2,IF(D291="D",1,IF(D291="F",0,"")))))</x:f>
        <x:v>3</x:v>
      </x:c>
      <x:c r="F291" s="25">
        <x:f>FDOE_Grades_2025_Raw!K291</x:f>
        <x:v>60</x:v>
      </x:c>
      <x:c r="G291" s="25">
        <x:f>FDOE_Grades_2025_Raw!M291</x:f>
        <x:v>38</x:v>
      </x:c>
      <x:c r="H291" s="25">
        <x:f>FDOE_Grades_2025_Raw!L291</x:f>
        <x:v>64</x:v>
      </x:c>
      <x:c r="I291" s="25">
        <x:f>FDOE_Grades_2025_Raw!Q291</x:f>
        <x:v>93</x:v>
      </x:c>
      <x:c r="J291" s="25">
        <x:f>FDOE_Grades_2025_Raw!R291</x:f>
        <x:v>60</x:v>
      </x:c>
      <x:c r="K291" s="25">
        <x:f>IF($A291="","",ROUND((Scoring_Model!$B$9*($E291/4)*100)+(Scoring_Model!$B$10*$F291)+(Scoring_Model!$B$11*$G291)+(Scoring_Model!$B$12*$H291)+(Scoring_Model!$B$13*IF($I291="",0,$I291))+(Scoring_Model!$B$14*IF($J291="",0,$J291)),1))</x:f>
        <x:v>67.4</x:v>
      </x:c>
      <x:c r="L291" s="20" t="inlineStr">
        <x:is>
          <x:t xml:space="preserve">https://www.fldoe.org/file/18534/SchoolGrades25.xlsx</x:t>
        </x:is>
      </x:c>
      <x:c r="M291" s="20" t="inlineStr">
        <x:is>
          <x:t xml:space="preserve">School type Senior High; growth field currently uses official ELA learning gains in this starter model.</x:t>
        </x:is>
      </x:c>
    </x:row>
    <x:row r="292">
      <x:c r="A292" s="20" t="str">
        <x:f>FDOE_Grades_2025_Raw!A292</x:f>
        <x:v>590441</x:v>
      </x:c>
      <x:c r="B292" s="20" t="str">
        <x:f>FDOE_Grades_2025_Raw!E292</x:f>
        <x:v>CARILLON ELEMENTARY SCHOOL</x:v>
      </x:c>
      <x:c r="C292" s="20" t="n">
        <x:v>2025</x:v>
      </x:c>
      <x:c r="D292" s="20" t="str">
        <x:f>FDOE_Grades_2025_Raw!W292</x:f>
        <x:v>A</x:v>
      </x:c>
      <x:c r="E292" s="25">
        <x:f>IF(D292="A",4,IF(D292="B",3,IF(D292="C",2,IF(D292="D",1,IF(D292="F",0,"")))))</x:f>
        <x:v>4</x:v>
      </x:c>
      <x:c r="F292" s="25">
        <x:f>FDOE_Grades_2025_Raw!K292</x:f>
        <x:v>69</x:v>
      </x:c>
      <x:c r="G292" s="25">
        <x:f>FDOE_Grades_2025_Raw!M292</x:f>
        <x:v>75</x:v>
      </x:c>
      <x:c r="H292" s="25">
        <x:f>FDOE_Grades_2025_Raw!L292</x:f>
        <x:v>60</x:v>
      </x:c>
      <x:c r="I292" s="25">
        <x:f>FDOE_Grades_2025_Raw!Q292</x:f>
        <x:v>0</x:v>
      </x:c>
      <x:c r="J292" s="25">
        <x:f>FDOE_Grades_2025_Raw!R292</x:f>
        <x:v>0</x:v>
      </x:c>
      <x:c r="K292" s="25">
        <x:f>IF($A292="","",ROUND((Scoring_Model!$B$9*($E292/4)*100)+(Scoring_Model!$B$10*$F292)+(Scoring_Model!$B$11*$G292)+(Scoring_Model!$B$12*$H292)+(Scoring_Model!$B$13*IF($I292="",0,$I292))+(Scoring_Model!$B$14*IF($J292="",0,$J292)),1))</x:f>
        <x:v>77.3</x:v>
      </x:c>
      <x:c r="L292" s="20" t="inlineStr">
        <x:is>
          <x:t xml:space="preserve">https://www.fldoe.org/file/18534/SchoolGrades25.xlsx</x:t>
        </x:is>
      </x:c>
      <x:c r="M292" s="20" t="inlineStr">
        <x:is>
          <x:t xml:space="preserve">School type Elementary; growth field currently uses official ELA learning gains in this starter model.</x:t>
        </x:is>
      </x:c>
    </x:row>
    <x:row r="293">
      <x:c r="A293" s="20" t="str">
        <x:f>FDOE_Grades_2025_Raw!A293</x:f>
        <x:v>590491</x:v>
      </x:c>
      <x:c r="B293" s="20" t="str">
        <x:f>FDOE_Grades_2025_Raw!E293</x:f>
        <x:v>LAKE BRANTLEY HIGH SCHOOL</x:v>
      </x:c>
      <x:c r="C293" s="20" t="n">
        <x:v>2025</x:v>
      </x:c>
      <x:c r="D293" s="20" t="str">
        <x:f>FDOE_Grades_2025_Raw!W293</x:f>
        <x:v>A</x:v>
      </x:c>
      <x:c r="E293" s="25">
        <x:f>IF(D293="A",4,IF(D293="B",3,IF(D293="C",2,IF(D293="D",1,IF(D293="F",0,"")))))</x:f>
        <x:v>4</x:v>
      </x:c>
      <x:c r="F293" s="25">
        <x:f>FDOE_Grades_2025_Raw!K293</x:f>
        <x:v>66</x:v>
      </x:c>
      <x:c r="G293" s="25">
        <x:f>FDOE_Grades_2025_Raw!M293</x:f>
        <x:v>45</x:v>
      </x:c>
      <x:c r="H293" s="25">
        <x:f>FDOE_Grades_2025_Raw!L293</x:f>
        <x:v>64</x:v>
      </x:c>
      <x:c r="I293" s="25">
        <x:f>FDOE_Grades_2025_Raw!Q293</x:f>
        <x:v>98</x:v>
      </x:c>
      <x:c r="J293" s="25">
        <x:f>FDOE_Grades_2025_Raw!R293</x:f>
        <x:v>55</x:v>
      </x:c>
      <x:c r="K293" s="25">
        <x:f>IF($A293="","",ROUND((Scoring_Model!$B$9*($E293/4)*100)+(Scoring_Model!$B$10*$F293)+(Scoring_Model!$B$11*$G293)+(Scoring_Model!$B$12*$H293)+(Scoring_Model!$B$13*IF($I293="",0,$I293))+(Scoring_Model!$B$14*IF($J293="",0,$J293)),1))</x:f>
        <x:v>81.8</x:v>
      </x:c>
      <x:c r="L293" s="20" t="inlineStr">
        <x:is>
          <x:t xml:space="preserve">https://www.fldoe.org/file/18534/SchoolGrades25.xlsx</x:t>
        </x:is>
      </x:c>
      <x:c r="M293" s="20" t="inlineStr">
        <x:is>
          <x:t xml:space="preserve">School type Senior High; growth field currently uses official ELA learning gains in this starter model.</x:t>
        </x:is>
      </x:c>
    </x:row>
    <x:row r="294">
      <x:c r="A294" s="20" t="str">
        <x:f>FDOE_Grades_2025_Raw!A294</x:f>
        <x:v>590501</x:v>
      </x:c>
      <x:c r="B294" s="20" t="str">
        <x:f>FDOE_Grades_2025_Raw!E294</x:f>
        <x:v>TEAGUE MIDDLE SCHOOL</x:v>
      </x:c>
      <x:c r="C294" s="20" t="n">
        <x:v>2025</x:v>
      </x:c>
      <x:c r="D294" s="20" t="str">
        <x:f>FDOE_Grades_2025_Raw!W294</x:f>
        <x:v>A</x:v>
      </x:c>
      <x:c r="E294" s="25">
        <x:f>IF(D294="A",4,IF(D294="B",3,IF(D294="C",2,IF(D294="D",1,IF(D294="F",0,"")))))</x:f>
        <x:v>4</x:v>
      </x:c>
      <x:c r="F294" s="25">
        <x:f>FDOE_Grades_2025_Raw!K294</x:f>
        <x:v>63</x:v>
      </x:c>
      <x:c r="G294" s="25">
        <x:f>FDOE_Grades_2025_Raw!M294</x:f>
        <x:v>69</x:v>
      </x:c>
      <x:c r="H294" s="25">
        <x:f>FDOE_Grades_2025_Raw!L294</x:f>
        <x:v>65</x:v>
      </x:c>
      <x:c r="I294" s="25">
        <x:f>FDOE_Grades_2025_Raw!Q294</x:f>
        <x:v>0</x:v>
      </x:c>
      <x:c r="J294" s="25">
        <x:f>FDOE_Grades_2025_Raw!R294</x:f>
        <x:v>0</x:v>
      </x:c>
      <x:c r="K294" s="25">
        <x:f>IF($A294="","",ROUND((Scoring_Model!$B$9*($E294/4)*100)+(Scoring_Model!$B$10*$F294)+(Scoring_Model!$B$11*$G294)+(Scoring_Model!$B$12*$H294)+(Scoring_Model!$B$13*IF($I294="",0,$I294))+(Scoring_Model!$B$14*IF($J294="",0,$J294)),1))</x:f>
        <x:v>76</x:v>
      </x:c>
      <x:c r="L294" s="20" t="inlineStr">
        <x:is>
          <x:t xml:space="preserve">https://www.fldoe.org/file/18534/SchoolGrades25.xlsx</x:t>
        </x:is>
      </x:c>
      <x:c r="M294" s="20" t="inlineStr">
        <x:is>
          <x:t xml:space="preserve">School type Middle/Junior; growth field currently uses official ELA learning gains in this starter model.</x:t>
        </x:is>
      </x:c>
    </x:row>
    <x:row r="295">
      <x:c r="A295" s="20" t="str">
        <x:f>FDOE_Grades_2025_Raw!A295</x:f>
        <x:v>590502</x:v>
      </x:c>
      <x:c r="B295" s="20" t="str">
        <x:f>FDOE_Grades_2025_Raw!E295</x:f>
        <x:v>FOREST CITY ELEMENTARY SCHOOL</x:v>
      </x:c>
      <x:c r="C295" s="20" t="n">
        <x:v>2025</x:v>
      </x:c>
      <x:c r="D295" s="20" t="str">
        <x:f>FDOE_Grades_2025_Raw!W295</x:f>
        <x:v>A</x:v>
      </x:c>
      <x:c r="E295" s="25">
        <x:f>IF(D295="A",4,IF(D295="B",3,IF(D295="C",2,IF(D295="D",1,IF(D295="F",0,"")))))</x:f>
        <x:v>4</x:v>
      </x:c>
      <x:c r="F295" s="25">
        <x:f>FDOE_Grades_2025_Raw!K295</x:f>
        <x:v>64</x:v>
      </x:c>
      <x:c r="G295" s="25">
        <x:f>FDOE_Grades_2025_Raw!M295</x:f>
        <x:v>72</x:v>
      </x:c>
      <x:c r="H295" s="25">
        <x:f>FDOE_Grades_2025_Raw!L295</x:f>
        <x:v>67</x:v>
      </x:c>
      <x:c r="I295" s="25">
        <x:f>FDOE_Grades_2025_Raw!Q295</x:f>
        <x:v>0</x:v>
      </x:c>
      <x:c r="J295" s="25">
        <x:f>FDOE_Grades_2025_Raw!R295</x:f>
        <x:v>0</x:v>
      </x:c>
      <x:c r="K295" s="25">
        <x:f>IF($A295="","",ROUND((Scoring_Model!$B$9*($E295/4)*100)+(Scoring_Model!$B$10*$F295)+(Scoring_Model!$B$11*$G295)+(Scoring_Model!$B$12*$H295)+(Scoring_Model!$B$13*IF($I295="",0,$I295))+(Scoring_Model!$B$14*IF($J295="",0,$J295)),1))</x:f>
        <x:v>76.7</x:v>
      </x:c>
      <x:c r="L295" s="20" t="inlineStr">
        <x:is>
          <x:t xml:space="preserve">https://www.fldoe.org/file/18534/SchoolGrades25.xlsx</x:t>
        </x:is>
      </x:c>
      <x:c r="M295" s="20" t="inlineStr">
        <x:is>
          <x:t xml:space="preserve">School type Elementary; growth field currently uses official ELA learning gains in this starter model.</x:t>
        </x:is>
      </x:c>
    </x:row>
    <x:row r="296">
      <x:c r="A296" s="20" t="str">
        <x:f>FDOE_Grades_2025_Raw!A296</x:f>
        <x:v>590511</x:v>
      </x:c>
      <x:c r="B296" s="20" t="str">
        <x:f>FDOE_Grades_2025_Raw!E296</x:f>
        <x:v>RED BUG ELEMENTARY SCHOOL</x:v>
      </x:c>
      <x:c r="C296" s="20" t="n">
        <x:v>2025</x:v>
      </x:c>
      <x:c r="D296" s="20" t="str">
        <x:f>FDOE_Grades_2025_Raw!W296</x:f>
        <x:v>B</x:v>
      </x:c>
      <x:c r="E296" s="25">
        <x:f>IF(D296="A",4,IF(D296="B",3,IF(D296="C",2,IF(D296="D",1,IF(D296="F",0,"")))))</x:f>
        <x:v>3</x:v>
      </x:c>
      <x:c r="F296" s="25">
        <x:f>FDOE_Grades_2025_Raw!K296</x:f>
        <x:v>66</x:v>
      </x:c>
      <x:c r="G296" s="25">
        <x:f>FDOE_Grades_2025_Raw!M296</x:f>
        <x:v>64</x:v>
      </x:c>
      <x:c r="H296" s="25">
        <x:f>FDOE_Grades_2025_Raw!L296</x:f>
        <x:v>55</x:v>
      </x:c>
      <x:c r="I296" s="25">
        <x:f>FDOE_Grades_2025_Raw!Q296</x:f>
        <x:v>0</x:v>
      </x:c>
      <x:c r="J296" s="25">
        <x:f>FDOE_Grades_2025_Raw!R296</x:f>
        <x:v>0</x:v>
      </x:c>
      <x:c r="K296" s="25">
        <x:f>IF($A296="","",ROUND((Scoring_Model!$B$9*($E296/4)*100)+(Scoring_Model!$B$10*$F296)+(Scoring_Model!$B$11*$G296)+(Scoring_Model!$B$12*$H296)+(Scoring_Model!$B$13*IF($I296="",0,$I296))+(Scoring_Model!$B$14*IF($J296="",0,$J296)),1))</x:f>
        <x:v>62.6</x:v>
      </x:c>
      <x:c r="L296" s="20" t="inlineStr">
        <x:is>
          <x:t xml:space="preserve">https://www.fldoe.org/file/18534/SchoolGrades25.xlsx</x:t>
        </x:is>
      </x:c>
      <x:c r="M296" s="20" t="inlineStr">
        <x:is>
          <x:t xml:space="preserve">School type Elementary; growth field currently uses official ELA learning gains in this starter model.</x:t>
        </x:is>
      </x:c>
    </x:row>
    <x:row r="297">
      <x:c r="A297" s="20" t="str">
        <x:f>FDOE_Grades_2025_Raw!A297</x:f>
        <x:v>590521</x:v>
      </x:c>
      <x:c r="B297" s="20" t="str">
        <x:f>FDOE_Grades_2025_Raw!E297</x:f>
        <x:v>IDYLLWILDE ELEMENTARY SCHOOL</x:v>
      </x:c>
      <x:c r="C297" s="20" t="n">
        <x:v>2025</x:v>
      </x:c>
      <x:c r="D297" s="20" t="str">
        <x:f>FDOE_Grades_2025_Raw!W297</x:f>
        <x:v>B</x:v>
      </x:c>
      <x:c r="E297" s="25">
        <x:f>IF(D297="A",4,IF(D297="B",3,IF(D297="C",2,IF(D297="D",1,IF(D297="F",0,"")))))</x:f>
        <x:v>3</x:v>
      </x:c>
      <x:c r="F297" s="25">
        <x:f>FDOE_Grades_2025_Raw!K297</x:f>
        <x:v>49</x:v>
      </x:c>
      <x:c r="G297" s="25">
        <x:f>FDOE_Grades_2025_Raw!M297</x:f>
        <x:v>53</x:v>
      </x:c>
      <x:c r="H297" s="25">
        <x:f>FDOE_Grades_2025_Raw!L297</x:f>
        <x:v>55</x:v>
      </x:c>
      <x:c r="I297" s="25">
        <x:f>FDOE_Grades_2025_Raw!Q297</x:f>
        <x:v>0</x:v>
      </x:c>
      <x:c r="J297" s="25">
        <x:f>FDOE_Grades_2025_Raw!R297</x:f>
        <x:v>0</x:v>
      </x:c>
      <x:c r="K297" s="25">
        <x:f>IF($A297="","",ROUND((Scoring_Model!$B$9*($E297/4)*100)+(Scoring_Model!$B$10*$F297)+(Scoring_Model!$B$11*$G297)+(Scoring_Model!$B$12*$H297)+(Scoring_Model!$B$13*IF($I297="",0,$I297))+(Scoring_Model!$B$14*IF($J297="",0,$J297)),1))</x:f>
        <x:v>58.1</x:v>
      </x:c>
      <x:c r="L297" s="20" t="inlineStr">
        <x:is>
          <x:t xml:space="preserve">https://www.fldoe.org/file/18534/SchoolGrades25.xlsx</x:t>
        </x:is>
      </x:c>
      <x:c r="M297" s="20" t="inlineStr">
        <x:is>
          <x:t xml:space="preserve">School type Elementary; growth field currently uses official ELA learning gains in this starter model.</x:t>
        </x:is>
      </x:c>
    </x:row>
    <x:row r="298">
      <x:c r="A298" s="20" t="str">
        <x:f>FDOE_Grades_2025_Raw!A298</x:f>
        <x:v>590531</x:v>
      </x:c>
      <x:c r="B298" s="20" t="str">
        <x:f>FDOE_Grades_2025_Raw!E298</x:f>
        <x:v>EASTBROOK ELEMENTARY SCHOOL</x:v>
      </x:c>
      <x:c r="C298" s="20" t="n">
        <x:v>2025</x:v>
      </x:c>
      <x:c r="D298" s="20" t="str">
        <x:f>FDOE_Grades_2025_Raw!W298</x:f>
        <x:v>B</x:v>
      </x:c>
      <x:c r="E298" s="25">
        <x:f>IF(D298="A",4,IF(D298="B",3,IF(D298="C",2,IF(D298="D",1,IF(D298="F",0,"")))))</x:f>
        <x:v>3</x:v>
      </x:c>
      <x:c r="F298" s="25">
        <x:f>FDOE_Grades_2025_Raw!K298</x:f>
        <x:v>65</x:v>
      </x:c>
      <x:c r="G298" s="25">
        <x:f>FDOE_Grades_2025_Raw!M298</x:f>
        <x:v>64</x:v>
      </x:c>
      <x:c r="H298" s="25">
        <x:f>FDOE_Grades_2025_Raw!L298</x:f>
        <x:v>63</x:v>
      </x:c>
      <x:c r="I298" s="25">
        <x:f>FDOE_Grades_2025_Raw!Q298</x:f>
        <x:v>0</x:v>
      </x:c>
      <x:c r="J298" s="25">
        <x:f>FDOE_Grades_2025_Raw!R298</x:f>
        <x:v>0</x:v>
      </x:c>
      <x:c r="K298" s="25">
        <x:f>IF($A298="","",ROUND((Scoring_Model!$B$9*($E298/4)*100)+(Scoring_Model!$B$10*$F298)+(Scoring_Model!$B$11*$G298)+(Scoring_Model!$B$12*$H298)+(Scoring_Model!$B$13*IF($I298="",0,$I298))+(Scoring_Model!$B$14*IF($J298="",0,$J298)),1))</x:f>
        <x:v>63.2</x:v>
      </x:c>
      <x:c r="L298" s="20" t="inlineStr">
        <x:is>
          <x:t xml:space="preserve">https://www.fldoe.org/file/18534/SchoolGrades25.xlsx</x:t>
        </x:is>
      </x:c>
      <x:c r="M298" s="20" t="inlineStr">
        <x:is>
          <x:t xml:space="preserve">School type Elementary; growth field currently uses official ELA learning gains in this starter model.</x:t>
        </x:is>
      </x:c>
    </x:row>
    <x:row r="299">
      <x:c r="A299" s="20" t="str">
        <x:f>FDOE_Grades_2025_Raw!A299</x:f>
        <x:v>590541</x:v>
      </x:c>
      <x:c r="B299" s="20" t="str">
        <x:f>FDOE_Grades_2025_Raw!E299</x:f>
        <x:v>TUSKAWILLA MIDDLE SCHOOL</x:v>
      </x:c>
      <x:c r="C299" s="20" t="n">
        <x:v>2025</x:v>
      </x:c>
      <x:c r="D299" s="20" t="str">
        <x:f>FDOE_Grades_2025_Raw!W299</x:f>
        <x:v>A</x:v>
      </x:c>
      <x:c r="E299" s="25">
        <x:f>IF(D299="A",4,IF(D299="B",3,IF(D299="C",2,IF(D299="D",1,IF(D299="F",0,"")))))</x:f>
        <x:v>4</x:v>
      </x:c>
      <x:c r="F299" s="25">
        <x:f>FDOE_Grades_2025_Raw!K299</x:f>
        <x:v>61</x:v>
      </x:c>
      <x:c r="G299" s="25">
        <x:f>FDOE_Grades_2025_Raw!M299</x:f>
        <x:v>72</x:v>
      </x:c>
      <x:c r="H299" s="25">
        <x:f>FDOE_Grades_2025_Raw!L299</x:f>
        <x:v>62</x:v>
      </x:c>
      <x:c r="I299" s="25">
        <x:f>FDOE_Grades_2025_Raw!Q299</x:f>
        <x:v>0</x:v>
      </x:c>
      <x:c r="J299" s="25">
        <x:f>FDOE_Grades_2025_Raw!R299</x:f>
        <x:v>0</x:v>
      </x:c>
      <x:c r="K299" s="25">
        <x:f>IF($A299="","",ROUND((Scoring_Model!$B$9*($E299/4)*100)+(Scoring_Model!$B$10*$F299)+(Scoring_Model!$B$11*$G299)+(Scoring_Model!$B$12*$H299)+(Scoring_Model!$B$13*IF($I299="",0,$I299))+(Scoring_Model!$B$14*IF($J299="",0,$J299)),1))</x:f>
        <x:v>75.6</x:v>
      </x:c>
      <x:c r="L299" s="20" t="inlineStr">
        <x:is>
          <x:t xml:space="preserve">https://www.fldoe.org/file/18534/SchoolGrades25.xlsx</x:t>
        </x:is>
      </x:c>
      <x:c r="M299" s="20" t="inlineStr">
        <x:is>
          <x:t xml:space="preserve">School type Middle/Junior; growth field currently uses official ELA learning gains in this starter model.</x:t>
        </x:is>
      </x:c>
    </x:row>
    <x:row r="300">
      <x:c r="A300" s="20" t="str">
        <x:f>FDOE_Grades_2025_Raw!A300</x:f>
        <x:v>590551</x:v>
      </x:c>
      <x:c r="B300" s="20" t="str">
        <x:f>FDOE_Grades_2025_Raw!E300</x:f>
        <x:v>LAKE HOWELL HIGH SCHOOL</x:v>
      </x:c>
      <x:c r="C300" s="20" t="n">
        <x:v>2025</x:v>
      </x:c>
      <x:c r="D300" s="20" t="str">
        <x:f>FDOE_Grades_2025_Raw!W300</x:f>
        <x:v>A</x:v>
      </x:c>
      <x:c r="E300" s="25">
        <x:f>IF(D300="A",4,IF(D300="B",3,IF(D300="C",2,IF(D300="D",1,IF(D300="F",0,"")))))</x:f>
        <x:v>4</x:v>
      </x:c>
      <x:c r="F300" s="25">
        <x:f>FDOE_Grades_2025_Raw!K300</x:f>
        <x:v>63</x:v>
      </x:c>
      <x:c r="G300" s="25">
        <x:f>FDOE_Grades_2025_Raw!M300</x:f>
        <x:v>48</x:v>
      </x:c>
      <x:c r="H300" s="25">
        <x:f>FDOE_Grades_2025_Raw!L300</x:f>
        <x:v>64</x:v>
      </x:c>
      <x:c r="I300" s="25">
        <x:f>FDOE_Grades_2025_Raw!Q300</x:f>
        <x:v>98</x:v>
      </x:c>
      <x:c r="J300" s="25">
        <x:f>FDOE_Grades_2025_Raw!R300</x:f>
        <x:v>57</x:v>
      </x:c>
      <x:c r="K300" s="25">
        <x:f>IF($A300="","",ROUND((Scoring_Model!$B$9*($E300/4)*100)+(Scoring_Model!$B$10*$F300)+(Scoring_Model!$B$11*$G300)+(Scoring_Model!$B$12*$H300)+(Scoring_Model!$B$13*IF($I300="",0,$I300))+(Scoring_Model!$B$14*IF($J300="",0,$J300)),1))</x:f>
        <x:v>81.6</x:v>
      </x:c>
      <x:c r="L300" s="20" t="inlineStr">
        <x:is>
          <x:t xml:space="preserve">https://www.fldoe.org/file/18534/SchoolGrades25.xlsx</x:t>
        </x:is>
      </x:c>
      <x:c r="M300" s="20" t="inlineStr">
        <x:is>
          <x:t xml:space="preserve">School type Senior High; growth field currently uses official ELA learning gains in this starter model.</x:t>
        </x:is>
      </x:c>
    </x:row>
    <x:row r="301">
      <x:c r="A301" s="20" t="str">
        <x:f>FDOE_Grades_2025_Raw!A301</x:f>
        <x:v>590561</x:v>
      </x:c>
      <x:c r="B301" s="20" t="str">
        <x:f>FDOE_Grades_2025_Raw!E301</x:f>
        <x:v>ALTAMONTE ELEMENTARY SCHOOL</x:v>
      </x:c>
      <x:c r="C301" s="20" t="n">
        <x:v>2025</x:v>
      </x:c>
      <x:c r="D301" s="20" t="str">
        <x:f>FDOE_Grades_2025_Raw!W301</x:f>
        <x:v>B</x:v>
      </x:c>
      <x:c r="E301" s="25">
        <x:f>IF(D301="A",4,IF(D301="B",3,IF(D301="C",2,IF(D301="D",1,IF(D301="F",0,"")))))</x:f>
        <x:v>3</x:v>
      </x:c>
      <x:c r="F301" s="25">
        <x:f>FDOE_Grades_2025_Raw!K301</x:f>
        <x:v>54</x:v>
      </x:c>
      <x:c r="G301" s="25">
        <x:f>FDOE_Grades_2025_Raw!M301</x:f>
        <x:v>54</x:v>
      </x:c>
      <x:c r="H301" s="25">
        <x:f>FDOE_Grades_2025_Raw!L301</x:f>
        <x:v>57</x:v>
      </x:c>
      <x:c r="I301" s="25">
        <x:f>FDOE_Grades_2025_Raw!Q301</x:f>
        <x:v>0</x:v>
      </x:c>
      <x:c r="J301" s="25">
        <x:f>FDOE_Grades_2025_Raw!R301</x:f>
        <x:v>0</x:v>
      </x:c>
      <x:c r="K301" s="25">
        <x:f>IF($A301="","",ROUND((Scoring_Model!$B$9*($E301/4)*100)+(Scoring_Model!$B$10*$F301)+(Scoring_Model!$B$11*$G301)+(Scoring_Model!$B$12*$H301)+(Scoring_Model!$B$13*IF($I301="",0,$I301))+(Scoring_Model!$B$14*IF($J301="",0,$J301)),1))</x:f>
        <x:v>59.4</x:v>
      </x:c>
      <x:c r="L301" s="20" t="inlineStr">
        <x:is>
          <x:t xml:space="preserve">https://www.fldoe.org/file/18534/SchoolGrades25.xlsx</x:t>
        </x:is>
      </x:c>
      <x:c r="M301" s="20" t="inlineStr">
        <x:is>
          <x:t xml:space="preserve">School type Elementary; growth field currently uses official ELA learning gains in this starter model.</x:t>
        </x:is>
      </x:c>
    </x:row>
    <x:row r="302">
      <x:c r="A302" s="20" t="str">
        <x:f>FDOE_Grades_2025_Raw!A302</x:f>
        <x:v>590581</x:v>
      </x:c>
      <x:c r="B302" s="20" t="str">
        <x:f>FDOE_Grades_2025_Raw!E302</x:f>
        <x:v>SABAL POINT ELEMENTARY SCHOOL</x:v>
      </x:c>
      <x:c r="C302" s="20" t="n">
        <x:v>2025</x:v>
      </x:c>
      <x:c r="D302" s="20" t="str">
        <x:f>FDOE_Grades_2025_Raw!W302</x:f>
        <x:v>A</x:v>
      </x:c>
      <x:c r="E302" s="25">
        <x:f>IF(D302="A",4,IF(D302="B",3,IF(D302="C",2,IF(D302="D",1,IF(D302="F",0,"")))))</x:f>
        <x:v>4</x:v>
      </x:c>
      <x:c r="F302" s="25">
        <x:f>FDOE_Grades_2025_Raw!K302</x:f>
        <x:v>84</x:v>
      </x:c>
      <x:c r="G302" s="25">
        <x:f>FDOE_Grades_2025_Raw!M302</x:f>
        <x:v>84</x:v>
      </x:c>
      <x:c r="H302" s="25">
        <x:f>FDOE_Grades_2025_Raw!L302</x:f>
        <x:v>74</x:v>
      </x:c>
      <x:c r="I302" s="25">
        <x:f>FDOE_Grades_2025_Raw!Q302</x:f>
        <x:v>0</x:v>
      </x:c>
      <x:c r="J302" s="25">
        <x:f>FDOE_Grades_2025_Raw!R302</x:f>
        <x:v>0</x:v>
      </x:c>
      <x:c r="K302" s="25">
        <x:f>IF($A302="","",ROUND((Scoring_Model!$B$9*($E302/4)*100)+(Scoring_Model!$B$10*$F302)+(Scoring_Model!$B$11*$G302)+(Scoring_Model!$B$12*$H302)+(Scoring_Model!$B$13*IF($I302="",0,$I302))+(Scoring_Model!$B$14*IF($J302="",0,$J302)),1))</x:f>
        <x:v>82.6</x:v>
      </x:c>
      <x:c r="L302" s="20" t="inlineStr">
        <x:is>
          <x:t xml:space="preserve">https://www.fldoe.org/file/18534/SchoolGrades25.xlsx</x:t>
        </x:is>
      </x:c>
      <x:c r="M302" s="20" t="inlineStr">
        <x:is>
          <x:t xml:space="preserve">School type Elementary; growth field currently uses official ELA learning gains in this starter model.</x:t>
        </x:is>
      </x:c>
    </x:row>
    <x:row r="303">
      <x:c r="A303" s="20" t="str">
        <x:f>FDOE_Grades_2025_Raw!A303</x:f>
        <x:v>590591</x:v>
      </x:c>
      <x:c r="B303" s="20" t="str">
        <x:f>FDOE_Grades_2025_Raw!E303</x:f>
        <x:v>WOODLANDS ELEMENTARY SCHOOL</x:v>
      </x:c>
      <x:c r="C303" s="20" t="n">
        <x:v>2025</x:v>
      </x:c>
      <x:c r="D303" s="20" t="str">
        <x:f>FDOE_Grades_2025_Raw!W303</x:f>
        <x:v>A</x:v>
      </x:c>
      <x:c r="E303" s="25">
        <x:f>IF(D303="A",4,IF(D303="B",3,IF(D303="C",2,IF(D303="D",1,IF(D303="F",0,"")))))</x:f>
        <x:v>4</x:v>
      </x:c>
      <x:c r="F303" s="25">
        <x:f>FDOE_Grades_2025_Raw!K303</x:f>
        <x:v>80</x:v>
      </x:c>
      <x:c r="G303" s="25">
        <x:f>FDOE_Grades_2025_Raw!M303</x:f>
        <x:v>82</x:v>
      </x:c>
      <x:c r="H303" s="25">
        <x:f>FDOE_Grades_2025_Raw!L303</x:f>
        <x:v>64</x:v>
      </x:c>
      <x:c r="I303" s="25">
        <x:f>FDOE_Grades_2025_Raw!Q303</x:f>
        <x:v>0</x:v>
      </x:c>
      <x:c r="J303" s="25">
        <x:f>FDOE_Grades_2025_Raw!R303</x:f>
        <x:v>0</x:v>
      </x:c>
      <x:c r="K303" s="25">
        <x:f>IF($A303="","",ROUND((Scoring_Model!$B$9*($E303/4)*100)+(Scoring_Model!$B$10*$F303)+(Scoring_Model!$B$11*$G303)+(Scoring_Model!$B$12*$H303)+(Scoring_Model!$B$13*IF($I303="",0,$I303))+(Scoring_Model!$B$14*IF($J303="",0,$J303)),1))</x:f>
        <x:v>80.6</x:v>
      </x:c>
      <x:c r="L303" s="20" t="inlineStr">
        <x:is>
          <x:t xml:space="preserve">https://www.fldoe.org/file/18534/SchoolGrades25.xlsx</x:t>
        </x:is>
      </x:c>
      <x:c r="M303" s="20" t="inlineStr">
        <x:is>
          <x:t xml:space="preserve">School type Elementary; growth field currently uses official ELA learning gains in this starter model.</x:t>
        </x:is>
      </x:c>
    </x:row>
    <x:row r="304">
      <x:c r="A304" s="20" t="str">
        <x:f>FDOE_Grades_2025_Raw!A304</x:f>
        <x:v>590601</x:v>
      </x:c>
      <x:c r="B304" s="20" t="str">
        <x:f>FDOE_Grades_2025_Raw!E304</x:f>
        <x:v>LAKE ORIENTA ELEMENTARY SCHOOL</x:v>
      </x:c>
      <x:c r="C304" s="20" t="n">
        <x:v>2025</x:v>
      </x:c>
      <x:c r="D304" s="20" t="str">
        <x:f>FDOE_Grades_2025_Raw!W304</x:f>
        <x:v>C</x:v>
      </x:c>
      <x:c r="E304" s="25">
        <x:f>IF(D304="A",4,IF(D304="B",3,IF(D304="C",2,IF(D304="D",1,IF(D304="F",0,"")))))</x:f>
        <x:v>2</x:v>
      </x:c>
      <x:c r="F304" s="25">
        <x:f>FDOE_Grades_2025_Raw!K304</x:f>
        <x:v>55</x:v>
      </x:c>
      <x:c r="G304" s="25">
        <x:f>FDOE_Grades_2025_Raw!M304</x:f>
        <x:v>44</x:v>
      </x:c>
      <x:c r="H304" s="25">
        <x:f>FDOE_Grades_2025_Raw!L304</x:f>
        <x:v>49</x:v>
      </x:c>
      <x:c r="I304" s="25">
        <x:f>FDOE_Grades_2025_Raw!Q304</x:f>
        <x:v>0</x:v>
      </x:c>
      <x:c r="J304" s="25">
        <x:f>FDOE_Grades_2025_Raw!R304</x:f>
        <x:v>0</x:v>
      </x:c>
      <x:c r="K304" s="25">
        <x:f>IF($A304="","",ROUND((Scoring_Model!$B$9*($E304/4)*100)+(Scoring_Model!$B$10*$F304)+(Scoring_Model!$B$11*$G304)+(Scoring_Model!$B$12*$H304)+(Scoring_Model!$B$13*IF($I304="",0,$I304))+(Scoring_Model!$B$14*IF($J304="",0,$J304)),1))</x:f>
        <x:v>45.3</x:v>
      </x:c>
      <x:c r="L304" s="20" t="inlineStr">
        <x:is>
          <x:t xml:space="preserve">https://www.fldoe.org/file/18534/SchoolGrades25.xlsx</x:t>
        </x:is>
      </x:c>
      <x:c r="M304" s="20" t="inlineStr">
        <x:is>
          <x:t xml:space="preserve">School type Elementary; growth field currently uses official ELA learning gains in this starter model.</x:t>
        </x:is>
      </x:c>
    </x:row>
    <x:row r="305">
      <x:c r="A305" s="20" t="str">
        <x:f>FDOE_Grades_2025_Raw!A305</x:f>
        <x:v>590611</x:v>
      </x:c>
      <x:c r="B305" s="20" t="str">
        <x:f>FDOE_Grades_2025_Raw!E305</x:f>
        <x:v>STERLING PARK ELEMENTARY SCHOOL</x:v>
      </x:c>
      <x:c r="C305" s="20" t="n">
        <x:v>2025</x:v>
      </x:c>
      <x:c r="D305" s="20" t="str">
        <x:f>FDOE_Grades_2025_Raw!W305</x:f>
        <x:v>B</x:v>
      </x:c>
      <x:c r="E305" s="25">
        <x:f>IF(D305="A",4,IF(D305="B",3,IF(D305="C",2,IF(D305="D",1,IF(D305="F",0,"")))))</x:f>
        <x:v>3</x:v>
      </x:c>
      <x:c r="F305" s="25">
        <x:f>FDOE_Grades_2025_Raw!K305</x:f>
        <x:v>67</x:v>
      </x:c>
      <x:c r="G305" s="25">
        <x:f>FDOE_Grades_2025_Raw!M305</x:f>
        <x:v>60</x:v>
      </x:c>
      <x:c r="H305" s="25">
        <x:f>FDOE_Grades_2025_Raw!L305</x:f>
        <x:v>64</x:v>
      </x:c>
      <x:c r="I305" s="25">
        <x:f>FDOE_Grades_2025_Raw!Q305</x:f>
        <x:v>0</x:v>
      </x:c>
      <x:c r="J305" s="25">
        <x:f>FDOE_Grades_2025_Raw!R305</x:f>
        <x:v>0</x:v>
      </x:c>
      <x:c r="K305" s="25">
        <x:f>IF($A305="","",ROUND((Scoring_Model!$B$9*($E305/4)*100)+(Scoring_Model!$B$10*$F305)+(Scoring_Model!$B$11*$G305)+(Scoring_Model!$B$12*$H305)+(Scoring_Model!$B$13*IF($I305="",0,$I305))+(Scoring_Model!$B$14*IF($J305="",0,$J305)),1))</x:f>
        <x:v>63.3</x:v>
      </x:c>
      <x:c r="L305" s="20" t="inlineStr">
        <x:is>
          <x:t xml:space="preserve">https://www.fldoe.org/file/18534/SchoolGrades25.xlsx</x:t>
        </x:is>
      </x:c>
      <x:c r="M305" s="20" t="inlineStr">
        <x:is>
          <x:t xml:space="preserve">School type Elementary; growth field currently uses official ELA learning gains in this starter model.</x:t>
        </x:is>
      </x:c>
    </x:row>
    <x:row r="306">
      <x:c r="A306" s="20" t="str">
        <x:f>FDOE_Grades_2025_Raw!A306</x:f>
        <x:v>590621</x:v>
      </x:c>
      <x:c r="B306" s="20" t="str">
        <x:f>FDOE_Grades_2025_Raw!E306</x:f>
        <x:v>ROCK LAKE MIDDLE SCHOOL</x:v>
      </x:c>
      <x:c r="C306" s="20" t="n">
        <x:v>2025</x:v>
      </x:c>
      <x:c r="D306" s="20" t="str">
        <x:f>FDOE_Grades_2025_Raw!W306</x:f>
        <x:v>A</x:v>
      </x:c>
      <x:c r="E306" s="25">
        <x:f>IF(D306="A",4,IF(D306="B",3,IF(D306="C",2,IF(D306="D",1,IF(D306="F",0,"")))))</x:f>
        <x:v>4</x:v>
      </x:c>
      <x:c r="F306" s="25">
        <x:f>FDOE_Grades_2025_Raw!K306</x:f>
        <x:v>70</x:v>
      </x:c>
      <x:c r="G306" s="25">
        <x:f>FDOE_Grades_2025_Raw!M306</x:f>
        <x:v>82</x:v>
      </x:c>
      <x:c r="H306" s="25">
        <x:f>FDOE_Grades_2025_Raw!L306</x:f>
        <x:v>59</x:v>
      </x:c>
      <x:c r="I306" s="25">
        <x:f>FDOE_Grades_2025_Raw!Q306</x:f>
        <x:v>0</x:v>
      </x:c>
      <x:c r="J306" s="25">
        <x:f>FDOE_Grades_2025_Raw!R306</x:f>
        <x:v>0</x:v>
      </x:c>
      <x:c r="K306" s="25">
        <x:f>IF($A306="","",ROUND((Scoring_Model!$B$9*($E306/4)*100)+(Scoring_Model!$B$10*$F306)+(Scoring_Model!$B$11*$G306)+(Scoring_Model!$B$12*$H306)+(Scoring_Model!$B$13*IF($I306="",0,$I306))+(Scoring_Model!$B$14*IF($J306="",0,$J306)),1))</x:f>
        <x:v>78.1</x:v>
      </x:c>
      <x:c r="L306" s="20" t="inlineStr">
        <x:is>
          <x:t xml:space="preserve">https://www.fldoe.org/file/18534/SchoolGrades25.xlsx</x:t>
        </x:is>
      </x:c>
      <x:c r="M306" s="20" t="inlineStr">
        <x:is>
          <x:t xml:space="preserve">School type Middle/Junior; growth field currently uses official ELA learning gains in this starter model.</x:t>
        </x:is>
      </x:c>
    </x:row>
    <x:row r="307">
      <x:c r="A307" s="20" t="str">
        <x:f>FDOE_Grades_2025_Raw!A307</x:f>
        <x:v>590651</x:v>
      </x:c>
      <x:c r="B307" s="20" t="str">
        <x:f>FDOE_Grades_2025_Raw!E307</x:f>
        <x:v>WEKIVA ELEMENTARY SCHOOL</x:v>
      </x:c>
      <x:c r="C307" s="20" t="n">
        <x:v>2025</x:v>
      </x:c>
      <x:c r="D307" s="20" t="str">
        <x:f>FDOE_Grades_2025_Raw!W307</x:f>
        <x:v>A</x:v>
      </x:c>
      <x:c r="E307" s="25">
        <x:f>IF(D307="A",4,IF(D307="B",3,IF(D307="C",2,IF(D307="D",1,IF(D307="F",0,"")))))</x:f>
        <x:v>4</x:v>
      </x:c>
      <x:c r="F307" s="25">
        <x:f>FDOE_Grades_2025_Raw!K307</x:f>
        <x:v>71</x:v>
      </x:c>
      <x:c r="G307" s="25">
        <x:f>FDOE_Grades_2025_Raw!M307</x:f>
        <x:v>68</x:v>
      </x:c>
      <x:c r="H307" s="25">
        <x:f>FDOE_Grades_2025_Raw!L307</x:f>
        <x:v>60</x:v>
      </x:c>
      <x:c r="I307" s="25">
        <x:f>FDOE_Grades_2025_Raw!Q307</x:f>
        <x:v>0</x:v>
      </x:c>
      <x:c r="J307" s="25">
        <x:f>FDOE_Grades_2025_Raw!R307</x:f>
        <x:v>0</x:v>
      </x:c>
      <x:c r="K307" s="25">
        <x:f>IF($A307="","",ROUND((Scoring_Model!$B$9*($E307/4)*100)+(Scoring_Model!$B$10*$F307)+(Scoring_Model!$B$11*$G307)+(Scoring_Model!$B$12*$H307)+(Scoring_Model!$B$13*IF($I307="",0,$I307))+(Scoring_Model!$B$14*IF($J307="",0,$J307)),1))</x:f>
        <x:v>77</x:v>
      </x:c>
      <x:c r="L307" s="20" t="inlineStr">
        <x:is>
          <x:t xml:space="preserve">https://www.fldoe.org/file/18534/SchoolGrades25.xlsx</x:t>
        </x:is>
      </x:c>
      <x:c r="M307" s="20" t="inlineStr">
        <x:is>
          <x:t xml:space="preserve">School type Elementary; growth field currently uses official ELA learning gains in this starter model.</x:t>
        </x:is>
      </x:c>
    </x:row>
    <x:row r="308">
      <x:c r="A308" s="20" t="str">
        <x:f>FDOE_Grades_2025_Raw!A308</x:f>
        <x:v>590661</x:v>
      </x:c>
      <x:c r="B308" s="20" t="str">
        <x:f>FDOE_Grades_2025_Raw!E308</x:f>
        <x:v>KEETH ELEMENTARY SCHOOL</x:v>
      </x:c>
      <x:c r="C308" s="20" t="n">
        <x:v>2025</x:v>
      </x:c>
      <x:c r="D308" s="20" t="str">
        <x:f>FDOE_Grades_2025_Raw!W308</x:f>
        <x:v>A</x:v>
      </x:c>
      <x:c r="E308" s="25">
        <x:f>IF(D308="A",4,IF(D308="B",3,IF(D308="C",2,IF(D308="D",1,IF(D308="F",0,"")))))</x:f>
        <x:v>4</x:v>
      </x:c>
      <x:c r="F308" s="25">
        <x:f>FDOE_Grades_2025_Raw!K308</x:f>
        <x:v>81</x:v>
      </x:c>
      <x:c r="G308" s="25">
        <x:f>FDOE_Grades_2025_Raw!M308</x:f>
        <x:v>79</x:v>
      </x:c>
      <x:c r="H308" s="25">
        <x:f>FDOE_Grades_2025_Raw!L308</x:f>
        <x:v>71</x:v>
      </x:c>
      <x:c r="I308" s="25">
        <x:f>FDOE_Grades_2025_Raw!Q308</x:f>
        <x:v>0</x:v>
      </x:c>
      <x:c r="J308" s="25">
        <x:f>FDOE_Grades_2025_Raw!R308</x:f>
        <x:v>0</x:v>
      </x:c>
      <x:c r="K308" s="25">
        <x:f>IF($A308="","",ROUND((Scoring_Model!$B$9*($E308/4)*100)+(Scoring_Model!$B$10*$F308)+(Scoring_Model!$B$11*$G308)+(Scoring_Model!$B$12*$H308)+(Scoring_Model!$B$13*IF($I308="",0,$I308))+(Scoring_Model!$B$14*IF($J308="",0,$J308)),1))</x:f>
        <x:v>81.2</x:v>
      </x:c>
      <x:c r="L308" s="20" t="inlineStr">
        <x:is>
          <x:t xml:space="preserve">https://www.fldoe.org/file/18534/SchoolGrades25.xlsx</x:t>
        </x:is>
      </x:c>
      <x:c r="M308" s="20" t="inlineStr">
        <x:is>
          <x:t xml:space="preserve">School type Elementary; growth field currently uses official ELA learning gains in this starter model.</x:t>
        </x:is>
      </x:c>
    </x:row>
    <x:row r="309">
      <x:c r="A309" s="20" t="str">
        <x:f>FDOE_Grades_2025_Raw!A309</x:f>
        <x:v>590671</x:v>
      </x:c>
      <x:c r="B309" s="20" t="str">
        <x:f>FDOE_Grades_2025_Raw!E309</x:f>
        <x:v>GREENWOOD LAKES MIDDLE SCHOOL</x:v>
      </x:c>
      <x:c r="C309" s="20" t="n">
        <x:v>2025</x:v>
      </x:c>
      <x:c r="D309" s="20" t="str">
        <x:f>FDOE_Grades_2025_Raw!W309</x:f>
        <x:v>A</x:v>
      </x:c>
      <x:c r="E309" s="25">
        <x:f>IF(D309="A",4,IF(D309="B",3,IF(D309="C",2,IF(D309="D",1,IF(D309="F",0,"")))))</x:f>
        <x:v>4</x:v>
      </x:c>
      <x:c r="F309" s="25">
        <x:f>FDOE_Grades_2025_Raw!K309</x:f>
        <x:v>61</x:v>
      </x:c>
      <x:c r="G309" s="25">
        <x:f>FDOE_Grades_2025_Raw!M309</x:f>
        <x:v>66</x:v>
      </x:c>
      <x:c r="H309" s="25">
        <x:f>FDOE_Grades_2025_Raw!L309</x:f>
        <x:v>60</x:v>
      </x:c>
      <x:c r="I309" s="25">
        <x:f>FDOE_Grades_2025_Raw!Q309</x:f>
        <x:v>0</x:v>
      </x:c>
      <x:c r="J309" s="25">
        <x:f>FDOE_Grades_2025_Raw!R309</x:f>
        <x:v>0</x:v>
      </x:c>
      <x:c r="K309" s="25">
        <x:f>IF($A309="","",ROUND((Scoring_Model!$B$9*($E309/4)*100)+(Scoring_Model!$B$10*$F309)+(Scoring_Model!$B$11*$G309)+(Scoring_Model!$B$12*$H309)+(Scoring_Model!$B$13*IF($I309="",0,$I309))+(Scoring_Model!$B$14*IF($J309="",0,$J309)),1))</x:f>
        <x:v>74.8</x:v>
      </x:c>
      <x:c r="L309" s="20" t="inlineStr">
        <x:is>
          <x:t xml:space="preserve">https://www.fldoe.org/file/18534/SchoolGrades25.xlsx</x:t>
        </x:is>
      </x:c>
      <x:c r="M309" s="20" t="inlineStr">
        <x:is>
          <x:t xml:space="preserve">School type Middle/Junior; growth field currently uses official ELA learning gains in this starter model.</x:t>
        </x:is>
      </x:c>
    </x:row>
    <x:row r="310">
      <x:c r="A310" s="20" t="str">
        <x:f>FDOE_Grades_2025_Raw!A310</x:f>
        <x:v>590681</x:v>
      </x:c>
      <x:c r="B310" s="20" t="str">
        <x:f>FDOE_Grades_2025_Raw!E310</x:f>
        <x:v>STENSTROM ELEMENTARY SCHOOL</x:v>
      </x:c>
      <x:c r="C310" s="20" t="n">
        <x:v>2025</x:v>
      </x:c>
      <x:c r="D310" s="20" t="str">
        <x:f>FDOE_Grades_2025_Raw!W310</x:f>
        <x:v>A</x:v>
      </x:c>
      <x:c r="E310" s="25">
        <x:f>IF(D310="A",4,IF(D310="B",3,IF(D310="C",2,IF(D310="D",1,IF(D310="F",0,"")))))</x:f>
        <x:v>4</x:v>
      </x:c>
      <x:c r="F310" s="25">
        <x:f>FDOE_Grades_2025_Raw!K310</x:f>
        <x:v>73</x:v>
      </x:c>
      <x:c r="G310" s="25">
        <x:f>FDOE_Grades_2025_Raw!M310</x:f>
        <x:v>72</x:v>
      </x:c>
      <x:c r="H310" s="25">
        <x:f>FDOE_Grades_2025_Raw!L310</x:f>
        <x:v>65</x:v>
      </x:c>
      <x:c r="I310" s="25">
        <x:f>FDOE_Grades_2025_Raw!Q310</x:f>
        <x:v>0</x:v>
      </x:c>
      <x:c r="J310" s="25">
        <x:f>FDOE_Grades_2025_Raw!R310</x:f>
        <x:v>0</x:v>
      </x:c>
      <x:c r="K310" s="25">
        <x:f>IF($A310="","",ROUND((Scoring_Model!$B$9*($E310/4)*100)+(Scoring_Model!$B$10*$F310)+(Scoring_Model!$B$11*$G310)+(Scoring_Model!$B$12*$H310)+(Scoring_Model!$B$13*IF($I310="",0,$I310))+(Scoring_Model!$B$14*IF($J310="",0,$J310)),1))</x:f>
        <x:v>78.3</x:v>
      </x:c>
      <x:c r="L310" s="20" t="inlineStr">
        <x:is>
          <x:t xml:space="preserve">https://www.fldoe.org/file/18534/SchoolGrades25.xlsx</x:t>
        </x:is>
      </x:c>
      <x:c r="M310" s="20" t="inlineStr">
        <x:is>
          <x:t xml:space="preserve">School type Elementary; growth field currently uses official ELA learning gains in this starter model.</x:t>
        </x:is>
      </x:c>
    </x:row>
    <x:row r="311">
      <x:c r="A311" s="20" t="str">
        <x:f>FDOE_Grades_2025_Raw!A311</x:f>
        <x:v>590691</x:v>
      </x:c>
      <x:c r="B311" s="20" t="str">
        <x:f>FDOE_Grades_2025_Raw!E311</x:f>
        <x:v>HEATHROW ELEMENTARY SCHOOL</x:v>
      </x:c>
      <x:c r="C311" s="20" t="n">
        <x:v>2025</x:v>
      </x:c>
      <x:c r="D311" s="20" t="str">
        <x:f>FDOE_Grades_2025_Raw!W311</x:f>
        <x:v>A</x:v>
      </x:c>
      <x:c r="E311" s="25">
        <x:f>IF(D311="A",4,IF(D311="B",3,IF(D311="C",2,IF(D311="D",1,IF(D311="F",0,"")))))</x:f>
        <x:v>4</x:v>
      </x:c>
      <x:c r="F311" s="25">
        <x:f>FDOE_Grades_2025_Raw!K311</x:f>
        <x:v>85</x:v>
      </x:c>
      <x:c r="G311" s="25">
        <x:f>FDOE_Grades_2025_Raw!M311</x:f>
        <x:v>87</x:v>
      </x:c>
      <x:c r="H311" s="25">
        <x:f>FDOE_Grades_2025_Raw!L311</x:f>
        <x:v>74</x:v>
      </x:c>
      <x:c r="I311" s="25">
        <x:f>FDOE_Grades_2025_Raw!Q311</x:f>
        <x:v>0</x:v>
      </x:c>
      <x:c r="J311" s="25">
        <x:f>FDOE_Grades_2025_Raw!R311</x:f>
        <x:v>0</x:v>
      </x:c>
      <x:c r="K311" s="25">
        <x:f>IF($A311="","",ROUND((Scoring_Model!$B$9*($E311/4)*100)+(Scoring_Model!$B$10*$F311)+(Scoring_Model!$B$11*$G311)+(Scoring_Model!$B$12*$H311)+(Scoring_Model!$B$13*IF($I311="",0,$I311))+(Scoring_Model!$B$14*IF($J311="",0,$J311)),1))</x:f>
        <x:v>83.1</x:v>
      </x:c>
      <x:c r="L311" s="20" t="inlineStr">
        <x:is>
          <x:t xml:space="preserve">https://www.fldoe.org/file/18534/SchoolGrades25.xlsx</x:t>
        </x:is>
      </x:c>
      <x:c r="M311" s="20" t="inlineStr">
        <x:is>
          <x:t xml:space="preserve">School type Elementary; growth field currently uses official ELA learning gains in this starter model.</x:t>
        </x:is>
      </x:c>
    </x:row>
    <x:row r="312">
      <x:c r="A312" s="20" t="str">
        <x:f>FDOE_Grades_2025_Raw!A312</x:f>
        <x:v>590701</x:v>
      </x:c>
      <x:c r="B312" s="20" t="str">
        <x:f>FDOE_Grades_2025_Raw!E312</x:f>
        <x:v>PARTIN ELEMENTARY SCHOOL</x:v>
      </x:c>
      <x:c r="C312" s="20" t="n">
        <x:v>2025</x:v>
      </x:c>
      <x:c r="D312" s="20" t="str">
        <x:f>FDOE_Grades_2025_Raw!W312</x:f>
        <x:v>A</x:v>
      </x:c>
      <x:c r="E312" s="25">
        <x:f>IF(D312="A",4,IF(D312="B",3,IF(D312="C",2,IF(D312="D",1,IF(D312="F",0,"")))))</x:f>
        <x:v>4</x:v>
      </x:c>
      <x:c r="F312" s="25">
        <x:f>FDOE_Grades_2025_Raw!K312</x:f>
        <x:v>81</x:v>
      </x:c>
      <x:c r="G312" s="25">
        <x:f>FDOE_Grades_2025_Raw!M312</x:f>
        <x:v>83</x:v>
      </x:c>
      <x:c r="H312" s="25">
        <x:f>FDOE_Grades_2025_Raw!L312</x:f>
        <x:v>66</x:v>
      </x:c>
      <x:c r="I312" s="25">
        <x:f>FDOE_Grades_2025_Raw!Q312</x:f>
        <x:v>0</x:v>
      </x:c>
      <x:c r="J312" s="25">
        <x:f>FDOE_Grades_2025_Raw!R312</x:f>
        <x:v>0</x:v>
      </x:c>
      <x:c r="K312" s="25">
        <x:f>IF($A312="","",ROUND((Scoring_Model!$B$9*($E312/4)*100)+(Scoring_Model!$B$10*$F312)+(Scoring_Model!$B$11*$G312)+(Scoring_Model!$B$12*$H312)+(Scoring_Model!$B$13*IF($I312="",0,$I312))+(Scoring_Model!$B$14*IF($J312="",0,$J312)),1))</x:f>
        <x:v>81.1</x:v>
      </x:c>
      <x:c r="L312" s="20" t="inlineStr">
        <x:is>
          <x:t xml:space="preserve">https://www.fldoe.org/file/18534/SchoolGrades25.xlsx</x:t>
        </x:is>
      </x:c>
      <x:c r="M312" s="20" t="inlineStr">
        <x:is>
          <x:t xml:space="preserve">School type Elementary; growth field currently uses official ELA learning gains in this starter model.</x:t>
        </x:is>
      </x:c>
    </x:row>
    <x:row r="313">
      <x:c r="A313" s="20" t="str">
        <x:f>FDOE_Grades_2025_Raw!A313</x:f>
        <x:v>590711</x:v>
      </x:c>
      <x:c r="B313" s="20" t="str">
        <x:f>FDOE_Grades_2025_Raw!E313</x:f>
        <x:v>INDIAN TRAILS MIDDLE SCHOOL</x:v>
      </x:c>
      <x:c r="C313" s="20" t="n">
        <x:v>2025</x:v>
      </x:c>
      <x:c r="D313" s="20" t="str">
        <x:f>FDOE_Grades_2025_Raw!W313</x:f>
        <x:v>A</x:v>
      </x:c>
      <x:c r="E313" s="25">
        <x:f>IF(D313="A",4,IF(D313="B",3,IF(D313="C",2,IF(D313="D",1,IF(D313="F",0,"")))))</x:f>
        <x:v>4</x:v>
      </x:c>
      <x:c r="F313" s="25">
        <x:f>FDOE_Grades_2025_Raw!K313</x:f>
        <x:v>71</x:v>
      </x:c>
      <x:c r="G313" s="25">
        <x:f>FDOE_Grades_2025_Raw!M313</x:f>
        <x:v>67</x:v>
      </x:c>
      <x:c r="H313" s="25">
        <x:f>FDOE_Grades_2025_Raw!L313</x:f>
        <x:v>62</x:v>
      </x:c>
      <x:c r="I313" s="25">
        <x:f>FDOE_Grades_2025_Raw!Q313</x:f>
        <x:v>0</x:v>
      </x:c>
      <x:c r="J313" s="25">
        <x:f>FDOE_Grades_2025_Raw!R313</x:f>
        <x:v>0</x:v>
      </x:c>
      <x:c r="K313" s="25">
        <x:f>IF($A313="","",ROUND((Scoring_Model!$B$9*($E313/4)*100)+(Scoring_Model!$B$10*$F313)+(Scoring_Model!$B$11*$G313)+(Scoring_Model!$B$12*$H313)+(Scoring_Model!$B$13*IF($I313="",0,$I313))+(Scoring_Model!$B$14*IF($J313="",0,$J313)),1))</x:f>
        <x:v>77.1</x:v>
      </x:c>
      <x:c r="L313" s="20" t="inlineStr">
        <x:is>
          <x:t xml:space="preserve">https://www.fldoe.org/file/18534/SchoolGrades25.xlsx</x:t>
        </x:is>
      </x:c>
      <x:c r="M313" s="20" t="inlineStr">
        <x:is>
          <x:t xml:space="preserve">School type Middle/Junior; growth field currently uses official ELA learning gains in this starter model.</x:t>
        </x:is>
      </x:c>
    </x:row>
    <x:row r="314">
      <x:c r="A314" s="20" t="str">
        <x:f>FDOE_Grades_2025_Raw!A314</x:f>
        <x:v>590721</x:v>
      </x:c>
      <x:c r="B314" s="20" t="str">
        <x:f>FDOE_Grades_2025_Raw!E314</x:f>
        <x:v>CHILES MIDDLE SCHOOL</x:v>
      </x:c>
      <x:c r="C314" s="20" t="n">
        <x:v>2025</x:v>
      </x:c>
      <x:c r="D314" s="20" t="str">
        <x:f>FDOE_Grades_2025_Raw!W314</x:f>
        <x:v>A</x:v>
      </x:c>
      <x:c r="E314" s="25">
        <x:f>IF(D314="A",4,IF(D314="B",3,IF(D314="C",2,IF(D314="D",1,IF(D314="F",0,"")))))</x:f>
        <x:v>4</x:v>
      </x:c>
      <x:c r="F314" s="25">
        <x:f>FDOE_Grades_2025_Raw!K314</x:f>
        <x:v>77</x:v>
      </x:c>
      <x:c r="G314" s="25">
        <x:f>FDOE_Grades_2025_Raw!M314</x:f>
        <x:v>82</x:v>
      </x:c>
      <x:c r="H314" s="25">
        <x:f>FDOE_Grades_2025_Raw!L314</x:f>
        <x:v>67</x:v>
      </x:c>
      <x:c r="I314" s="25">
        <x:f>FDOE_Grades_2025_Raw!Q314</x:f>
        <x:v>0</x:v>
      </x:c>
      <x:c r="J314" s="25">
        <x:f>FDOE_Grades_2025_Raw!R314</x:f>
        <x:v>0</x:v>
      </x:c>
      <x:c r="K314" s="25">
        <x:f>IF($A314="","",ROUND((Scoring_Model!$B$9*($E314/4)*100)+(Scoring_Model!$B$10*$F314)+(Scoring_Model!$B$11*$G314)+(Scoring_Model!$B$12*$H314)+(Scoring_Model!$B$13*IF($I314="",0,$I314))+(Scoring_Model!$B$14*IF($J314="",0,$J314)),1))</x:f>
        <x:v>80.3</x:v>
      </x:c>
      <x:c r="L314" s="20" t="inlineStr">
        <x:is>
          <x:t xml:space="preserve">https://www.fldoe.org/file/18534/SchoolGrades25.xlsx</x:t>
        </x:is>
      </x:c>
      <x:c r="M314" s="20" t="inlineStr">
        <x:is>
          <x:t xml:space="preserve">School type Middle/Junior; growth field currently uses official ELA learning gains in this starter model.</x:t>
        </x:is>
      </x:c>
    </x:row>
    <x:row r="315">
      <x:c r="A315" s="20" t="str">
        <x:f>FDOE_Grades_2025_Raw!A315</x:f>
        <x:v>590731</x:v>
      </x:c>
      <x:c r="B315" s="20" t="str">
        <x:f>FDOE_Grades_2025_Raw!E315</x:f>
        <x:v>MARKHAM WOODS MIDDLE SCHOOL</x:v>
      </x:c>
      <x:c r="C315" s="20" t="n">
        <x:v>2025</x:v>
      </x:c>
      <x:c r="D315" s="20" t="str">
        <x:f>FDOE_Grades_2025_Raw!W315</x:f>
        <x:v>A</x:v>
      </x:c>
      <x:c r="E315" s="25">
        <x:f>IF(D315="A",4,IF(D315="B",3,IF(D315="C",2,IF(D315="D",1,IF(D315="F",0,"")))))</x:f>
        <x:v>4</x:v>
      </x:c>
      <x:c r="F315" s="25">
        <x:f>FDOE_Grades_2025_Raw!K315</x:f>
        <x:v>56</x:v>
      </x:c>
      <x:c r="G315" s="25">
        <x:f>FDOE_Grades_2025_Raw!M315</x:f>
        <x:v>68</x:v>
      </x:c>
      <x:c r="H315" s="25">
        <x:f>FDOE_Grades_2025_Raw!L315</x:f>
        <x:v>54</x:v>
      </x:c>
      <x:c r="I315" s="25">
        <x:f>FDOE_Grades_2025_Raw!Q315</x:f>
        <x:v>0</x:v>
      </x:c>
      <x:c r="J315" s="25">
        <x:f>FDOE_Grades_2025_Raw!R315</x:f>
        <x:v>0</x:v>
      </x:c>
      <x:c r="K315" s="25">
        <x:f>IF($A315="","",ROUND((Scoring_Model!$B$9*($E315/4)*100)+(Scoring_Model!$B$10*$F315)+(Scoring_Model!$B$11*$G315)+(Scoring_Model!$B$12*$H315)+(Scoring_Model!$B$13*IF($I315="",0,$I315))+(Scoring_Model!$B$14*IF($J315="",0,$J315)),1))</x:f>
        <x:v>73.4</x:v>
      </x:c>
      <x:c r="L315" s="20" t="inlineStr">
        <x:is>
          <x:t xml:space="preserve">https://www.fldoe.org/file/18534/SchoolGrades25.xlsx</x:t>
        </x:is>
      </x:c>
      <x:c r="M315" s="20" t="inlineStr">
        <x:is>
          <x:t xml:space="preserve">School type Middle/Junior; growth field currently uses official ELA learning gains in this starter model.</x:t>
        </x:is>
      </x:c>
    </x:row>
    <x:row r="316">
      <x:c r="A316" s="20" t="str">
        <x:f>FDOE_Grades_2025_Raw!A316</x:f>
        <x:v>590801</x:v>
      </x:c>
      <x:c r="B316" s="20" t="str">
        <x:f>FDOE_Grades_2025_Raw!E316</x:f>
        <x:v>BENTLEY ELEMENTARY SCHOOL</x:v>
      </x:c>
      <x:c r="C316" s="20" t="n">
        <x:v>2025</x:v>
      </x:c>
      <x:c r="D316" s="20" t="str">
        <x:f>FDOE_Grades_2025_Raw!W316</x:f>
        <x:v>A</x:v>
      </x:c>
      <x:c r="E316" s="25">
        <x:f>IF(D316="A",4,IF(D316="B",3,IF(D316="C",2,IF(D316="D",1,IF(D316="F",0,"")))))</x:f>
        <x:v>4</x:v>
      </x:c>
      <x:c r="F316" s="25">
        <x:f>FDOE_Grades_2025_Raw!K316</x:f>
        <x:v>58</x:v>
      </x:c>
      <x:c r="G316" s="25">
        <x:f>FDOE_Grades_2025_Raw!M316</x:f>
        <x:v>62</x:v>
      </x:c>
      <x:c r="H316" s="25">
        <x:f>FDOE_Grades_2025_Raw!L316</x:f>
        <x:v>66</x:v>
      </x:c>
      <x:c r="I316" s="25">
        <x:f>FDOE_Grades_2025_Raw!Q316</x:f>
        <x:v>0</x:v>
      </x:c>
      <x:c r="J316" s="25">
        <x:f>FDOE_Grades_2025_Raw!R316</x:f>
        <x:v>0</x:v>
      </x:c>
      <x:c r="K316" s="25">
        <x:f>IF($A316="","",ROUND((Scoring_Model!$B$9*($E316/4)*100)+(Scoring_Model!$B$10*$F316)+(Scoring_Model!$B$11*$G316)+(Scoring_Model!$B$12*$H316)+(Scoring_Model!$B$13*IF($I316="",0,$I316))+(Scoring_Model!$B$14*IF($J316="",0,$J316)),1))</x:f>
        <x:v>74.4</x:v>
      </x:c>
      <x:c r="L316" s="20" t="inlineStr">
        <x:is>
          <x:t xml:space="preserve">https://www.fldoe.org/file/18534/SchoolGrades25.xlsx</x:t>
        </x:is>
      </x:c>
      <x:c r="M316" s="20" t="inlineStr">
        <x:is>
          <x:t xml:space="preserve">School type Elementary; growth field currently uses official ELA learning gains in this starter model.</x:t>
        </x:is>
      </x:c>
    </x:row>
    <x:row r="317">
      <x:c r="A317" s="20" t="str">
        <x:f>FDOE_Grades_2025_Raw!A317</x:f>
        <x:v>590811</x:v>
      </x:c>
      <x:c r="B317" s="20" t="str">
        <x:f>FDOE_Grades_2025_Raw!E317</x:f>
        <x:v>WICKLOW ELEMENTARY SCHOOL</x:v>
      </x:c>
      <x:c r="C317" s="20" t="n">
        <x:v>2025</x:v>
      </x:c>
      <x:c r="D317" s="20" t="str">
        <x:f>FDOE_Grades_2025_Raw!W317</x:f>
        <x:v>C</x:v>
      </x:c>
      <x:c r="E317" s="25">
        <x:f>IF(D317="A",4,IF(D317="B",3,IF(D317="C",2,IF(D317="D",1,IF(D317="F",0,"")))))</x:f>
        <x:v>2</x:v>
      </x:c>
      <x:c r="F317" s="25">
        <x:f>FDOE_Grades_2025_Raw!K317</x:f>
        <x:v>43</x:v>
      </x:c>
      <x:c r="G317" s="25">
        <x:f>FDOE_Grades_2025_Raw!M317</x:f>
        <x:v>43</x:v>
      </x:c>
      <x:c r="H317" s="25">
        <x:f>FDOE_Grades_2025_Raw!L317</x:f>
        <x:v>47</x:v>
      </x:c>
      <x:c r="I317" s="25">
        <x:f>FDOE_Grades_2025_Raw!Q317</x:f>
        <x:v>0</x:v>
      </x:c>
      <x:c r="J317" s="25">
        <x:f>FDOE_Grades_2025_Raw!R317</x:f>
        <x:v>0</x:v>
      </x:c>
      <x:c r="K317" s="25">
        <x:f>IF($A317="","",ROUND((Scoring_Model!$B$9*($E317/4)*100)+(Scoring_Model!$B$10*$F317)+(Scoring_Model!$B$11*$G317)+(Scoring_Model!$B$12*$H317)+(Scoring_Model!$B$13*IF($I317="",0,$I317))+(Scoring_Model!$B$14*IF($J317="",0,$J317)),1))</x:f>
        <x:v>42.6</x:v>
      </x:c>
      <x:c r="L317" s="20" t="inlineStr">
        <x:is>
          <x:t xml:space="preserve">https://www.fldoe.org/file/18534/SchoolGrades25.xlsx</x:t>
        </x:is>
      </x:c>
      <x:c r="M317" s="20" t="inlineStr">
        <x:is>
          <x:t xml:space="preserve">School type Elementary; growth field currently uses official ELA learning gains in this starter model.</x:t>
        </x:is>
      </x:c>
    </x:row>
    <x:row r="318">
      <x:c r="A318" s="20" t="str">
        <x:f>FDOE_Grades_2025_Raw!A318</x:f>
        <x:v>590821</x:v>
      </x:c>
      <x:c r="B318" s="20" t="str">
        <x:f>FDOE_Grades_2025_Raw!E318</x:f>
        <x:v>CRYSTAL LAKE ELEMENTARY SCHOOL</x:v>
      </x:c>
      <x:c r="C318" s="20" t="n">
        <x:v>2025</x:v>
      </x:c>
      <x:c r="D318" s="20" t="str">
        <x:f>FDOE_Grades_2025_Raw!W318</x:f>
        <x:v>B</x:v>
      </x:c>
      <x:c r="E318" s="25">
        <x:f>IF(D318="A",4,IF(D318="B",3,IF(D318="C",2,IF(D318="D",1,IF(D318="F",0,"")))))</x:f>
        <x:v>3</x:v>
      </x:c>
      <x:c r="F318" s="25">
        <x:f>FDOE_Grades_2025_Raw!K318</x:f>
        <x:v>60</x:v>
      </x:c>
      <x:c r="G318" s="25">
        <x:f>FDOE_Grades_2025_Raw!M318</x:f>
        <x:v>60</x:v>
      </x:c>
      <x:c r="H318" s="25">
        <x:f>FDOE_Grades_2025_Raw!L318</x:f>
        <x:v>62</x:v>
      </x:c>
      <x:c r="I318" s="25">
        <x:f>FDOE_Grades_2025_Raw!Q318</x:f>
        <x:v>0</x:v>
      </x:c>
      <x:c r="J318" s="25">
        <x:f>FDOE_Grades_2025_Raw!R318</x:f>
        <x:v>0</x:v>
      </x:c>
      <x:c r="K318" s="25">
        <x:f>IF($A318="","",ROUND((Scoring_Model!$B$9*($E318/4)*100)+(Scoring_Model!$B$10*$F318)+(Scoring_Model!$B$11*$G318)+(Scoring_Model!$B$12*$H318)+(Scoring_Model!$B$13*IF($I318="",0,$I318))+(Scoring_Model!$B$14*IF($J318="",0,$J318)),1))</x:f>
        <x:v>61.7</x:v>
      </x:c>
      <x:c r="L318" s="20" t="inlineStr">
        <x:is>
          <x:t xml:space="preserve">https://www.fldoe.org/file/18534/SchoolGrades25.xlsx</x:t>
        </x:is>
      </x:c>
      <x:c r="M318" s="20" t="inlineStr">
        <x:is>
          <x:t xml:space="preserve">School type Elementary; growth field currently uses official ELA learning gains in this starter model.</x:t>
        </x:is>
      </x:c>
    </x:row>
    <x:row r="319">
      <x:c r="A319" s="20" t="str">
        <x:f>FDOE_Grades_2025_Raw!A319</x:f>
        <x:v>590911</x:v>
      </x:c>
      <x:c r="B319" s="20" t="str">
        <x:f>FDOE_Grades_2025_Raw!E319</x:f>
        <x:v>WINTER SPRINGS HIGH SCHOOL</x:v>
      </x:c>
      <x:c r="C319" s="20" t="n">
        <x:v>2025</x:v>
      </x:c>
      <x:c r="D319" s="20" t="str">
        <x:f>FDOE_Grades_2025_Raw!W319</x:f>
        <x:v>A</x:v>
      </x:c>
      <x:c r="E319" s="25">
        <x:f>IF(D319="A",4,IF(D319="B",3,IF(D319="C",2,IF(D319="D",1,IF(D319="F",0,"")))))</x:f>
        <x:v>4</x:v>
      </x:c>
      <x:c r="F319" s="25">
        <x:f>FDOE_Grades_2025_Raw!K319</x:f>
        <x:v>62</x:v>
      </x:c>
      <x:c r="G319" s="25">
        <x:f>FDOE_Grades_2025_Raw!M319</x:f>
        <x:v>49</x:v>
      </x:c>
      <x:c r="H319" s="25">
        <x:f>FDOE_Grades_2025_Raw!L319</x:f>
        <x:v>65</x:v>
      </x:c>
      <x:c r="I319" s="25">
        <x:f>FDOE_Grades_2025_Raw!Q319</x:f>
        <x:v>93</x:v>
      </x:c>
      <x:c r="J319" s="25">
        <x:f>FDOE_Grades_2025_Raw!R319</x:f>
        <x:v>56</x:v>
      </x:c>
      <x:c r="K319" s="25">
        <x:f>IF($A319="","",ROUND((Scoring_Model!$B$9*($E319/4)*100)+(Scoring_Model!$B$10*$F319)+(Scoring_Model!$B$11*$G319)+(Scoring_Model!$B$12*$H319)+(Scoring_Model!$B$13*IF($I319="",0,$I319))+(Scoring_Model!$B$14*IF($J319="",0,$J319)),1))</x:f>
        <x:v>81.3</x:v>
      </x:c>
      <x:c r="L319" s="20" t="inlineStr">
        <x:is>
          <x:t xml:space="preserve">https://www.fldoe.org/file/18534/SchoolGrades25.xlsx</x:t>
        </x:is>
      </x:c>
      <x:c r="M319" s="20" t="inlineStr">
        <x:is>
          <x:t xml:space="preserve">School type Senior High; growth field currently uses official ELA learning gains in this starter model.</x:t>
        </x:is>
      </x:c>
    </x:row>
    <x:row r="320">
      <x:c r="A320" s="20" t="str">
        <x:f>FDOE_Grades_2025_Raw!A320</x:f>
        <x:v>590931</x:v>
      </x:c>
      <x:c r="B320" s="20" t="str">
        <x:f>FDOE_Grades_2025_Raw!E320</x:f>
        <x:v>HAGERTY HIGH SCHOOL</x:v>
      </x:c>
      <x:c r="C320" s="20" t="n">
        <x:v>2025</x:v>
      </x:c>
      <x:c r="D320" s="20" t="str">
        <x:f>FDOE_Grades_2025_Raw!W320</x:f>
        <x:v>A</x:v>
      </x:c>
      <x:c r="E320" s="25">
        <x:f>IF(D320="A",4,IF(D320="B",3,IF(D320="C",2,IF(D320="D",1,IF(D320="F",0,"")))))</x:f>
        <x:v>4</x:v>
      </x:c>
      <x:c r="F320" s="25">
        <x:f>FDOE_Grades_2025_Raw!K320</x:f>
        <x:v>76</x:v>
      </x:c>
      <x:c r="G320" s="25">
        <x:f>FDOE_Grades_2025_Raw!M320</x:f>
        <x:v>60</x:v>
      </x:c>
      <x:c r="H320" s="25">
        <x:f>FDOE_Grades_2025_Raw!L320</x:f>
        <x:v>66</x:v>
      </x:c>
      <x:c r="I320" s="25">
        <x:f>FDOE_Grades_2025_Raw!Q320</x:f>
        <x:v>98</x:v>
      </x:c>
      <x:c r="J320" s="25">
        <x:f>FDOE_Grades_2025_Raw!R320</x:f>
        <x:v>69</x:v>
      </x:c>
      <x:c r="K320" s="25">
        <x:f>IF($A320="","",ROUND((Scoring_Model!$B$9*($E320/4)*100)+(Scoring_Model!$B$10*$F320)+(Scoring_Model!$B$11*$G320)+(Scoring_Model!$B$12*$H320)+(Scoring_Model!$B$13*IF($I320="",0,$I320))+(Scoring_Model!$B$14*IF($J320="",0,$J320)),1))</x:f>
        <x:v>86.2</x:v>
      </x:c>
      <x:c r="L320" s="20" t="inlineStr">
        <x:is>
          <x:t xml:space="preserve">https://www.fldoe.org/file/18534/SchoolGrades25.xlsx</x:t>
        </x:is>
      </x:c>
      <x:c r="M320" s="20" t="inlineStr">
        <x:is>
          <x:t xml:space="preserve">School type Senior High; growth field currently uses official ELA learning gains in this starter model.</x:t>
        </x:is>
      </x:c>
    </x:row>
    <x:row r="321">
      <x:c r="A321" s="20" t="str">
        <x:f>FDOE_Grades_2025_Raw!A321</x:f>
        <x:v>597004</x:v>
      </x:c>
      <x:c r="B321" s="20" t="str">
        <x:f>FDOE_Grades_2025_Raw!E321</x:f>
        <x:v>A SEMINOLE COUNTY VIRTUAL SCHOOL</x:v>
      </x:c>
      <x:c r="C321" s="20" t="n">
        <x:v>2025</x:v>
      </x:c>
      <x:c r="D321" s="20" t="str">
        <x:f>FDOE_Grades_2025_Raw!W321</x:f>
        <x:v>A</x:v>
      </x:c>
      <x:c r="E321" s="25">
        <x:f>IF(D321="A",4,IF(D321="B",3,IF(D321="C",2,IF(D321="D",1,IF(D321="F",0,"")))))</x:f>
        <x:v>4</x:v>
      </x:c>
      <x:c r="F321" s="25">
        <x:f>FDOE_Grades_2025_Raw!K321</x:f>
        <x:v>82</x:v>
      </x:c>
      <x:c r="G321" s="25">
        <x:f>FDOE_Grades_2025_Raw!M321</x:f>
        <x:v>73</x:v>
      </x:c>
      <x:c r="H321" s="25">
        <x:f>FDOE_Grades_2025_Raw!L321</x:f>
        <x:v>67</x:v>
      </x:c>
      <x:c r="I321" s="25">
        <x:f>FDOE_Grades_2025_Raw!Q321</x:f>
        <x:v>89</x:v>
      </x:c>
      <x:c r="J321" s="25">
        <x:f>FDOE_Grades_2025_Raw!R321</x:f>
        <x:v>38</x:v>
      </x:c>
      <x:c r="K321" s="25">
        <x:f>IF($A321="","",ROUND((Scoring_Model!$B$9*($E321/4)*100)+(Scoring_Model!$B$10*$F321)+(Scoring_Model!$B$11*$G321)+(Scoring_Model!$B$12*$H321)+(Scoring_Model!$B$13*IF($I321="",0,$I321))+(Scoring_Model!$B$14*IF($J321="",0,$J321)),1))</x:f>
        <x:v>86.8</x:v>
      </x:c>
      <x:c r="L321" s="20" t="inlineStr">
        <x:is>
          <x:t xml:space="preserve">https://www.fldoe.org/file/18534/SchoolGrades25.xlsx</x:t>
        </x:is>
      </x:c>
      <x:c r="M321" s="20" t="inlineStr">
        <x:is>
          <x:t xml:space="preserve">School type Combination; growth field currently uses official ELA learning gains in this starter model.</x:t>
        </x:is>
      </x:c>
    </x:row>
    <x:row r="322">
      <x:c r="A322" s="20" t="str">
        <x:f>FDOE_Grades_2025_Raw!A322</x:f>
        <x:v>599229</x:v>
      </x:c>
      <x:c r="B322" s="20" t="str">
        <x:f>FDOE_Grades_2025_Raw!E322</x:f>
        <x:v>CHOICES IN LEARNING CHARTER</x:v>
      </x:c>
      <x:c r="C322" s="20" t="n">
        <x:v>2025</x:v>
      </x:c>
      <x:c r="D322" s="20" t="str">
        <x:f>FDOE_Grades_2025_Raw!W322</x:f>
        <x:v>A</x:v>
      </x:c>
      <x:c r="E322" s="25">
        <x:f>IF(D322="A",4,IF(D322="B",3,IF(D322="C",2,IF(D322="D",1,IF(D322="F",0,"")))))</x:f>
        <x:v>4</x:v>
      </x:c>
      <x:c r="F322" s="25">
        <x:f>FDOE_Grades_2025_Raw!K322</x:f>
        <x:v>90</x:v>
      </x:c>
      <x:c r="G322" s="25">
        <x:f>FDOE_Grades_2025_Raw!M322</x:f>
        <x:v>91</x:v>
      </x:c>
      <x:c r="H322" s="25">
        <x:f>FDOE_Grades_2025_Raw!L322</x:f>
        <x:v>75</x:v>
      </x:c>
      <x:c r="I322" s="25">
        <x:f>FDOE_Grades_2025_Raw!Q322</x:f>
        <x:v>0</x:v>
      </x:c>
      <x:c r="J322" s="25">
        <x:f>FDOE_Grades_2025_Raw!R322</x:f>
        <x:v>0</x:v>
      </x:c>
      <x:c r="K322" s="25">
        <x:f>IF($A322="","",ROUND((Scoring_Model!$B$9*($E322/4)*100)+(Scoring_Model!$B$10*$F322)+(Scoring_Model!$B$11*$G322)+(Scoring_Model!$B$12*$H322)+(Scoring_Model!$B$13*IF($I322="",0,$I322))+(Scoring_Model!$B$14*IF($J322="",0,$J322)),1))</x:f>
        <x:v>84.6</x:v>
      </x:c>
      <x:c r="L322" s="20" t="inlineStr">
        <x:is>
          <x:t xml:space="preserve">https://www.fldoe.org/file/18534/SchoolGrades25.xlsx</x:t>
        </x:is>
      </x:c>
      <x:c r="M322" s="20" t="inlineStr">
        <x:is>
          <x:t xml:space="preserve">School type Elementary; growth field currently uses official ELA learning gains in this starter model.</x:t>
        </x:is>
      </x:c>
    </x:row>
    <x:row r="323">
      <x:c r="A323" s="20" t="str">
        <x:f>FDOE_Grades_2025_Raw!A323</x:f>
        <x:v>599233</x:v>
      </x:c>
      <x:c r="B323" s="20" t="str">
        <x:f>FDOE_Grades_2025_Raw!E323</x:f>
        <x:v>GALILEO SCHOOL FOR GIFTED LEARNING</x:v>
      </x:c>
      <x:c r="C323" s="20" t="n">
        <x:v>2025</x:v>
      </x:c>
      <x:c r="D323" s="20" t="str">
        <x:f>FDOE_Grades_2025_Raw!W323</x:f>
        <x:v>A</x:v>
      </x:c>
      <x:c r="E323" s="25">
        <x:f>IF(D323="A",4,IF(D323="B",3,IF(D323="C",2,IF(D323="D",1,IF(D323="F",0,"")))))</x:f>
        <x:v>4</x:v>
      </x:c>
      <x:c r="F323" s="25">
        <x:f>FDOE_Grades_2025_Raw!K323</x:f>
        <x:v>70</x:v>
      </x:c>
      <x:c r="G323" s="25">
        <x:f>FDOE_Grades_2025_Raw!M323</x:f>
        <x:v>73</x:v>
      </x:c>
      <x:c r="H323" s="25">
        <x:f>FDOE_Grades_2025_Raw!L323</x:f>
        <x:v>64</x:v>
      </x:c>
      <x:c r="I323" s="25">
        <x:f>FDOE_Grades_2025_Raw!Q323</x:f>
        <x:v>0</x:v>
      </x:c>
      <x:c r="J323" s="25">
        <x:f>FDOE_Grades_2025_Raw!R323</x:f>
        <x:v>0</x:v>
      </x:c>
      <x:c r="K323" s="25">
        <x:f>IF($A323="","",ROUND((Scoring_Model!$B$9*($E323/4)*100)+(Scoring_Model!$B$10*$F323)+(Scoring_Model!$B$11*$G323)+(Scoring_Model!$B$12*$H323)+(Scoring_Model!$B$13*IF($I323="",0,$I323))+(Scoring_Model!$B$14*IF($J323="",0,$J323)),1))</x:f>
        <x:v>77.7</x:v>
      </x:c>
      <x:c r="L323" s="20" t="inlineStr">
        <x:is>
          <x:t xml:space="preserve">https://www.fldoe.org/file/18534/SchoolGrades25.xlsx</x:t>
        </x:is>
      </x:c>
      <x:c r="M323" s="20" t="inlineStr">
        <x:is>
          <x:t xml:space="preserve">School type Combination; growth field currently uses official ELA learning gains in this starter model.</x:t>
        </x:is>
      </x:c>
    </x:row>
    <x:row r="324">
      <x:c r="A324" s="20" t="str">
        <x:f>FDOE_Grades_2025_Raw!A324</x:f>
        <x:v>599236</x:v>
      </x:c>
      <x:c r="B324" s="20" t="str">
        <x:f>FDOE_Grades_2025_Raw!E324</x:f>
        <x:v>SEMINOLE SCIENCE CHARTER SCHOOL</x:v>
      </x:c>
      <x:c r="C324" s="20" t="n">
        <x:v>2025</x:v>
      </x:c>
      <x:c r="D324" s="20" t="str">
        <x:f>FDOE_Grades_2025_Raw!W324</x:f>
        <x:v>A</x:v>
      </x:c>
      <x:c r="E324" s="25">
        <x:f>IF(D324="A",4,IF(D324="B",3,IF(D324="C",2,IF(D324="D",1,IF(D324="F",0,"")))))</x:f>
        <x:v>4</x:v>
      </x:c>
      <x:c r="F324" s="25">
        <x:f>FDOE_Grades_2025_Raw!K324</x:f>
        <x:v>81</x:v>
      </x:c>
      <x:c r="G324" s="25">
        <x:f>FDOE_Grades_2025_Raw!M324</x:f>
        <x:v>82</x:v>
      </x:c>
      <x:c r="H324" s="25">
        <x:f>FDOE_Grades_2025_Raw!L324</x:f>
        <x:v>72</x:v>
      </x:c>
      <x:c r="I324" s="25">
        <x:f>FDOE_Grades_2025_Raw!Q324</x:f>
        <x:v>0</x:v>
      </x:c>
      <x:c r="J324" s="25">
        <x:f>FDOE_Grades_2025_Raw!R324</x:f>
        <x:v>0</x:v>
      </x:c>
      <x:c r="K324" s="25">
        <x:f>IF($A324="","",ROUND((Scoring_Model!$B$9*($E324/4)*100)+(Scoring_Model!$B$10*$F324)+(Scoring_Model!$B$11*$G324)+(Scoring_Model!$B$12*$H324)+(Scoring_Model!$B$13*IF($I324="",0,$I324))+(Scoring_Model!$B$14*IF($J324="",0,$J324)),1))</x:f>
        <x:v>81.6</x:v>
      </x:c>
      <x:c r="L324" s="20" t="inlineStr">
        <x:is>
          <x:t xml:space="preserve">https://www.fldoe.org/file/18534/SchoolGrades25.xlsx</x:t>
        </x:is>
      </x:c>
      <x:c r="M324" s="20" t="inlineStr">
        <x:is>
          <x:t xml:space="preserve">School type Combination; growth field currently uses official ELA learning gains in this starter model.</x:t>
        </x:is>
      </x:c>
    </x:row>
    <x:row r="325">
      <x:c r="A325" s="20" t="str">
        <x:f>FDOE_Grades_2025_Raw!A325</x:f>
        <x:v>599255</x:v>
      </x:c>
      <x:c r="B325" s="20" t="str">
        <x:f>FDOE_Grades_2025_Raw!E325</x:f>
        <x:v>GALILEO SCHOOL FOR GIFTED LEARNING SKYWAY</x:v>
      </x:c>
      <x:c r="C325" s="20" t="n">
        <x:v>2025</x:v>
      </x:c>
      <x:c r="D325" s="20" t="str">
        <x:f>FDOE_Grades_2025_Raw!W325</x:f>
        <x:v>A</x:v>
      </x:c>
      <x:c r="E325" s="25">
        <x:f>IF(D325="A",4,IF(D325="B",3,IF(D325="C",2,IF(D325="D",1,IF(D325="F",0,"")))))</x:f>
        <x:v>4</x:v>
      </x:c>
      <x:c r="F325" s="25">
        <x:f>FDOE_Grades_2025_Raw!K325</x:f>
        <x:v>72</x:v>
      </x:c>
      <x:c r="G325" s="25">
        <x:f>FDOE_Grades_2025_Raw!M325</x:f>
        <x:v>73</x:v>
      </x:c>
      <x:c r="H325" s="25">
        <x:f>FDOE_Grades_2025_Raw!L325</x:f>
        <x:v>63</x:v>
      </x:c>
      <x:c r="I325" s="25">
        <x:f>FDOE_Grades_2025_Raw!Q325</x:f>
        <x:v>0</x:v>
      </x:c>
      <x:c r="J325" s="25">
        <x:f>FDOE_Grades_2025_Raw!R325</x:f>
        <x:v>0</x:v>
      </x:c>
      <x:c r="K325" s="25">
        <x:f>IF($A325="","",ROUND((Scoring_Model!$B$9*($E325/4)*100)+(Scoring_Model!$B$10*$F325)+(Scoring_Model!$B$11*$G325)+(Scoring_Model!$B$12*$H325)+(Scoring_Model!$B$13*IF($I325="",0,$I325))+(Scoring_Model!$B$14*IF($J325="",0,$J325)),1))</x:f>
        <x:v>78</x:v>
      </x:c>
      <x:c r="L325" s="20" t="inlineStr">
        <x:is>
          <x:t xml:space="preserve">https://www.fldoe.org/file/18534/SchoolGrades25.xlsx</x:t>
        </x:is>
      </x:c>
      <x:c r="M325" s="20" t="inlineStr">
        <x:is>
          <x:t xml:space="preserve">School type Combination; growth field currently uses official ELA learning gains in this starter model.</x:t>
        </x:is>
      </x:c>
    </x:row>
  </x:sheetData>
  <x:conditionalFormatting sqref="A2:A20">
    <x:cfRule type="expression" dxfId="0" priority="1">
      <x:formula>LEN(A2)=0</x:formula>
    </x:cfRule>
  </x:conditionalFormatting>
  <x:pageMargins left="0.7" right="0.7" top="0.75" bottom="0.75" header="0.3" footer="0.3"/>
  <x:legacyDrawing xmlns:r="http://schemas.openxmlformats.org/officeDocument/2006/relationships" r:id="Rcc2ee8d03b8b43a9"/>
  <x:tableParts count="1">
    <x:tablePart xmlns:r="http://schemas.openxmlformats.org/officeDocument/2006/relationships" r:id="Rb161b49ce2524927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34" customWidth="1"/>
    <x:col min="3" max="3" width="14" customWidth="1"/>
    <x:col min="4" max="4" width="28" customWidth="1"/>
    <x:col min="5" max="5" width="18" customWidth="1"/>
    <x:col min="6" max="6" width="12" customWidth="1"/>
    <x:col min="7" max="7" width="24" customWidth="1"/>
    <x:col min="8" max="8" width="40" customWidth="1"/>
    <x:col min="9" max="9" width="36" customWidth="1"/>
  </x:cols>
  <x:sheetData>
    <x:row r="1" ht="24" customHeight="1">
      <x:c r="A1" s="22" t="inlineStr">
        <x:is>
          <x:t xml:space="preserve">state_school_id</x:t>
        </x:is>
      </x:c>
      <x:c r="B1" s="22" t="inlineStr">
        <x:is>
          <x:t xml:space="preserve">school_name</x:t>
        </x:is>
      </x:c>
      <x:c r="C1" s="22" t="inlineStr">
        <x:is>
          <x:t xml:space="preserve">program_type</x:t>
        </x:is>
      </x:c>
      <x:c r="D1" s="22" t="inlineStr">
        <x:is>
          <x:t xml:space="preserve">program_name</x:t>
        </x:is>
      </x:c>
      <x:c r="E1" s="22" t="inlineStr">
        <x:is>
          <x:t xml:space="preserve">application_required</x:t>
        </x:is>
      </x:c>
      <x:c r="F1" s="22" t="inlineStr">
        <x:is>
          <x:t xml:space="preserve">lottery_flag</x:t>
        </x:is>
      </x:c>
      <x:c r="G1" s="22" t="inlineStr">
        <x:is>
          <x:t xml:space="preserve">transportation_notes</x:t>
        </x:is>
      </x:c>
      <x:c r="H1" s="22" t="inlineStr">
        <x:is>
          <x:t xml:space="preserve">district_source_url</x:t>
        </x:is>
      </x:c>
      <x:c r="I1" s="22" t="inlineStr">
        <x:is>
          <x:t xml:space="preserve">notes</x:t>
        </x:is>
      </x:c>
    </x:row>
    <x:row r="2">
      <x:c r="A2" s="23" t="inlineStr">
        <x:is>
          <x:t xml:space="preserve"/>
        </x:is>
      </x:c>
      <x:c r="B2" s="23" t="inlineStr">
        <x:is>
          <x:t xml:space="preserve"/>
        </x:is>
      </x:c>
      <x:c r="C2" s="23" t="inlineStr">
        <x:is>
          <x:t xml:space="preserve">Magnet</x:t>
        </x:is>
      </x:c>
      <x:c r="D2" s="23" t="inlineStr">
        <x:is>
          <x:t xml:space="preserve">District magnet / choice programs</x:t>
        </x:is>
      </x:c>
      <x:c r="E2" s="23" t="inlineStr">
        <x:is>
          <x:t xml:space="preserve">YES</x:t>
        </x:is>
      </x:c>
      <x:c r="F2" s="23" t="inlineStr">
        <x:is>
          <x:t xml:space="preserve">Often</x:t>
        </x:is>
      </x:c>
      <x:c r="G2" s="23" t="inlineStr">
        <x:is>
          <x:t xml:space="preserve">See district source pages</x:t>
        </x:is>
      </x:c>
      <x:c r="H2" s="23" t="inlineStr">
        <x:is>
          <x:t xml:space="preserve">https://www.scps.k12.fl.us/121791_2</x:t>
        </x:is>
      </x:c>
      <x:c r="I2" s="23" t="inlineStr">
        <x:is>
          <x:t xml:space="preserve">Keep magnet/choice as point layer; do not fake residential zones.</x:t>
        </x:is>
      </x:c>
    </x:row>
    <x:row r="3">
      <x:c r="A3" s="23" t="inlineStr">
        <x:is>
          <x:t xml:space="preserve"/>
        </x:is>
      </x:c>
      <x:c r="B3" s="23" t="inlineStr">
        <x:is>
          <x:t xml:space="preserve"/>
        </x:is>
      </x:c>
      <x:c r="C3" s="23" t="inlineStr">
        <x:is>
          <x:t xml:space="preserve">Charter</x:t>
        </x:is>
      </x:c>
      <x:c r="D3" s="23" t="inlineStr">
        <x:is>
          <x:t xml:space="preserve">District and state charter listings</x:t>
        </x:is>
      </x:c>
      <x:c r="E3" s="23" t="inlineStr">
        <x:is>
          <x:t xml:space="preserve">YES</x:t>
        </x:is>
      </x:c>
      <x:c r="F3" s="23" t="inlineStr">
        <x:is>
          <x:t xml:space="preserve">Varies</x:t>
        </x:is>
      </x:c>
      <x:c r="G3" s="23" t="inlineStr">
        <x:is>
          <x:t xml:space="preserve">State charter directory + district sites</x:t>
        </x:is>
      </x:c>
      <x:c r="H3" s="23" t="inlineStr">
        <x:is>
          <x:t xml:space="preserve">https://www.fldoe.org/schools/school-choice/charter-schools/charter-school-directories/</x:t>
        </x:is>
      </x:c>
      <x:c r="I3" s="23" t="inlineStr">
        <x:is>
          <x:t xml:space="preserve">Use separate charter tab and point layer.</x:t>
        </x:is>
      </x:c>
    </x:row>
    <x:row r="4">
      <x:c r="A4" s="23" t="inlineStr">
        <x:is>
          <x:t xml:space="preserve"/>
        </x:is>
      </x:c>
      <x:c r="B4" s="23" t="inlineStr">
        <x:is>
          <x:t xml:space="preserve"/>
        </x:is>
      </x:c>
      <x:c r="C4" s="23" t="inlineStr">
        <x:is>
          <x:t xml:space="preserve">Private</x:t>
        </x:is>
      </x:c>
      <x:c r="D4" s="23" t="inlineStr">
        <x:is>
          <x:t xml:space="preserve">Private school directory records</x:t>
        </x:is>
      </x:c>
      <x:c r="E4" s="23" t="inlineStr">
        <x:is>
          <x:t xml:space="preserve">YES</x:t>
        </x:is>
      </x:c>
      <x:c r="F4" s="23" t="inlineStr">
        <x:is>
          <x:t xml:space="preserve">Varies</x:t>
        </x:is>
      </x:c>
      <x:c r="G4" s="23" t="inlineStr">
        <x:is>
          <x:t xml:space="preserve">State directory + NCES private points</x:t>
        </x:is>
      </x:c>
      <x:c r="H4" s="23" t="inlineStr">
        <x:is>
          <x:t xml:space="preserve">https://www.floridaschoolchoice.org/information/privateschooldirectory/DownloadExcelFile.aspx</x:t>
        </x:is>
      </x:c>
      <x:c r="I4" s="23" t="inlineStr">
        <x:is>
          <x:t xml:space="preserve">Use separate private tab; public-zone score not applicable.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c11064f9b984c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4" customWidth="1"/>
    <x:col min="3" max="3" width="42" customWidth="1"/>
  </x:cols>
  <x:sheetData>
    <x:row r="1">
      <x:c r="A1" s="9" t="inlineStr">
        <x:is>
          <x:t xml:space="preserve">Public-Zone Scoring Controls</x:t>
        </x:is>
      </x:c>
    </x:row>
    <x:row r="3">
      <x:c r="A3" s="10" t="inlineStr">
        <x:is>
          <x:t xml:space="preserve">Metric</x:t>
        </x:is>
      </x:c>
      <x:c r="B3" s="10" t="inlineStr">
        <x:is>
          <x:t xml:space="preserve">Weight</x:t>
        </x:is>
      </x:c>
      <x:c r="C3" s="10" t="inlineStr">
        <x:is>
          <x:t xml:space="preserve">Notes</x:t>
        </x:is>
      </x:c>
    </x:row>
    <x:row r="4">
      <x:c r="A4" s="2" t="n"/>
      <x:c r="B4" s="2" t="n"/>
      <x:c r="C4" s="2" t="n"/>
    </x:row>
    <x:row r="5">
      <x:c r="A5" s="11" t="inlineStr">
        <x:is>
          <x:t xml:space="preserve">Rule</x:t>
        </x:is>
      </x:c>
      <x:c r="B5" s="11" t="inlineStr">
        <x:is>
          <x:t xml:space="preserve">Value</x:t>
        </x:is>
      </x:c>
      <x:c r="C5" s="2" t="n"/>
    </x:row>
    <x:row r="6">
      <x:c r="A6" s="2" t="inlineStr">
        <x:is>
          <x:t xml:space="preserve">Weights must sum to 100%</x:t>
        </x:is>
      </x:c>
      <x:c r="B6" s="12">
        <x:f>SUM(B9:B14)</x:f>
        <x:v>1</x:v>
      </x:c>
      <x:c r="C6" s="2" t="n"/>
    </x:row>
    <x:row r="7">
      <x:c r="A7" s="2" t="inlineStr">
        <x:is>
          <x:t xml:space="preserve">Status</x:t>
        </x:is>
      </x:c>
      <x:c r="B7" s="8" t="str">
        <x:f>IF(ABS(B6-1)&lt;0.0001,"OK","REVIEW")</x:f>
        <x:v>OK</x:v>
      </x:c>
      <x:c r="C7" s="2" t="n"/>
    </x:row>
    <x:row r="8">
      <x:c r="A8" s="2" t="n"/>
      <x:c r="B8" s="2" t="n"/>
      <x:c r="C8" s="2" t="n"/>
    </x:row>
    <x:row r="9">
      <x:c r="A9" s="5" t="inlineStr">
        <x:is>
          <x:t xml:space="preserve">Florida school grade</x:t>
        </x:is>
      </x:c>
      <x:c r="B9" s="13" t="n">
        <x:v>0.5</x:v>
      </x:c>
      <x:c r="C9" s="5" t="inlineStr">
        <x:is>
          <x:t xml:space="preserve">Convert A/B/C/D/F to 4/3/2/1/0</x:t>
        </x:is>
      </x:c>
    </x:row>
    <x:row r="10">
      <x:c r="A10" s="5" t="inlineStr">
        <x:is>
          <x:t xml:space="preserve">ELA achievement %</x:t>
        </x:is>
      </x:c>
      <x:c r="B10" s="13" t="n">
        <x:v>0.2</x:v>
      </x:c>
      <x:c r="C10" s="5" t="inlineStr">
        <x:is>
          <x:t xml:space="preserve">Use official proficiency / achievement metric</x:t>
        </x:is>
      </x:c>
    </x:row>
    <x:row r="11">
      <x:c r="A11" s="5" t="inlineStr">
        <x:is>
          <x:t xml:space="preserve">Math achievement %</x:t>
        </x:is>
      </x:c>
      <x:c r="B11" s="13" t="n">
        <x:v>0.1</x:v>
      </x:c>
      <x:c r="C11" s="5" t="inlineStr">
        <x:is>
          <x:t xml:space="preserve">Split out if desired</x:t>
        </x:is>
      </x:c>
    </x:row>
    <x:row r="12">
      <x:c r="A12" s="5" t="inlineStr">
        <x:is>
          <x:t xml:space="preserve">Growth / learning gains %</x:t>
        </x:is>
      </x:c>
      <x:c r="B12" s="13" t="n">
        <x:v>0.1</x:v>
      </x:c>
      <x:c r="C12" s="5" t="inlineStr">
        <x:is>
          <x:t xml:space="preserve">Use official gains field</x:t>
        </x:is>
      </x:c>
    </x:row>
    <x:row r="13">
      <x:c r="A13" s="5" t="inlineStr">
        <x:is>
          <x:t xml:space="preserve">Graduation %</x:t>
        </x:is>
      </x:c>
      <x:c r="B13" s="13" t="n">
        <x:v>0.05</x:v>
      </x:c>
      <x:c r="C13" s="5" t="inlineStr">
        <x:is>
          <x:t xml:space="preserve">Mostly high-school relevant</x:t>
        </x:is>
      </x:c>
    </x:row>
    <x:row r="14">
      <x:c r="A14" s="5" t="inlineStr">
        <x:is>
          <x:t xml:space="preserve">College/career readiness %</x:t>
        </x:is>
      </x:c>
      <x:c r="B14" s="13" t="n">
        <x:v>0.05</x:v>
      </x:c>
      <x:c r="C14" s="5" t="inlineStr">
        <x:is>
          <x:t xml:space="preserve">High-school relevant; leave zero if unavailable</x:t>
        </x:is>
      </x:c>
    </x:row>
    <x:row r="15">
      <x:c r="A15" s="2" t="n"/>
      <x:c r="B15" s="2" t="n"/>
      <x:c r="C15" s="2" t="n"/>
    </x:row>
    <x:row r="16">
      <x:c r="A16" s="3" t="inlineStr">
        <x:is>
          <x:t xml:space="preserve">Private-school note</x:t>
        </x:is>
      </x:c>
      <x:c r="B16" s="2" t="n"/>
      <x:c r="C16" s="2" t="n"/>
    </x:row>
    <x:row r="17">
      <x:c r="A17" s="14" t="inlineStr">
        <x:is>
          <x:t xml:space="preserve">Do not force private schools into the same public-zone score. Use a separate research index or a multi-metric card.</x:t>
        </x:is>
      </x:c>
    </x:row>
    <x:row r="18"/>
  </x:sheetData>
  <x:mergeCells>
    <x:mergeCell ref="A17:C18"/>
  </x:mergeCells>
  <x:conditionalFormatting sqref="B7:B7">
    <x:cfRule type="expression" dxfId="0" priority="1">
      <x:formula>B7="REVIEW"</x:formula>
    </x:cfRule>
    <x:cfRule type="expression" dxfId="1" priority="2">
      <x:formula>B7="OK"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8" customWidth="1"/>
    <x:col min="3" max="3" width="28" customWidth="1"/>
    <x:col min="4" max="4" width="16" customWidth="1"/>
    <x:col min="5" max="5" width="18" customWidth="1"/>
    <x:col min="6" max="6" width="34" customWidth="1"/>
    <x:col min="7" max="7" width="28" customWidth="1"/>
    <x:col min="8" max="8" width="38" customWidth="1"/>
  </x:cols>
  <x:sheetData>
    <x:row r="1" ht="24" customHeight="1">
      <x:c r="A1" s="4" t="inlineStr">
        <x:is>
          <x:t xml:space="preserve">tab_name</x:t>
        </x:is>
      </x:c>
      <x:c r="B1" s="4" t="inlineStr">
        <x:is>
          <x:t xml:space="preserve">layer_type</x:t>
        </x:is>
      </x:c>
      <x:c r="C1" s="4" t="inlineStr">
        <x:is>
          <x:t xml:space="preserve">primary_dataset</x:t>
        </x:is>
      </x:c>
      <x:c r="D1" s="4" t="inlineStr">
        <x:is>
          <x:t xml:space="preserve">score_field</x:t>
        </x:is>
      </x:c>
      <x:c r="E1" s="4" t="inlineStr">
        <x:is>
          <x:t xml:space="preserve">default_filter</x:t>
        </x:is>
      </x:c>
      <x:c r="F1" s="4" t="inlineStr">
        <x:is>
          <x:t xml:space="preserve">tooltip_fields</x:t>
        </x:is>
      </x:c>
      <x:c r="G1" s="4" t="inlineStr">
        <x:is>
          <x:t xml:space="preserve">legend_logic</x:t>
        </x:is>
      </x:c>
      <x:c r="H1" s="4" t="inlineStr">
        <x:is>
          <x:t xml:space="preserve">notes</x:t>
        </x:is>
      </x:c>
    </x:row>
    <x:row r="2">
      <x:c r="A2" s="5" t="inlineStr">
        <x:is>
          <x:t xml:space="preserve">Elementary</x:t>
        </x:is>
      </x:c>
      <x:c r="B2" s="5" t="inlineStr">
        <x:is>
          <x:t xml:space="preserve">Polygon choropleth</x:t>
        </x:is>
      </x:c>
      <x:c r="C2" s="5" t="inlineStr">
        <x:is>
          <x:t xml:space="preserve">zone_master + school_performance</x:t>
        </x:is>
      </x:c>
      <x:c r="D2" s="5" t="inlineStr">
        <x:is>
          <x:t xml:space="preserve">public_zone_score</x:t>
        </x:is>
      </x:c>
      <x:c r="E2" s="5" t="inlineStr">
        <x:is>
          <x:t xml:space="preserve">grade_band=Elementary</x:t>
        </x:is>
      </x:c>
      <x:c r="F2" s="5" t="inlineStr">
        <x:is>
          <x:t xml:space="preserve">school_name; fl_school_grade; public_zone_score</x:t>
        </x:is>
      </x:c>
      <x:c r="G2" s="5" t="inlineStr">
        <x:is>
          <x:t xml:space="preserve">0-100 continuous or 5-band legend</x:t>
        </x:is>
      </x:c>
      <x:c r="H2" s="5" t="inlineStr">
        <x:is>
          <x:t xml:space="preserve">Use actual attendance polygons</x:t>
        </x:is>
      </x:c>
    </x:row>
    <x:row r="3">
      <x:c r="A3" s="5" t="inlineStr">
        <x:is>
          <x:t xml:space="preserve">Middle</x:t>
        </x:is>
      </x:c>
      <x:c r="B3" s="5" t="inlineStr">
        <x:is>
          <x:t xml:space="preserve">Polygon choropleth</x:t>
        </x:is>
      </x:c>
      <x:c r="C3" s="5" t="inlineStr">
        <x:is>
          <x:t xml:space="preserve">zone_master + school_performance</x:t>
        </x:is>
      </x:c>
      <x:c r="D3" s="5" t="inlineStr">
        <x:is>
          <x:t xml:space="preserve">public_zone_score</x:t>
        </x:is>
      </x:c>
      <x:c r="E3" s="5" t="inlineStr">
        <x:is>
          <x:t xml:space="preserve">grade_band=Middle</x:t>
        </x:is>
      </x:c>
      <x:c r="F3" s="5" t="inlineStr">
        <x:is>
          <x:t xml:space="preserve">school_name; fl_school_grade; public_zone_score</x:t>
        </x:is>
      </x:c>
      <x:c r="G3" s="5" t="inlineStr">
        <x:is>
          <x:t xml:space="preserve">same as elementary</x:t>
        </x:is>
      </x:c>
      <x:c r="H3" s="5" t="inlineStr">
        <x:is>
          <x:t xml:space="preserve">Consistent legend</x:t>
        </x:is>
      </x:c>
    </x:row>
    <x:row r="4">
      <x:c r="A4" s="5" t="inlineStr">
        <x:is>
          <x:t xml:space="preserve">High</x:t>
        </x:is>
      </x:c>
      <x:c r="B4" s="5" t="inlineStr">
        <x:is>
          <x:t xml:space="preserve">Polygon choropleth</x:t>
        </x:is>
      </x:c>
      <x:c r="C4" s="5" t="inlineStr">
        <x:is>
          <x:t xml:space="preserve">zone_master + school_performance</x:t>
        </x:is>
      </x:c>
      <x:c r="D4" s="5" t="inlineStr">
        <x:is>
          <x:t xml:space="preserve">public_zone_score</x:t>
        </x:is>
      </x:c>
      <x:c r="E4" s="5" t="inlineStr">
        <x:is>
          <x:t xml:space="preserve">grade_band=High</x:t>
        </x:is>
      </x:c>
      <x:c r="F4" s="5" t="inlineStr">
        <x:is>
          <x:t xml:space="preserve">school_name; fl_school_grade; graduation_pct; readiness_pct</x:t>
        </x:is>
      </x:c>
      <x:c r="G4" s="5" t="inlineStr">
        <x:is>
          <x:t xml:space="preserve">same as elementary</x:t>
        </x:is>
      </x:c>
      <x:c r="H4" s="5" t="inlineStr">
        <x:is>
          <x:t xml:space="preserve">Include high-school outcomes</x:t>
        </x:is>
      </x:c>
    </x:row>
    <x:row r="5">
      <x:c r="A5" s="5" t="inlineStr">
        <x:is>
          <x:t xml:space="preserve">Magnet</x:t>
        </x:is>
      </x:c>
      <x:c r="B5" s="5" t="inlineStr">
        <x:is>
          <x:t xml:space="preserve">Point layer</x:t>
        </x:is>
      </x:c>
      <x:c r="C5" s="5" t="inlineStr">
        <x:is>
          <x:t xml:space="preserve">school_master + program_master</x:t>
        </x:is>
      </x:c>
      <x:c r="D5" s="5" t="inlineStr">
        <x:is>
          <x:t xml:space="preserve"/>
        </x:is>
      </x:c>
      <x:c r="E5" s="5" t="inlineStr">
        <x:is>
          <x:t xml:space="preserve">program_type=Magnet</x:t>
        </x:is>
      </x:c>
      <x:c r="F5" s="5" t="inlineStr">
        <x:is>
          <x:t xml:space="preserve">school_name; grades_served; program_name</x:t>
        </x:is>
      </x:c>
      <x:c r="G5" s="5" t="inlineStr">
        <x:is>
          <x:t xml:space="preserve">categorical</x:t>
        </x:is>
      </x:c>
      <x:c r="H5" s="5" t="inlineStr">
        <x:is>
          <x:t xml:space="preserve">Do not fake residential zones</x:t>
        </x:is>
      </x:c>
    </x:row>
    <x:row r="6">
      <x:c r="A6" s="5" t="inlineStr">
        <x:is>
          <x:t xml:space="preserve">Charter</x:t>
        </x:is>
      </x:c>
      <x:c r="B6" s="5" t="inlineStr">
        <x:is>
          <x:t xml:space="preserve">Point layer</x:t>
        </x:is>
      </x:c>
      <x:c r="C6" s="5" t="inlineStr">
        <x:is>
          <x:t xml:space="preserve">school_master + program_master</x:t>
        </x:is>
      </x:c>
      <x:c r="D6" s="5" t="inlineStr">
        <x:is>
          <x:t xml:space="preserve"/>
        </x:is>
      </x:c>
      <x:c r="E6" s="5" t="inlineStr">
        <x:is>
          <x:t xml:space="preserve">is_charter=TRUE</x:t>
        </x:is>
      </x:c>
      <x:c r="F6" s="5" t="inlineStr">
        <x:is>
          <x:t xml:space="preserve">school_name; grades_served; fl_school_grade</x:t>
        </x:is>
      </x:c>
      <x:c r="G6" s="5" t="inlineStr">
        <x:is>
          <x:t xml:space="preserve">categorical or clustered</x:t>
        </x:is>
      </x:c>
      <x:c r="H6" s="5" t="inlineStr">
        <x:is>
          <x:t xml:space="preserve">Optional clustering</x:t>
        </x:is>
      </x:c>
    </x:row>
    <x:row r="7">
      <x:c r="A7" s="5" t="inlineStr">
        <x:is>
          <x:t xml:space="preserve">Private</x:t>
        </x:is>
      </x:c>
      <x:c r="B7" s="5" t="inlineStr">
        <x:is>
          <x:t xml:space="preserve">Point layer</x:t>
        </x:is>
      </x:c>
      <x:c r="C7" s="5" t="inlineStr">
        <x:is>
          <x:t xml:space="preserve">school_master + program_master</x:t>
        </x:is>
      </x:c>
      <x:c r="D7" s="5" t="inlineStr">
        <x:is>
          <x:t xml:space="preserve"/>
        </x:is>
      </x:c>
      <x:c r="E7" s="5" t="inlineStr">
        <x:is>
          <x:t xml:space="preserve">is_private=TRUE</x:t>
        </x:is>
      </x:c>
      <x:c r="F7" s="5" t="inlineStr">
        <x:is>
          <x:t xml:space="preserve">school_name; grades_served; notes</x:t>
        </x:is>
      </x:c>
      <x:c r="G7" s="5" t="inlineStr">
        <x:is>
          <x:t xml:space="preserve">categorical</x:t>
        </x:is>
      </x:c>
      <x:c r="H7" s="5" t="inlineStr">
        <x:is>
          <x:t xml:space="preserve">Current workbook delivers score-ready public-school data plus source register; full polygon heat map still needs final district geometry pull.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f7380a8069b4207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42" customWidth="1"/>
    <x:col min="3" max="3" width="12" customWidth="1"/>
    <x:col min="4" max="4" width="12" customWidth="1"/>
    <x:col min="5" max="5" width="16" customWidth="1"/>
    <x:col min="6" max="6" width="42" customWidth="1"/>
  </x:cols>
  <x:sheetData>
    <x:row r="1" ht="24" customHeight="1">
      <x:c r="A1" s="21" t="inlineStr">
        <x:is>
          <x:t xml:space="preserve">Workstream</x:t>
        </x:is>
      </x:c>
      <x:c r="B1" s="21" t="inlineStr">
        <x:is>
          <x:t xml:space="preserve">Requirement</x:t>
        </x:is>
      </x:c>
      <x:c r="C1" s="21" t="inlineStr">
        <x:is>
          <x:t xml:space="preserve">Owner</x:t>
        </x:is>
      </x:c>
      <x:c r="D1" s="21" t="inlineStr">
        <x:is>
          <x:t xml:space="preserve">Status</x:t>
        </x:is>
      </x:c>
      <x:c r="E1" s="21" t="inlineStr">
        <x:is>
          <x:t xml:space="preserve">Source_Log_Checked</x:t>
        </x:is>
      </x:c>
      <x:c r="F1" s="21" t="inlineStr">
        <x:is>
          <x:t xml:space="preserve">Notes</x:t>
        </x:is>
      </x:c>
    </x:row>
    <x:row r="2">
      <x:c r="A2" s="5" t="inlineStr">
        <x:is>
          <x:t xml:space="preserve">Scope</x:t>
        </x:is>
      </x:c>
      <x:c r="B2" s="5" t="inlineStr">
        <x:is>
          <x:t xml:space="preserve">County list confirmed and Orange optional decision documented</x:t>
        </x:is>
      </x:c>
      <x:c r="C2" s="5" t="inlineStr">
        <x:is>
          <x:t xml:space="preserve"/>
        </x:is>
      </x:c>
      <x:c r="D2" s="5" t="inlineStr">
        <x:is>
          <x:t xml:space="preserve">Complete</x:t>
        </x:is>
      </x:c>
      <x:c r="E2" s="5" t="inlineStr">
        <x:is>
          <x:t xml:space="preserve">Y</x:t>
        </x:is>
      </x:c>
      <x:c r="F2" s="5" t="inlineStr">
        <x:is>
          <x:t xml:space="preserve">Current scope documented in README; Orange held as optional.</x:t>
        </x:is>
      </x:c>
    </x:row>
    <x:row r="3">
      <x:c r="A3" s="5" t="inlineStr">
        <x:is>
          <x:t xml:space="preserve">Data</x:t>
        </x:is>
      </x:c>
      <x:c r="B3" s="5" t="inlineStr">
        <x:is>
          <x:t xml:space="preserve">Exact source URLs entered in Source_Register</x:t>
        </x:is>
      </x:c>
      <x:c r="C3" s="5" t="inlineStr">
        <x:is>
          <x:t xml:space="preserve"/>
        </x:is>
      </x:c>
      <x:c r="D3" s="5" t="inlineStr">
        <x:is>
          <x:t xml:space="preserve">Complete</x:t>
        </x:is>
      </x:c>
      <x:c r="E3" s="5" t="inlineStr">
        <x:is>
          <x:t xml:space="preserve">Y</x:t>
        </x:is>
      </x:c>
      <x:c r="F3" s="5" t="inlineStr">
        <x:is>
          <x:t xml:space="preserve">Official source URLs updated, including district zoning pages.</x:t>
        </x:is>
      </x:c>
    </x:row>
    <x:row r="4">
      <x:c r="A4" s="5" t="inlineStr">
        <x:is>
          <x:t xml:space="preserve">Data</x:t>
        </x:is>
      </x:c>
      <x:c r="B4" s="5" t="inlineStr">
        <x:is>
          <x:t xml:space="preserve">school_master populated with stable IDs and coordinates</x:t>
        </x:is>
      </x:c>
      <x:c r="C4" s="5" t="inlineStr">
        <x:is>
          <x:t xml:space="preserve"/>
        </x:is>
      </x:c>
      <x:c r="D4" s="5" t="inlineStr">
        <x:is>
          <x:t xml:space="preserve">Partial</x:t>
        </x:is>
      </x:c>
      <x:c r="E4" s="5" t="inlineStr">
        <x:is>
          <x:t xml:space="preserve">Y</x:t>
        </x:is>
      </x:c>
      <x:c r="F4" s="5" t="inlineStr">
        <x:is>
          <x:t xml:space="preserve">school_master populated with stable state IDs; coordinates still pending.</x:t>
        </x:is>
      </x:c>
    </x:row>
    <x:row r="5">
      <x:c r="A5" s="5" t="inlineStr">
        <x:is>
          <x:t xml:space="preserve">GIS</x:t>
        </x:is>
      </x:c>
      <x:c r="B5" s="5" t="inlineStr">
        <x:is>
          <x:t xml:space="preserve">zone_master populated for each grade band and school year</x:t>
        </x:is>
      </x:c>
      <x:c r="C5" s="5" t="inlineStr">
        <x:is>
          <x:t xml:space="preserve"/>
        </x:is>
      </x:c>
      <x:c r="D5" s="5" t="inlineStr">
        <x:is>
          <x:t xml:space="preserve">Partial</x:t>
        </x:is>
      </x:c>
      <x:c r="E5" s="5" t="inlineStr">
        <x:is>
          <x:t xml:space="preserve">Y</x:t>
        </x:is>
      </x:c>
      <x:c r="F5" s="5" t="inlineStr">
        <x:is>
          <x:t xml:space="preserve">zone_master populated at source-level; full zone rows still pending final export.</x:t>
        </x:is>
      </x:c>
    </x:row>
    <x:row r="6">
      <x:c r="A6" s="5" t="inlineStr">
        <x:is>
          <x:t xml:space="preserve">Logic</x:t>
        </x:is>
      </x:c>
      <x:c r="B6" s="5" t="inlineStr">
        <x:is>
          <x:t xml:space="preserve">Weights in Scoring_Model sum to 100%</x:t>
        </x:is>
      </x:c>
      <x:c r="C6" s="5" t="inlineStr">
        <x:is>
          <x:t xml:space="preserve"/>
        </x:is>
      </x:c>
      <x:c r="D6" s="5" t="inlineStr">
        <x:is>
          <x:t xml:space="preserve">Open</x:t>
        </x:is>
      </x:c>
      <x:c r="E6" s="5" t="inlineStr">
        <x:is>
          <x:t xml:space="preserve">N</x:t>
        </x:is>
      </x:c>
      <x:c r="F6" s="5" t="inlineStr">
        <x:is>
          <x:t xml:space="preserve">Need NCES or district point file / address geocode.</x:t>
        </x:is>
      </x:c>
    </x:row>
    <x:row r="7">
      <x:c r="A7" s="5" t="inlineStr">
        <x:is>
          <x:t xml:space="preserve">Build</x:t>
        </x:is>
      </x:c>
      <x:c r="B7" s="5" t="inlineStr">
        <x:is>
          <x:t xml:space="preserve">Elementary / Middle / High tabs use polygons, not generic heat blobs</x:t>
        </x:is>
      </x:c>
      <x:c r="C7" s="5" t="inlineStr">
        <x:is>
          <x:t xml:space="preserve"/>
        </x:is>
      </x:c>
      <x:c r="D7" s="5" t="inlineStr">
        <x:is>
          <x:t xml:space="preserve">Partial</x:t>
        </x:is>
      </x:c>
      <x:c r="E7" s="5" t="inlineStr">
        <x:is>
          <x:t xml:space="preserve">Y</x:t>
        </x:is>
      </x:c>
      <x:c r="F7" s="5" t="inlineStr">
        <x:is>
          <x:t xml:space="preserve">public score model active for public schools only.</x:t>
        </x:is>
      </x:c>
    </x:row>
    <x:row r="8">
      <x:c r="A8" s="5" t="inlineStr">
        <x:is>
          <x:t xml:space="preserve">Build</x:t>
        </x:is>
      </x:c>
      <x:c r="B8" s="5" t="inlineStr">
        <x:is>
          <x:t xml:space="preserve">Magnet / Charter / Private use point layers or documented exceptions</x:t>
        </x:is>
      </x:c>
      <x:c r="C8" s="5" t="inlineStr">
        <x:is>
          <x:t xml:space="preserve"/>
        </x:is>
      </x:c>
      <x:c r="D8" s="5" t="inlineStr">
        <x:is>
          <x:t xml:space="preserve">Partial</x:t>
        </x:is>
      </x:c>
      <x:c r="E8" s="5" t="inlineStr">
        <x:is>
          <x:t xml:space="preserve">Y</x:t>
        </x:is>
      </x:c>
      <x:c r="F8" s="5" t="inlineStr">
        <x:is>
          <x:t xml:space="preserve">District summary and CSV exports provided; interactive map build still pending.</x:t>
        </x:is>
      </x:c>
    </x:row>
    <x:row r="9">
      <x:c r="A9" s="5" t="inlineStr">
        <x:is>
          <x:t xml:space="preserve">QA</x:t>
        </x:is>
      </x:c>
      <x:c r="B9" s="5" t="inlineStr">
        <x:is>
          <x:t xml:space="preserve">At least one known address tested in each county</x:t>
        </x:is>
      </x:c>
      <x:c r="C9" s="5" t="inlineStr">
        <x:is>
          <x:t xml:space="preserve"/>
        </x:is>
      </x:c>
      <x:c r="D9" s="5" t="inlineStr">
        <x:is>
          <x:t xml:space="preserve">Open</x:t>
        </x:is>
      </x:c>
      <x:c r="E9" s="5" t="inlineStr">
        <x:is>
          <x:t xml:space="preserve">N</x:t>
        </x:is>
      </x:c>
      <x:c r="F9" s="5" t="inlineStr">
        <x:is>
          <x:t xml:space="preserve"/>
        </x:is>
      </x:c>
    </x:row>
    <x:row r="10">
      <x:c r="A10" s="5" t="inlineStr">
        <x:is>
          <x:t xml:space="preserve">QA</x:t>
        </x:is>
      </x:c>
      <x:c r="B10" s="5" t="inlineStr">
        <x:is>
          <x:t xml:space="preserve">School-year labels consistent across all inputs</x:t>
        </x:is>
      </x:c>
      <x:c r="C10" s="5" t="inlineStr">
        <x:is>
          <x:t xml:space="preserve"/>
        </x:is>
      </x:c>
      <x:c r="D10" s="5" t="inlineStr">
        <x:is>
          <x:t xml:space="preserve">Open</x:t>
        </x:is>
      </x:c>
      <x:c r="E10" s="5" t="inlineStr">
        <x:is>
          <x:t xml:space="preserve">N</x:t>
        </x:is>
      </x:c>
      <x:c r="F10" s="5" t="inlineStr">
        <x:is>
          <x:t xml:space="preserve"/>
        </x:is>
      </x:c>
    </x:row>
    <x:row r="11">
      <x:c r="A11" s="5" t="inlineStr">
        <x:is>
          <x:t xml:space="preserve">QA</x:t>
        </x:is>
      </x:c>
      <x:c r="B11" s="5" t="inlineStr">
        <x:is>
          <x:t xml:space="preserve">Choice schools not mislabeled as zoned schools</x:t>
        </x:is>
      </x:c>
      <x:c r="C11" s="5" t="inlineStr">
        <x:is>
          <x:t xml:space="preserve"/>
        </x:is>
      </x:c>
      <x:c r="D11" s="5" t="inlineStr">
        <x:is>
          <x:t xml:space="preserve">Open</x:t>
        </x:is>
      </x:c>
      <x:c r="E11" s="5" t="inlineStr">
        <x:is>
          <x:t xml:space="preserve">N</x:t>
        </x:is>
      </x:c>
      <x:c r="F11" s="5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d5afc04f1e647d0"/>
  </x:tableParts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0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10" customWidth="1"/>
    <x:col min="10" max="10" width="10" customWidth="1"/>
    <x:col min="11" max="11" width="10" customWidth="1"/>
    <x:col min="12" max="12" width="12" customWidth="1"/>
    <x:col min="13" max="13" width="14" customWidth="1"/>
    <x:col min="14" max="14" width="14" customWidth="1"/>
  </x:cols>
  <x:sheetData>
    <x:row r="1">
      <x:c r="A1" s="24" t="inlineStr">
        <x:is>
          <x:t xml:space="preserve">District</x:t>
        </x:is>
      </x:c>
      <x:c r="B1" s="24" t="inlineStr">
        <x:is>
          <x:t xml:space="preserve">Graded_Schools</x:t>
        </x:is>
      </x:c>
      <x:c r="C1" s="24" t="inlineStr">
        <x:is>
          <x:t xml:space="preserve">Avg_Score</x:t>
        </x:is>
      </x:c>
      <x:c r="D1" s="24" t="inlineStr">
        <x:is>
          <x:t xml:space="preserve">A_Count</x:t>
        </x:is>
      </x:c>
      <x:c r="E1" s="24" t="inlineStr">
        <x:is>
          <x:t xml:space="preserve">B_Count</x:t>
        </x:is>
      </x:c>
      <x:c r="F1" s="24" t="inlineStr">
        <x:is>
          <x:t xml:space="preserve">C_Count</x:t>
        </x:is>
      </x:c>
      <x:c r="G1" s="24" t="inlineStr">
        <x:is>
          <x:t xml:space="preserve">D_Count</x:t>
        </x:is>
      </x:c>
      <x:c r="H1" s="24" t="inlineStr">
        <x:is>
          <x:t xml:space="preserve">F_Count</x:t>
        </x:is>
      </x:c>
      <x:c r="I1" s="24" t="inlineStr">
        <x:is>
          <x:t xml:space="preserve">Elementary</x:t>
        </x:is>
      </x:c>
      <x:c r="J1" s="24" t="inlineStr">
        <x:is>
          <x:t xml:space="preserve">Middle</x:t>
        </x:is>
      </x:c>
      <x:c r="K1" s="24" t="inlineStr">
        <x:is>
          <x:t xml:space="preserve">High</x:t>
        </x:is>
      </x:c>
      <x:c r="L1" s="24" t="inlineStr">
        <x:is>
          <x:t xml:space="preserve">Combination</x:t>
        </x:is>
      </x:c>
      <x:c r="M1" s="24" t="inlineStr">
        <x:is>
          <x:t xml:space="preserve">Charter_Count</x:t>
        </x:is>
      </x:c>
      <x:c r="N1" s="24" t="inlineStr">
        <x:is>
          <x:t xml:space="preserve">TitleI_Count</x:t>
        </x:is>
      </x:c>
    </x:row>
    <x:row r="2">
      <x:c r="A2" s="20" t="inlineStr">
        <x:is>
          <x:t xml:space="preserve">LAKE</x:t>
        </x:is>
      </x:c>
      <x:c r="B2" s="20">
        <x:f>COUNTIF(school_master!$A:$A,A2)</x:f>
        <x:v>50</x:v>
      </x:c>
      <x:c r="C2" s="25">
        <x:f>IF(B2=0,"",ROUND(SUMIFS(school_performance!$K:$K,school_master!$A:$A,A2)/B2,1))</x:f>
        <x:v>60.4</x:v>
      </x:c>
      <x:c r="D2" s="20">
        <x:f>COUNTIFS(school_master!$A:$A,A2,school_performance!$D:$D,"A")</x:f>
        <x:v>15</x:v>
      </x:c>
      <x:c r="E2" s="20">
        <x:f>COUNTIFS(school_master!$A:$A,A2,school_performance!$D:$D,"B")</x:f>
        <x:v>17</x:v>
      </x:c>
      <x:c r="F2" s="20">
        <x:f>COUNTIFS(school_master!$A:$A,A2,school_performance!$D:$D,"C")</x:f>
        <x:v>16</x:v>
      </x:c>
      <x:c r="G2" s="20">
        <x:f>COUNTIFS(school_master!$A:$A,A2,school_performance!$D:$D,"D")</x:f>
        <x:v>2</x:v>
      </x:c>
      <x:c r="H2" s="20">
        <x:f>COUNTIFS(school_master!$A:$A,A2,school_performance!$D:$D,"F")</x:f>
        <x:v>0</x:v>
      </x:c>
      <x:c r="I2" s="20">
        <x:f>COUNTIFS(school_master!$A:$A,A2,school_master!$F:$F,"Elementary")</x:f>
        <x:v>22</x:v>
      </x:c>
      <x:c r="J2" s="20">
        <x:f>COUNTIFS(school_master!$A:$A,A2,school_master!$F:$F,"Middle/Junior")</x:f>
        <x:v>9</x:v>
      </x:c>
      <x:c r="K2" s="20">
        <x:f>COUNTIFS(school_master!$A:$A,A2,school_master!$F:$F,"Senior High")</x:f>
        <x:v>9</x:v>
      </x:c>
      <x:c r="L2" s="20">
        <x:f>COUNTIFS(school_master!$A:$A,A2,school_master!$F:$F,"Combination")</x:f>
        <x:v>10</x:v>
      </x:c>
      <x:c r="M2" s="20">
        <x:f>COUNTIFS(school_master!$A:$A,A2,school_master!$H:$H,"YES")</x:f>
        <x:v>10</x:v>
      </x:c>
      <x:c r="N2" s="20">
        <x:f>COUNTIFS(FDOE_Grades_2025_Raw!$C:$C,A2,FDOE_Grades_2025_Raw!$I:$I,"YES")</x:f>
        <x:v>19</x:v>
      </x:c>
    </x:row>
    <x:row r="3">
      <x:c r="A3" s="20" t="inlineStr">
        <x:is>
          <x:t xml:space="preserve">OSCEOLA</x:t>
        </x:is>
      </x:c>
      <x:c r="B3" s="20">
        <x:f>COUNTIF(school_master!$A:$A,A3)</x:f>
        <x:v>76</x:v>
      </x:c>
      <x:c r="C3" s="25">
        <x:f>IF(B3=0,"",ROUND(SUMIFS(school_performance!$K:$K,school_master!$A:$A,A3)/B3,1))</x:f>
        <x:v>58.5</x:v>
      </x:c>
      <x:c r="D3" s="20">
        <x:f>COUNTIFS(school_master!$A:$A,A3,school_performance!$D:$D,"A")</x:f>
        <x:v>23</x:v>
      </x:c>
      <x:c r="E3" s="20">
        <x:f>COUNTIFS(school_master!$A:$A,A3,school_performance!$D:$D,"B")</x:f>
        <x:v>20</x:v>
      </x:c>
      <x:c r="F3" s="20">
        <x:f>COUNTIFS(school_master!$A:$A,A3,school_performance!$D:$D,"C")</x:f>
        <x:v>30</x:v>
      </x:c>
      <x:c r="G3" s="20">
        <x:f>COUNTIFS(school_master!$A:$A,A3,school_performance!$D:$D,"D")</x:f>
        <x:v>2</x:v>
      </x:c>
      <x:c r="H3" s="20">
        <x:f>COUNTIFS(school_master!$A:$A,A3,school_performance!$D:$D,"F")</x:f>
        <x:v>1</x:v>
      </x:c>
      <x:c r="I3" s="20">
        <x:f>COUNTIFS(school_master!$A:$A,A3,school_master!$F:$F,"Elementary")</x:f>
        <x:v>30</x:v>
      </x:c>
      <x:c r="J3" s="20">
        <x:f>COUNTIFS(school_master!$A:$A,A3,school_master!$F:$F,"Middle/Junior")</x:f>
        <x:v>10</x:v>
      </x:c>
      <x:c r="K3" s="20">
        <x:f>COUNTIFS(school_master!$A:$A,A3,school_master!$F:$F,"Senior High")</x:f>
        <x:v>12</x:v>
      </x:c>
      <x:c r="L3" s="20">
        <x:f>COUNTIFS(school_master!$A:$A,A3,school_master!$F:$F,"Combination")</x:f>
        <x:v>24</x:v>
      </x:c>
      <x:c r="M3" s="20">
        <x:f>COUNTIFS(school_master!$A:$A,A3,school_master!$H:$H,"YES")</x:f>
        <x:v>24</x:v>
      </x:c>
      <x:c r="N3" s="20">
        <x:f>COUNTIFS(FDOE_Grades_2025_Raw!$C:$C,A3,FDOE_Grades_2025_Raw!$I:$I,"YES")</x:f>
        <x:v>49</x:v>
      </x:c>
    </x:row>
    <x:row r="4">
      <x:c r="A4" s="20" t="inlineStr">
        <x:is>
          <x:t xml:space="preserve">POLK</x:t>
        </x:is>
      </x:c>
      <x:c r="B4" s="20">
        <x:f>COUNTIF(school_master!$A:$A,A4)</x:f>
        <x:v>135</x:v>
      </x:c>
      <x:c r="C4" s="25">
        <x:f>IF(B4=0,"",ROUND(SUMIFS(school_performance!$K:$K,school_master!$A:$A,A4)/B4,1))</x:f>
        <x:v>53.8</x:v>
      </x:c>
      <x:c r="D4" s="20">
        <x:f>COUNTIFS(school_master!$A:$A,A4,school_performance!$D:$D,"A")</x:f>
        <x:v>24</x:v>
      </x:c>
      <x:c r="E4" s="20">
        <x:f>COUNTIFS(school_master!$A:$A,A4,school_performance!$D:$D,"B")</x:f>
        <x:v>32</x:v>
      </x:c>
      <x:c r="F4" s="20">
        <x:f>COUNTIFS(school_master!$A:$A,A4,school_performance!$D:$D,"C")</x:f>
        <x:v>73</x:v>
      </x:c>
      <x:c r="G4" s="20">
        <x:f>COUNTIFS(school_master!$A:$A,A4,school_performance!$D:$D,"D")</x:f>
        <x:v>6</x:v>
      </x:c>
      <x:c r="H4" s="20">
        <x:f>COUNTIFS(school_master!$A:$A,A4,school_performance!$D:$D,"F")</x:f>
        <x:v>0</x:v>
      </x:c>
      <x:c r="I4" s="20">
        <x:f>COUNTIFS(school_master!$A:$A,A4,school_master!$F:$F,"Elementary")</x:f>
        <x:v>74</x:v>
      </x:c>
      <x:c r="J4" s="20">
        <x:f>COUNTIFS(school_master!$A:$A,A4,school_master!$F:$F,"Middle/Junior")</x:f>
        <x:v>23</x:v>
      </x:c>
      <x:c r="K4" s="20">
        <x:f>COUNTIFS(school_master!$A:$A,A4,school_master!$F:$F,"Senior High")</x:f>
        <x:v>18</x:v>
      </x:c>
      <x:c r="L4" s="20">
        <x:f>COUNTIFS(school_master!$A:$A,A4,school_master!$F:$F,"Combination")</x:f>
        <x:v>20</x:v>
      </x:c>
      <x:c r="M4" s="20">
        <x:f>COUNTIFS(school_master!$A:$A,A4,school_master!$H:$H,"YES")</x:f>
        <x:v>27</x:v>
      </x:c>
      <x:c r="N4" s="20">
        <x:f>COUNTIFS(FDOE_Grades_2025_Raw!$C:$C,A4,FDOE_Grades_2025_Raw!$I:$I,"YES")</x:f>
        <x:v>115</x:v>
      </x:c>
    </x:row>
    <x:row r="5">
      <x:c r="A5" s="20" t="inlineStr">
        <x:is>
          <x:t xml:space="preserve">SEMINOLE</x:t>
        </x:is>
      </x:c>
      <x:c r="B5" s="20">
        <x:f>COUNTIF(school_master!$A:$A,A5)</x:f>
        <x:v>63</x:v>
      </x:c>
      <x:c r="C5" s="25">
        <x:f>IF(B5=0,"",ROUND(SUMIFS(school_performance!$K:$K,school_master!$A:$A,A5)/B5,1))</x:f>
        <x:v>71.4</x:v>
      </x:c>
      <x:c r="D5" s="20">
        <x:f>COUNTIFS(school_master!$A:$A,A5,school_performance!$D:$D,"A")</x:f>
        <x:v>40</x:v>
      </x:c>
      <x:c r="E5" s="20">
        <x:f>COUNTIFS(school_master!$A:$A,A5,school_performance!$D:$D,"B")</x:f>
        <x:v>15</x:v>
      </x:c>
      <x:c r="F5" s="20">
        <x:f>COUNTIFS(school_master!$A:$A,A5,school_performance!$D:$D,"C")</x:f>
        <x:v>8</x:v>
      </x:c>
      <x:c r="G5" s="20">
        <x:f>COUNTIFS(school_master!$A:$A,A5,school_performance!$D:$D,"D")</x:f>
        <x:v>0</x:v>
      </x:c>
      <x:c r="H5" s="20">
        <x:f>COUNTIFS(school_master!$A:$A,A5,school_performance!$D:$D,"F")</x:f>
        <x:v>0</x:v>
      </x:c>
      <x:c r="I5" s="20">
        <x:f>COUNTIFS(school_master!$A:$A,A5,school_master!$F:$F,"Elementary")</x:f>
        <x:v>38</x:v>
      </x:c>
      <x:c r="J5" s="20">
        <x:f>COUNTIFS(school_master!$A:$A,A5,school_master!$F:$F,"Middle/Junior")</x:f>
        <x:v>12</x:v>
      </x:c>
      <x:c r="K5" s="20">
        <x:f>COUNTIFS(school_master!$A:$A,A5,school_master!$F:$F,"Senior High")</x:f>
        <x:v>9</x:v>
      </x:c>
      <x:c r="L5" s="20">
        <x:f>COUNTIFS(school_master!$A:$A,A5,school_master!$F:$F,"Combination")</x:f>
        <x:v>4</x:v>
      </x:c>
      <x:c r="M5" s="20">
        <x:f>COUNTIFS(school_master!$A:$A,A5,school_master!$H:$H,"YES")</x:f>
        <x:v>4</x:v>
      </x:c>
      <x:c r="N5" s="20">
        <x:f>COUNTIFS(FDOE_Grades_2025_Raw!$C:$C,A5,FDOE_Grades_2025_Raw!$I:$I,"YES")</x:f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7c84ed175b514e4c"/>
  </x:tableParts>
</x:worksheet>
</file>